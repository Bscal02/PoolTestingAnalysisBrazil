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uments\Doutorado UFMG\Diversos\LabEst\"/>
    </mc:Choice>
  </mc:AlternateContent>
  <bookViews>
    <workbookView xWindow="-120" yWindow="-120" windowWidth="29040" windowHeight="15840" activeTab="1"/>
  </bookViews>
  <sheets>
    <sheet name="Piloto" sheetId="2" r:id="rId1"/>
    <sheet name="Pesquisa" sheetId="4" r:id="rId2"/>
  </sheets>
  <definedNames>
    <definedName name="_xlnm._FilterDatabase" localSheetId="1" hidden="1">Pesquisa!$A$1:$U$1394</definedName>
    <definedName name="_xlnm._FilterDatabase" localSheetId="0" hidden="1">Piloto!$A$1:$W$707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394" i="4" l="1"/>
  <c r="T1394" i="4"/>
  <c r="U1393" i="4"/>
  <c r="T1393" i="4"/>
  <c r="U1392" i="4"/>
  <c r="T1392" i="4"/>
  <c r="U1391" i="4"/>
  <c r="T1391" i="4"/>
  <c r="U1390" i="4"/>
  <c r="T1390" i="4"/>
  <c r="U1389" i="4"/>
  <c r="T1389" i="4"/>
  <c r="U1388" i="4"/>
  <c r="T1388" i="4"/>
  <c r="U1387" i="4"/>
  <c r="T1387" i="4"/>
  <c r="U1386" i="4"/>
  <c r="T1386" i="4"/>
  <c r="U1385" i="4"/>
  <c r="T1385" i="4"/>
  <c r="U1384" i="4"/>
  <c r="T1384" i="4"/>
  <c r="U1383" i="4"/>
  <c r="T1383" i="4"/>
  <c r="U1382" i="4"/>
  <c r="T1382" i="4"/>
  <c r="U1381" i="4"/>
  <c r="T1381" i="4"/>
  <c r="U1380" i="4"/>
  <c r="T1380" i="4"/>
  <c r="U1379" i="4"/>
  <c r="T1379" i="4"/>
  <c r="U1378" i="4"/>
  <c r="T1378" i="4"/>
  <c r="U1377" i="4"/>
  <c r="T1377" i="4"/>
  <c r="U1376" i="4"/>
  <c r="T1376" i="4"/>
  <c r="U1375" i="4"/>
  <c r="T1375" i="4"/>
  <c r="U1374" i="4"/>
  <c r="T1374" i="4"/>
  <c r="U1373" i="4"/>
  <c r="T1373" i="4"/>
  <c r="U1372" i="4"/>
  <c r="T1372" i="4"/>
  <c r="U1371" i="4"/>
  <c r="T1371" i="4"/>
  <c r="U1370" i="4"/>
  <c r="T1370" i="4"/>
  <c r="U1369" i="4"/>
  <c r="T1369" i="4"/>
  <c r="U1368" i="4"/>
  <c r="T1368" i="4"/>
  <c r="U1367" i="4"/>
  <c r="T1367" i="4"/>
  <c r="U1366" i="4"/>
  <c r="T1366" i="4"/>
  <c r="U1365" i="4"/>
  <c r="T1365" i="4"/>
  <c r="U1364" i="4"/>
  <c r="T1364" i="4"/>
  <c r="U1363" i="4"/>
  <c r="T1363" i="4"/>
  <c r="U1362" i="4"/>
  <c r="T1362" i="4"/>
  <c r="U1361" i="4"/>
  <c r="T1361" i="4"/>
  <c r="U1360" i="4"/>
  <c r="T1360" i="4"/>
  <c r="U1359" i="4"/>
  <c r="T1359" i="4"/>
  <c r="U1358" i="4"/>
  <c r="T1358" i="4"/>
  <c r="U1357" i="4"/>
  <c r="T1357" i="4"/>
  <c r="U1356" i="4"/>
  <c r="T1356" i="4"/>
  <c r="U1355" i="4"/>
  <c r="T1355" i="4"/>
  <c r="U1354" i="4"/>
  <c r="T1354" i="4"/>
  <c r="U1353" i="4"/>
  <c r="T1353" i="4"/>
  <c r="U1352" i="4"/>
  <c r="T1352" i="4"/>
  <c r="U1351" i="4"/>
  <c r="T1351" i="4"/>
  <c r="U1350" i="4"/>
  <c r="T1350" i="4"/>
  <c r="U1349" i="4"/>
  <c r="T1349" i="4"/>
  <c r="U1348" i="4"/>
  <c r="T1348" i="4"/>
  <c r="U1347" i="4"/>
  <c r="T1347" i="4"/>
  <c r="U1346" i="4"/>
  <c r="T1346" i="4"/>
  <c r="U1345" i="4"/>
  <c r="T1345" i="4"/>
  <c r="U1344" i="4"/>
  <c r="T1344" i="4"/>
  <c r="U1343" i="4"/>
  <c r="T1343" i="4"/>
  <c r="U1342" i="4"/>
  <c r="T1342" i="4"/>
  <c r="U1341" i="4"/>
  <c r="T1341" i="4"/>
  <c r="U1340" i="4"/>
  <c r="T1340" i="4"/>
  <c r="U1339" i="4"/>
  <c r="T1339" i="4"/>
  <c r="U1338" i="4"/>
  <c r="T1338" i="4"/>
  <c r="U1337" i="4"/>
  <c r="T1337" i="4"/>
  <c r="U1336" i="4"/>
  <c r="T1336" i="4"/>
  <c r="U1335" i="4"/>
  <c r="T1335" i="4"/>
  <c r="U1334" i="4"/>
  <c r="T1334" i="4"/>
  <c r="U1333" i="4"/>
  <c r="T1333" i="4"/>
  <c r="U1332" i="4"/>
  <c r="T1332" i="4"/>
  <c r="U1331" i="4"/>
  <c r="T1331" i="4"/>
  <c r="U1330" i="4"/>
  <c r="T1330" i="4"/>
  <c r="U1329" i="4"/>
  <c r="T1329" i="4"/>
  <c r="U1328" i="4"/>
  <c r="T1328" i="4"/>
  <c r="U1327" i="4"/>
  <c r="T1327" i="4"/>
  <c r="U1326" i="4"/>
  <c r="T1326" i="4"/>
  <c r="U1325" i="4"/>
  <c r="T1325" i="4"/>
  <c r="U1324" i="4"/>
  <c r="T1324" i="4"/>
  <c r="U1323" i="4"/>
  <c r="T1323" i="4"/>
  <c r="U1322" i="4"/>
  <c r="T1322" i="4"/>
  <c r="U1321" i="4"/>
  <c r="T1321" i="4"/>
  <c r="U1320" i="4"/>
  <c r="T1320" i="4"/>
  <c r="U1319" i="4"/>
  <c r="T1319" i="4"/>
  <c r="U1318" i="4"/>
  <c r="T1318" i="4"/>
  <c r="U1317" i="4"/>
  <c r="T1317" i="4"/>
  <c r="U1316" i="4"/>
  <c r="T1316" i="4"/>
  <c r="U1315" i="4"/>
  <c r="T1315" i="4"/>
  <c r="U1314" i="4"/>
  <c r="T1314" i="4"/>
  <c r="U1313" i="4"/>
  <c r="T1313" i="4"/>
  <c r="U1312" i="4"/>
  <c r="T1312" i="4"/>
  <c r="U1311" i="4"/>
  <c r="T1311" i="4"/>
  <c r="U1310" i="4"/>
  <c r="T1310" i="4"/>
  <c r="U1309" i="4"/>
  <c r="T1309" i="4"/>
  <c r="U1308" i="4"/>
  <c r="T1308" i="4"/>
  <c r="U1307" i="4"/>
  <c r="T1307" i="4"/>
  <c r="U1306" i="4"/>
  <c r="T1306" i="4"/>
  <c r="U1305" i="4"/>
  <c r="T1305" i="4"/>
  <c r="U1304" i="4"/>
  <c r="T1304" i="4"/>
  <c r="U1303" i="4"/>
  <c r="T1303" i="4"/>
  <c r="U1302" i="4"/>
  <c r="T1302" i="4"/>
  <c r="U1301" i="4"/>
  <c r="T1301" i="4"/>
  <c r="U1300" i="4"/>
  <c r="T1300" i="4"/>
  <c r="U1299" i="4"/>
  <c r="T1299" i="4"/>
  <c r="U1298" i="4"/>
  <c r="T1298" i="4"/>
  <c r="U1297" i="4"/>
  <c r="T1297" i="4"/>
  <c r="U1296" i="4"/>
  <c r="T1296" i="4"/>
  <c r="U1295" i="4"/>
  <c r="T1295" i="4"/>
  <c r="U1294" i="4"/>
  <c r="T1294" i="4"/>
  <c r="U1293" i="4"/>
  <c r="T1293" i="4"/>
  <c r="U1292" i="4"/>
  <c r="T1292" i="4"/>
  <c r="U1291" i="4"/>
  <c r="T1291" i="4"/>
  <c r="U1290" i="4"/>
  <c r="T1290" i="4"/>
  <c r="U1289" i="4"/>
  <c r="T1289" i="4"/>
  <c r="U1288" i="4"/>
  <c r="T1288" i="4"/>
  <c r="U1287" i="4"/>
  <c r="T1287" i="4"/>
  <c r="U1286" i="4"/>
  <c r="T1286" i="4"/>
  <c r="U1285" i="4"/>
  <c r="T1285" i="4"/>
  <c r="U1284" i="4"/>
  <c r="T1284" i="4"/>
  <c r="U1283" i="4"/>
  <c r="T1283" i="4"/>
  <c r="U1282" i="4"/>
  <c r="T1282" i="4"/>
  <c r="U1281" i="4"/>
  <c r="T1281" i="4"/>
  <c r="U1280" i="4"/>
  <c r="T1280" i="4"/>
  <c r="U1279" i="4"/>
  <c r="T1279" i="4"/>
  <c r="U1278" i="4"/>
  <c r="T1278" i="4"/>
  <c r="U1277" i="4"/>
  <c r="T1277" i="4"/>
  <c r="U1276" i="4"/>
  <c r="T1276" i="4"/>
  <c r="U1275" i="4"/>
  <c r="T1275" i="4"/>
  <c r="U1274" i="4"/>
  <c r="T1274" i="4"/>
  <c r="U1273" i="4"/>
  <c r="T1273" i="4"/>
  <c r="U1272" i="4"/>
  <c r="T1272" i="4"/>
  <c r="U1271" i="4"/>
  <c r="T1271" i="4"/>
  <c r="U1270" i="4"/>
  <c r="T1270" i="4"/>
  <c r="U1269" i="4"/>
  <c r="T1269" i="4"/>
  <c r="U1268" i="4"/>
  <c r="T1268" i="4"/>
  <c r="U1267" i="4"/>
  <c r="T1267" i="4"/>
  <c r="U1266" i="4"/>
  <c r="T1266" i="4"/>
  <c r="U1265" i="4"/>
  <c r="T1265" i="4"/>
  <c r="U1264" i="4"/>
  <c r="T1264" i="4"/>
  <c r="U1263" i="4"/>
  <c r="T1263" i="4"/>
  <c r="U1262" i="4"/>
  <c r="T1262" i="4"/>
  <c r="U1261" i="4"/>
  <c r="T1261" i="4"/>
  <c r="U1260" i="4"/>
  <c r="T1260" i="4"/>
  <c r="U1259" i="4"/>
  <c r="T1259" i="4"/>
  <c r="U1258" i="4"/>
  <c r="T1258" i="4"/>
  <c r="U1257" i="4"/>
  <c r="T1257" i="4"/>
  <c r="U1256" i="4"/>
  <c r="T1256" i="4"/>
  <c r="U1255" i="4"/>
  <c r="T1255" i="4"/>
  <c r="U1254" i="4"/>
  <c r="T1254" i="4"/>
  <c r="U1253" i="4"/>
  <c r="T1253" i="4"/>
  <c r="L1253" i="4"/>
  <c r="K1253" i="4"/>
  <c r="U1252" i="4"/>
  <c r="T1252" i="4"/>
  <c r="L1252" i="4"/>
  <c r="K1252" i="4"/>
  <c r="U1251" i="4"/>
  <c r="T1251" i="4"/>
  <c r="L1251" i="4"/>
  <c r="K1251" i="4"/>
  <c r="U1250" i="4"/>
  <c r="T1250" i="4"/>
  <c r="L1250" i="4"/>
  <c r="K1250" i="4"/>
  <c r="U1249" i="4"/>
  <c r="T1249" i="4"/>
  <c r="L1249" i="4"/>
  <c r="K1249" i="4"/>
  <c r="U1248" i="4"/>
  <c r="T1248" i="4"/>
  <c r="L1248" i="4"/>
  <c r="K1248" i="4"/>
  <c r="U1247" i="4"/>
  <c r="T1247" i="4"/>
  <c r="U1246" i="4"/>
  <c r="T1246" i="4"/>
  <c r="U1245" i="4"/>
  <c r="T1245" i="4"/>
  <c r="U1244" i="4"/>
  <c r="T1244" i="4"/>
  <c r="U1243" i="4"/>
  <c r="T1243" i="4"/>
  <c r="U1242" i="4"/>
  <c r="T1242" i="4"/>
  <c r="U1241" i="4"/>
  <c r="T1241" i="4"/>
  <c r="U1240" i="4"/>
  <c r="T1240" i="4"/>
  <c r="U1239" i="4"/>
  <c r="T1239" i="4"/>
  <c r="U1238" i="4"/>
  <c r="T1238" i="4"/>
  <c r="U1237" i="4"/>
  <c r="T1237" i="4"/>
  <c r="U1236" i="4"/>
  <c r="T1236" i="4"/>
  <c r="U1235" i="4"/>
  <c r="T1235" i="4"/>
  <c r="U1234" i="4"/>
  <c r="T1234" i="4"/>
  <c r="U1233" i="4"/>
  <c r="T1233" i="4"/>
  <c r="U1232" i="4"/>
  <c r="T1232" i="4"/>
  <c r="U1231" i="4"/>
  <c r="T1231" i="4"/>
  <c r="U1230" i="4"/>
  <c r="T1230" i="4"/>
  <c r="U1229" i="4"/>
  <c r="T1229" i="4"/>
  <c r="U1228" i="4"/>
  <c r="T1228" i="4"/>
  <c r="U1227" i="4"/>
  <c r="T1227" i="4"/>
  <c r="U1226" i="4"/>
  <c r="T1226" i="4"/>
  <c r="Q1226" i="4"/>
  <c r="U1225" i="4"/>
  <c r="T1225" i="4"/>
  <c r="Q1225" i="4"/>
  <c r="P1225" i="4"/>
  <c r="U1224" i="4"/>
  <c r="T1224" i="4"/>
  <c r="U1223" i="4"/>
  <c r="T1223" i="4"/>
  <c r="U1222" i="4"/>
  <c r="T1222" i="4"/>
  <c r="U1221" i="4"/>
  <c r="T1221" i="4"/>
  <c r="U1220" i="4"/>
  <c r="T1220" i="4"/>
  <c r="U1219" i="4"/>
  <c r="T1219" i="4"/>
  <c r="U1218" i="4"/>
  <c r="T1218" i="4"/>
  <c r="U1217" i="4"/>
  <c r="T1217" i="4"/>
  <c r="U1216" i="4"/>
  <c r="T1216" i="4"/>
  <c r="U1215" i="4"/>
  <c r="T1215" i="4"/>
  <c r="U1214" i="4"/>
  <c r="T1214" i="4"/>
  <c r="U1213" i="4"/>
  <c r="T1213" i="4"/>
  <c r="U1212" i="4"/>
  <c r="T1212" i="4"/>
  <c r="U1211" i="4"/>
  <c r="T1211" i="4"/>
  <c r="U1210" i="4"/>
  <c r="T1210" i="4"/>
  <c r="U1209" i="4"/>
  <c r="T1209" i="4"/>
  <c r="U1208" i="4"/>
  <c r="T1208" i="4"/>
  <c r="U1207" i="4"/>
  <c r="T1207" i="4"/>
  <c r="U1206" i="4"/>
  <c r="T1206" i="4"/>
  <c r="U1205" i="4"/>
  <c r="T1205" i="4"/>
  <c r="U1204" i="4"/>
  <c r="T1204" i="4"/>
  <c r="U1203" i="4"/>
  <c r="T1203" i="4"/>
  <c r="U1202" i="4"/>
  <c r="T1202" i="4"/>
  <c r="U1201" i="4"/>
  <c r="T1201" i="4"/>
  <c r="U1200" i="4"/>
  <c r="T1200" i="4"/>
  <c r="U1199" i="4"/>
  <c r="T1199" i="4"/>
  <c r="Q1199" i="4"/>
  <c r="P1199" i="4"/>
  <c r="U1198" i="4"/>
  <c r="T1198" i="4"/>
  <c r="U1197" i="4"/>
  <c r="T1197" i="4"/>
  <c r="U1196" i="4"/>
  <c r="T1196" i="4"/>
  <c r="U1195" i="4"/>
  <c r="T1195" i="4"/>
  <c r="U1194" i="4"/>
  <c r="T1194" i="4"/>
  <c r="U1193" i="4"/>
  <c r="T1193" i="4"/>
  <c r="U1192" i="4"/>
  <c r="T1192" i="4"/>
  <c r="U1191" i="4"/>
  <c r="T1191" i="4"/>
  <c r="U1190" i="4"/>
  <c r="T1190" i="4"/>
  <c r="U1189" i="4"/>
  <c r="T1189" i="4"/>
  <c r="U1188" i="4"/>
  <c r="T1188" i="4"/>
  <c r="U1187" i="4"/>
  <c r="T1187" i="4"/>
  <c r="U1186" i="4"/>
  <c r="T1186" i="4"/>
  <c r="U1185" i="4"/>
  <c r="T1185" i="4"/>
  <c r="U1184" i="4"/>
  <c r="T1184" i="4"/>
  <c r="U1183" i="4"/>
  <c r="T1183" i="4"/>
  <c r="U1182" i="4"/>
  <c r="T1182" i="4"/>
  <c r="U1181" i="4"/>
  <c r="T1181" i="4"/>
  <c r="U1180" i="4"/>
  <c r="T1180" i="4"/>
  <c r="U1179" i="4"/>
  <c r="T1179" i="4"/>
  <c r="U1178" i="4"/>
  <c r="T1178" i="4"/>
  <c r="U1177" i="4"/>
  <c r="T1177" i="4"/>
  <c r="U1176" i="4"/>
  <c r="T1176" i="4"/>
  <c r="U1175" i="4"/>
  <c r="T1175" i="4"/>
  <c r="U1174" i="4"/>
  <c r="T1174" i="4"/>
  <c r="U1173" i="4"/>
  <c r="T1173" i="4"/>
  <c r="U1172" i="4"/>
  <c r="T1172" i="4"/>
  <c r="U1171" i="4"/>
  <c r="T1171" i="4"/>
  <c r="U1170" i="4"/>
  <c r="T1170" i="4"/>
  <c r="U1169" i="4"/>
  <c r="T1169" i="4"/>
  <c r="U1168" i="4"/>
  <c r="T1168" i="4"/>
  <c r="U1167" i="4"/>
  <c r="T1167" i="4"/>
  <c r="U1166" i="4"/>
  <c r="T1166" i="4"/>
  <c r="U1165" i="4"/>
  <c r="T1165" i="4"/>
  <c r="U1164" i="4"/>
  <c r="T1164" i="4"/>
  <c r="U1163" i="4"/>
  <c r="T1163" i="4"/>
  <c r="U1162" i="4"/>
  <c r="T1162" i="4"/>
  <c r="U1161" i="4"/>
  <c r="T1161" i="4"/>
  <c r="P1161" i="4"/>
  <c r="U1160" i="4"/>
  <c r="T1160" i="4"/>
  <c r="U1159" i="4"/>
  <c r="T1159" i="4"/>
  <c r="U1158" i="4"/>
  <c r="T1158" i="4"/>
  <c r="U1157" i="4"/>
  <c r="T1157" i="4"/>
  <c r="U1156" i="4"/>
  <c r="T1156" i="4"/>
  <c r="U1155" i="4"/>
  <c r="T1155" i="4"/>
  <c r="U1154" i="4"/>
  <c r="T1154" i="4"/>
  <c r="U1153" i="4"/>
  <c r="T1153" i="4"/>
  <c r="U1152" i="4"/>
  <c r="T1152" i="4"/>
  <c r="U1151" i="4"/>
  <c r="T1151" i="4"/>
  <c r="U1150" i="4"/>
  <c r="T1150" i="4"/>
  <c r="U1149" i="4"/>
  <c r="T1149" i="4"/>
  <c r="U1148" i="4"/>
  <c r="T1148" i="4"/>
  <c r="U1147" i="4"/>
  <c r="T1147" i="4"/>
  <c r="U1146" i="4"/>
  <c r="T1146" i="4"/>
  <c r="U1145" i="4"/>
  <c r="T1145" i="4"/>
  <c r="L1145" i="4"/>
  <c r="U1144" i="4"/>
  <c r="T1144" i="4"/>
  <c r="L1144" i="4"/>
  <c r="U1143" i="4"/>
  <c r="T1143" i="4"/>
  <c r="L1143" i="4"/>
  <c r="U1142" i="4"/>
  <c r="T1142" i="4"/>
  <c r="U1141" i="4"/>
  <c r="T1141" i="4"/>
  <c r="U1140" i="4"/>
  <c r="T1140" i="4"/>
  <c r="U1139" i="4"/>
  <c r="T1139" i="4"/>
  <c r="U1138" i="4"/>
  <c r="T1138" i="4"/>
  <c r="U1137" i="4"/>
  <c r="T1137" i="4"/>
  <c r="U1136" i="4"/>
  <c r="T1136" i="4"/>
  <c r="U1135" i="4"/>
  <c r="T1135" i="4"/>
  <c r="U1134" i="4"/>
  <c r="T1134" i="4"/>
  <c r="U1133" i="4"/>
  <c r="T1133" i="4"/>
  <c r="U1132" i="4"/>
  <c r="T1132" i="4"/>
  <c r="U1131" i="4"/>
  <c r="T1131" i="4"/>
  <c r="U1130" i="4"/>
  <c r="T1130" i="4"/>
  <c r="U1129" i="4"/>
  <c r="T1129" i="4"/>
  <c r="U1128" i="4"/>
  <c r="T1128" i="4"/>
  <c r="U1127" i="4"/>
  <c r="T1127" i="4"/>
  <c r="Q1127" i="4"/>
  <c r="U1126" i="4"/>
  <c r="T1126" i="4"/>
  <c r="U1125" i="4"/>
  <c r="T1125" i="4"/>
  <c r="U1124" i="4"/>
  <c r="T1124" i="4"/>
  <c r="U1123" i="4"/>
  <c r="T1123" i="4"/>
  <c r="U1122" i="4"/>
  <c r="T1122" i="4"/>
  <c r="U1121" i="4"/>
  <c r="T1121" i="4"/>
  <c r="U1120" i="4"/>
  <c r="T1120" i="4"/>
  <c r="U1119" i="4"/>
  <c r="T1119" i="4"/>
  <c r="U1118" i="4"/>
  <c r="T1118" i="4"/>
  <c r="U1117" i="4"/>
  <c r="T1117" i="4"/>
  <c r="U1116" i="4"/>
  <c r="T1116" i="4"/>
  <c r="U1115" i="4"/>
  <c r="T1115" i="4"/>
  <c r="U1114" i="4"/>
  <c r="T1114" i="4"/>
  <c r="U1113" i="4"/>
  <c r="T1113" i="4"/>
  <c r="U1112" i="4"/>
  <c r="T1112" i="4"/>
  <c r="U1111" i="4"/>
  <c r="T1111" i="4"/>
  <c r="U1110" i="4"/>
  <c r="T1110" i="4"/>
  <c r="U1109" i="4"/>
  <c r="T1109" i="4"/>
  <c r="U1108" i="4"/>
  <c r="T1108" i="4"/>
  <c r="U1107" i="4"/>
  <c r="T1107" i="4"/>
  <c r="U1106" i="4"/>
  <c r="T1106" i="4"/>
  <c r="L1106" i="4"/>
  <c r="U1105" i="4"/>
  <c r="T1105" i="4"/>
  <c r="L1105" i="4"/>
  <c r="U1104" i="4"/>
  <c r="T1104" i="4"/>
  <c r="L1104" i="4"/>
  <c r="U1103" i="4"/>
  <c r="T1103" i="4"/>
  <c r="U1102" i="4"/>
  <c r="T1102" i="4"/>
  <c r="U1101" i="4"/>
  <c r="T1101" i="4"/>
  <c r="U1100" i="4"/>
  <c r="T1100" i="4"/>
  <c r="U1099" i="4"/>
  <c r="T1099" i="4"/>
  <c r="U1098" i="4"/>
  <c r="T1098" i="4"/>
  <c r="U1097" i="4"/>
  <c r="T1097" i="4"/>
  <c r="U1096" i="4"/>
  <c r="T1096" i="4"/>
  <c r="U1095" i="4"/>
  <c r="T1095" i="4"/>
  <c r="U1094" i="4"/>
  <c r="T1094" i="4"/>
  <c r="U1093" i="4"/>
  <c r="T1093" i="4"/>
  <c r="U1092" i="4"/>
  <c r="T1092" i="4"/>
  <c r="U1091" i="4"/>
  <c r="T1091" i="4"/>
  <c r="U1090" i="4"/>
  <c r="T1090" i="4"/>
  <c r="U1089" i="4"/>
  <c r="T1089" i="4"/>
  <c r="U1088" i="4"/>
  <c r="T1088" i="4"/>
  <c r="U1087" i="4"/>
  <c r="T1087" i="4"/>
  <c r="U1086" i="4"/>
  <c r="T1086" i="4"/>
  <c r="U1085" i="4"/>
  <c r="T1085" i="4"/>
  <c r="U1084" i="4"/>
  <c r="T1084" i="4"/>
  <c r="U1083" i="4"/>
  <c r="T1083" i="4"/>
  <c r="U1082" i="4"/>
  <c r="T1082" i="4"/>
  <c r="U1081" i="4"/>
  <c r="T1081" i="4"/>
  <c r="U1080" i="4"/>
  <c r="T1080" i="4"/>
  <c r="U1079" i="4"/>
  <c r="T1079" i="4"/>
  <c r="U1078" i="4"/>
  <c r="T1078" i="4"/>
  <c r="U1077" i="4"/>
  <c r="T1077" i="4"/>
  <c r="U1076" i="4"/>
  <c r="T1076" i="4"/>
  <c r="U1075" i="4"/>
  <c r="T1075" i="4"/>
  <c r="U1074" i="4"/>
  <c r="T1074" i="4"/>
  <c r="U1073" i="4"/>
  <c r="T1073" i="4"/>
  <c r="U1072" i="4"/>
  <c r="T1072" i="4"/>
  <c r="U1071" i="4"/>
  <c r="T1071" i="4"/>
  <c r="U1070" i="4"/>
  <c r="T1070" i="4"/>
  <c r="U1069" i="4"/>
  <c r="T1069" i="4"/>
  <c r="U1068" i="4"/>
  <c r="T1068" i="4"/>
  <c r="U1067" i="4"/>
  <c r="T1067" i="4"/>
  <c r="U1066" i="4"/>
  <c r="T1066" i="4"/>
  <c r="U1065" i="4"/>
  <c r="T1065" i="4"/>
  <c r="U1064" i="4"/>
  <c r="T1064" i="4"/>
  <c r="U1063" i="4"/>
  <c r="T1063" i="4"/>
  <c r="U1062" i="4"/>
  <c r="T1062" i="4"/>
  <c r="U1061" i="4"/>
  <c r="T1061" i="4"/>
  <c r="U1060" i="4"/>
  <c r="T1060" i="4"/>
  <c r="U1059" i="4"/>
  <c r="T1059" i="4"/>
  <c r="U1058" i="4"/>
  <c r="T1058" i="4"/>
  <c r="U1057" i="4"/>
  <c r="T1057" i="4"/>
  <c r="U1056" i="4"/>
  <c r="T1056" i="4"/>
  <c r="U1055" i="4"/>
  <c r="T1055" i="4"/>
  <c r="U1054" i="4"/>
  <c r="T1054" i="4"/>
  <c r="U1053" i="4"/>
  <c r="T1053" i="4"/>
  <c r="U1052" i="4"/>
  <c r="T1052" i="4"/>
  <c r="U1051" i="4"/>
  <c r="T1051" i="4"/>
  <c r="U1050" i="4"/>
  <c r="T1050" i="4"/>
  <c r="U1049" i="4"/>
  <c r="T1049" i="4"/>
  <c r="U1048" i="4"/>
  <c r="T1048" i="4"/>
  <c r="U1047" i="4"/>
  <c r="T1047" i="4"/>
  <c r="U1046" i="4"/>
  <c r="T1046" i="4"/>
  <c r="U1045" i="4"/>
  <c r="T1045" i="4"/>
  <c r="U1044" i="4"/>
  <c r="T1044" i="4"/>
  <c r="U1043" i="4"/>
  <c r="T1043" i="4"/>
  <c r="U1042" i="4"/>
  <c r="T1042" i="4"/>
  <c r="U1041" i="4"/>
  <c r="T1041" i="4"/>
  <c r="U1040" i="4"/>
  <c r="T1040" i="4"/>
  <c r="U1039" i="4"/>
  <c r="T1039" i="4"/>
  <c r="U1038" i="4"/>
  <c r="T1038" i="4"/>
  <c r="U1037" i="4"/>
  <c r="T1037" i="4"/>
  <c r="U1036" i="4"/>
  <c r="T1036" i="4"/>
  <c r="U1035" i="4"/>
  <c r="T1035" i="4"/>
  <c r="U1034" i="4"/>
  <c r="T1034" i="4"/>
  <c r="U1033" i="4"/>
  <c r="T1033" i="4"/>
  <c r="U1032" i="4"/>
  <c r="T1032" i="4"/>
  <c r="U1031" i="4"/>
  <c r="T1031" i="4"/>
  <c r="U1030" i="4"/>
  <c r="T1030" i="4"/>
  <c r="U1029" i="4"/>
  <c r="T1029" i="4"/>
  <c r="U1028" i="4"/>
  <c r="T1028" i="4"/>
  <c r="U1027" i="4"/>
  <c r="T1027" i="4"/>
  <c r="U1026" i="4"/>
  <c r="T1026" i="4"/>
  <c r="U1025" i="4"/>
  <c r="T1025" i="4"/>
  <c r="U1024" i="4"/>
  <c r="T1024" i="4"/>
  <c r="U1023" i="4"/>
  <c r="T1023" i="4"/>
  <c r="U1022" i="4"/>
  <c r="T1022" i="4"/>
  <c r="U1021" i="4"/>
  <c r="T1021" i="4"/>
  <c r="U1020" i="4"/>
  <c r="T1020" i="4"/>
  <c r="U1019" i="4"/>
  <c r="T1019" i="4"/>
  <c r="Q1019" i="4"/>
  <c r="P1019" i="4"/>
  <c r="U1018" i="4"/>
  <c r="T1018" i="4"/>
  <c r="U1017" i="4"/>
  <c r="T1017" i="4"/>
  <c r="U1016" i="4"/>
  <c r="T1016" i="4"/>
  <c r="U1015" i="4"/>
  <c r="T1015" i="4"/>
  <c r="U1014" i="4"/>
  <c r="T1014" i="4"/>
  <c r="U1013" i="4"/>
  <c r="T1013" i="4"/>
  <c r="U1012" i="4"/>
  <c r="T1012" i="4"/>
  <c r="U1011" i="4"/>
  <c r="T1011" i="4"/>
  <c r="U1010" i="4"/>
  <c r="T1010" i="4"/>
  <c r="U1009" i="4"/>
  <c r="T1009" i="4"/>
  <c r="U1008" i="4"/>
  <c r="T1008" i="4"/>
  <c r="U1007" i="4"/>
  <c r="T1007" i="4"/>
  <c r="U1006" i="4"/>
  <c r="T1006" i="4"/>
  <c r="U1005" i="4"/>
  <c r="T1005" i="4"/>
  <c r="U1004" i="4"/>
  <c r="T1004" i="4"/>
  <c r="U1003" i="4"/>
  <c r="T1003" i="4"/>
  <c r="U1002" i="4"/>
  <c r="T1002" i="4"/>
  <c r="U1001" i="4"/>
  <c r="T1001" i="4"/>
  <c r="U1000" i="4"/>
  <c r="T1000" i="4"/>
  <c r="U999" i="4"/>
  <c r="T999" i="4"/>
  <c r="U998" i="4"/>
  <c r="T998" i="4"/>
  <c r="U997" i="4"/>
  <c r="T997" i="4"/>
  <c r="U996" i="4"/>
  <c r="T996" i="4"/>
  <c r="U995" i="4"/>
  <c r="T995" i="4"/>
  <c r="U994" i="4"/>
  <c r="T994" i="4"/>
  <c r="U993" i="4"/>
  <c r="T993" i="4"/>
  <c r="U992" i="4"/>
  <c r="T992" i="4"/>
  <c r="U991" i="4"/>
  <c r="T991" i="4"/>
  <c r="U990" i="4"/>
  <c r="T990" i="4"/>
  <c r="U989" i="4"/>
  <c r="T989" i="4"/>
  <c r="U988" i="4"/>
  <c r="T988" i="4"/>
  <c r="U987" i="4"/>
  <c r="T987" i="4"/>
  <c r="U986" i="4"/>
  <c r="T986" i="4"/>
  <c r="U985" i="4"/>
  <c r="T985" i="4"/>
  <c r="U984" i="4"/>
  <c r="T984" i="4"/>
  <c r="U983" i="4"/>
  <c r="T983" i="4"/>
  <c r="U982" i="4"/>
  <c r="T982" i="4"/>
  <c r="U981" i="4"/>
  <c r="T981" i="4"/>
  <c r="U980" i="4"/>
  <c r="T980" i="4"/>
  <c r="U979" i="4"/>
  <c r="T979" i="4"/>
  <c r="U978" i="4"/>
  <c r="T978" i="4"/>
  <c r="U977" i="4"/>
  <c r="T977" i="4"/>
  <c r="U976" i="4"/>
  <c r="T976" i="4"/>
  <c r="U975" i="4"/>
  <c r="T975" i="4"/>
  <c r="U974" i="4"/>
  <c r="T974" i="4"/>
  <c r="U973" i="4"/>
  <c r="T973" i="4"/>
  <c r="U972" i="4"/>
  <c r="T972" i="4"/>
  <c r="U971" i="4"/>
  <c r="T971" i="4"/>
  <c r="U970" i="4"/>
  <c r="T970" i="4"/>
  <c r="U969" i="4"/>
  <c r="T969" i="4"/>
  <c r="U968" i="4"/>
  <c r="T968" i="4"/>
  <c r="U967" i="4"/>
  <c r="T967" i="4"/>
  <c r="U966" i="4"/>
  <c r="T966" i="4"/>
  <c r="U965" i="4"/>
  <c r="T965" i="4"/>
  <c r="U964" i="4"/>
  <c r="T964" i="4"/>
  <c r="U963" i="4"/>
  <c r="T963" i="4"/>
  <c r="U962" i="4"/>
  <c r="T962" i="4"/>
  <c r="U961" i="4"/>
  <c r="T961" i="4"/>
  <c r="U960" i="4"/>
  <c r="T960" i="4"/>
  <c r="U959" i="4"/>
  <c r="T959" i="4"/>
  <c r="U958" i="4"/>
  <c r="T958" i="4"/>
  <c r="U957" i="4"/>
  <c r="T957" i="4"/>
  <c r="U956" i="4"/>
  <c r="T956" i="4"/>
  <c r="U955" i="4"/>
  <c r="T955" i="4"/>
  <c r="U954" i="4"/>
  <c r="T954" i="4"/>
  <c r="U953" i="4"/>
  <c r="T953" i="4"/>
  <c r="U952" i="4"/>
  <c r="T952" i="4"/>
  <c r="U951" i="4"/>
  <c r="T951" i="4"/>
  <c r="U950" i="4"/>
  <c r="T950" i="4"/>
  <c r="U949" i="4"/>
  <c r="T949" i="4"/>
  <c r="U948" i="4"/>
  <c r="T948" i="4"/>
  <c r="U947" i="4"/>
  <c r="T947" i="4"/>
  <c r="U946" i="4"/>
  <c r="T946" i="4"/>
  <c r="U945" i="4"/>
  <c r="T945" i="4"/>
  <c r="U944" i="4"/>
  <c r="T944" i="4"/>
  <c r="U943" i="4"/>
  <c r="T943" i="4"/>
  <c r="U942" i="4"/>
  <c r="T942" i="4"/>
  <c r="U941" i="4"/>
  <c r="T941" i="4"/>
  <c r="U940" i="4"/>
  <c r="T940" i="4"/>
  <c r="U939" i="4"/>
  <c r="T939" i="4"/>
  <c r="U938" i="4"/>
  <c r="T938" i="4"/>
  <c r="L938" i="4"/>
  <c r="K938" i="4"/>
  <c r="U937" i="4"/>
  <c r="T937" i="4"/>
  <c r="Q937" i="4"/>
  <c r="P937" i="4"/>
  <c r="L937" i="4"/>
  <c r="K937" i="4"/>
  <c r="U936" i="4"/>
  <c r="T936" i="4"/>
  <c r="L936" i="4"/>
  <c r="K936" i="4"/>
  <c r="U935" i="4"/>
  <c r="T935" i="4"/>
  <c r="U934" i="4"/>
  <c r="T934" i="4"/>
  <c r="U933" i="4"/>
  <c r="T933" i="4"/>
  <c r="U932" i="4"/>
  <c r="T932" i="4"/>
  <c r="U931" i="4"/>
  <c r="T931" i="4"/>
  <c r="U930" i="4"/>
  <c r="T930" i="4"/>
  <c r="U929" i="4"/>
  <c r="T929" i="4"/>
  <c r="U928" i="4"/>
  <c r="T928" i="4"/>
  <c r="U927" i="4"/>
  <c r="T927" i="4"/>
  <c r="U926" i="4"/>
  <c r="T926" i="4"/>
  <c r="U925" i="4"/>
  <c r="T925" i="4"/>
  <c r="U924" i="4"/>
  <c r="T924" i="4"/>
  <c r="U923" i="4"/>
  <c r="T923" i="4"/>
  <c r="U922" i="4"/>
  <c r="T922" i="4"/>
  <c r="U921" i="4"/>
  <c r="T921" i="4"/>
  <c r="U920" i="4"/>
  <c r="T920" i="4"/>
  <c r="U919" i="4"/>
  <c r="T919" i="4"/>
  <c r="U918" i="4"/>
  <c r="T918" i="4"/>
  <c r="U917" i="4"/>
  <c r="T917" i="4"/>
  <c r="U916" i="4"/>
  <c r="T916" i="4"/>
  <c r="U915" i="4"/>
  <c r="T915" i="4"/>
  <c r="U914" i="4"/>
  <c r="T914" i="4"/>
  <c r="U913" i="4"/>
  <c r="T913" i="4"/>
  <c r="U912" i="4"/>
  <c r="T912" i="4"/>
  <c r="U911" i="4"/>
  <c r="T911" i="4"/>
  <c r="U910" i="4"/>
  <c r="T910" i="4"/>
  <c r="U909" i="4"/>
  <c r="T909" i="4"/>
  <c r="U908" i="4"/>
  <c r="T908" i="4"/>
  <c r="U907" i="4"/>
  <c r="T907" i="4"/>
  <c r="U906" i="4"/>
  <c r="T906" i="4"/>
  <c r="U905" i="4"/>
  <c r="T905" i="4"/>
  <c r="U904" i="4"/>
  <c r="T904" i="4"/>
  <c r="U903" i="4"/>
  <c r="T903" i="4"/>
  <c r="U902" i="4"/>
  <c r="T902" i="4"/>
  <c r="U901" i="4"/>
  <c r="T901" i="4"/>
  <c r="U900" i="4"/>
  <c r="T900" i="4"/>
  <c r="U899" i="4"/>
  <c r="T899" i="4"/>
  <c r="U898" i="4"/>
  <c r="T898" i="4"/>
  <c r="U897" i="4"/>
  <c r="T897" i="4"/>
  <c r="U896" i="4"/>
  <c r="T896" i="4"/>
  <c r="U895" i="4"/>
  <c r="T895" i="4"/>
  <c r="U894" i="4"/>
  <c r="T894" i="4"/>
  <c r="U893" i="4"/>
  <c r="T893" i="4"/>
  <c r="U892" i="4"/>
  <c r="T892" i="4"/>
  <c r="U891" i="4"/>
  <c r="T891" i="4"/>
  <c r="U890" i="4"/>
  <c r="T890" i="4"/>
  <c r="U889" i="4"/>
  <c r="T889" i="4"/>
  <c r="U888" i="4"/>
  <c r="T888" i="4"/>
  <c r="U887" i="4"/>
  <c r="T887" i="4"/>
  <c r="U886" i="4"/>
  <c r="T886" i="4"/>
  <c r="U885" i="4"/>
  <c r="T885" i="4"/>
  <c r="U884" i="4"/>
  <c r="T884" i="4"/>
  <c r="U883" i="4"/>
  <c r="T883" i="4"/>
  <c r="U882" i="4"/>
  <c r="T882" i="4"/>
  <c r="U881" i="4"/>
  <c r="T881" i="4"/>
  <c r="U880" i="4"/>
  <c r="T880" i="4"/>
  <c r="U879" i="4"/>
  <c r="T879" i="4"/>
  <c r="U878" i="4"/>
  <c r="T878" i="4"/>
  <c r="U877" i="4"/>
  <c r="T877" i="4"/>
  <c r="U876" i="4"/>
  <c r="T876" i="4"/>
  <c r="U875" i="4"/>
  <c r="T875" i="4"/>
  <c r="U874" i="4"/>
  <c r="T874" i="4"/>
  <c r="U873" i="4"/>
  <c r="T873" i="4"/>
  <c r="U872" i="4"/>
  <c r="T872" i="4"/>
  <c r="U871" i="4"/>
  <c r="T871" i="4"/>
  <c r="U870" i="4"/>
  <c r="T870" i="4"/>
  <c r="U869" i="4"/>
  <c r="T869" i="4"/>
  <c r="U868" i="4"/>
  <c r="T868" i="4"/>
  <c r="U867" i="4"/>
  <c r="T867" i="4"/>
  <c r="U866" i="4"/>
  <c r="T866" i="4"/>
  <c r="U865" i="4"/>
  <c r="T865" i="4"/>
  <c r="U864" i="4"/>
  <c r="T864" i="4"/>
  <c r="U863" i="4"/>
  <c r="T863" i="4"/>
  <c r="U862" i="4"/>
  <c r="T862" i="4"/>
  <c r="U861" i="4"/>
  <c r="T861" i="4"/>
  <c r="U860" i="4"/>
  <c r="T860" i="4"/>
  <c r="U859" i="4"/>
  <c r="T859" i="4"/>
  <c r="U858" i="4"/>
  <c r="T858" i="4"/>
  <c r="U857" i="4"/>
  <c r="T857" i="4"/>
  <c r="U856" i="4"/>
  <c r="T856" i="4"/>
  <c r="U855" i="4"/>
  <c r="T855" i="4"/>
  <c r="U854" i="4"/>
  <c r="T854" i="4"/>
  <c r="U853" i="4"/>
  <c r="T853" i="4"/>
  <c r="U852" i="4"/>
  <c r="T852" i="4"/>
  <c r="U851" i="4"/>
  <c r="T851" i="4"/>
  <c r="U850" i="4"/>
  <c r="T850" i="4"/>
  <c r="U849" i="4"/>
  <c r="T849" i="4"/>
  <c r="U848" i="4"/>
  <c r="T848" i="4"/>
  <c r="U847" i="4"/>
  <c r="T847" i="4"/>
  <c r="U846" i="4"/>
  <c r="T846" i="4"/>
  <c r="U845" i="4"/>
  <c r="T845" i="4"/>
  <c r="U844" i="4"/>
  <c r="T844" i="4"/>
  <c r="U843" i="4"/>
  <c r="T843" i="4"/>
  <c r="U842" i="4"/>
  <c r="T842" i="4"/>
  <c r="U841" i="4"/>
  <c r="T841" i="4"/>
  <c r="U840" i="4"/>
  <c r="T840" i="4"/>
  <c r="U839" i="4"/>
  <c r="T839" i="4"/>
  <c r="U838" i="4"/>
  <c r="T838" i="4"/>
  <c r="U837" i="4"/>
  <c r="T837" i="4"/>
  <c r="U836" i="4"/>
  <c r="T836" i="4"/>
  <c r="U835" i="4"/>
  <c r="T835" i="4"/>
  <c r="U834" i="4"/>
  <c r="T834" i="4"/>
  <c r="U833" i="4"/>
  <c r="T833" i="4"/>
  <c r="U832" i="4"/>
  <c r="T832" i="4"/>
  <c r="U831" i="4"/>
  <c r="T831" i="4"/>
  <c r="U830" i="4"/>
  <c r="T830" i="4"/>
  <c r="U829" i="4"/>
  <c r="T829" i="4"/>
  <c r="U828" i="4"/>
  <c r="T828" i="4"/>
  <c r="U827" i="4"/>
  <c r="T827" i="4"/>
  <c r="U826" i="4"/>
  <c r="T826" i="4"/>
  <c r="U825" i="4"/>
  <c r="T825" i="4"/>
  <c r="U824" i="4"/>
  <c r="T824" i="4"/>
  <c r="U823" i="4"/>
  <c r="T823" i="4"/>
  <c r="U822" i="4"/>
  <c r="T822" i="4"/>
  <c r="U821" i="4"/>
  <c r="T821" i="4"/>
  <c r="U820" i="4"/>
  <c r="T820" i="4"/>
  <c r="U819" i="4"/>
  <c r="T819" i="4"/>
  <c r="U818" i="4"/>
  <c r="T818" i="4"/>
  <c r="U817" i="4"/>
  <c r="T817" i="4"/>
  <c r="U816" i="4"/>
  <c r="T816" i="4"/>
  <c r="U815" i="4"/>
  <c r="T815" i="4"/>
  <c r="U814" i="4"/>
  <c r="T814" i="4"/>
  <c r="U813" i="4"/>
  <c r="T813" i="4"/>
  <c r="U812" i="4"/>
  <c r="T812" i="4"/>
  <c r="U811" i="4"/>
  <c r="T811" i="4"/>
  <c r="U810" i="4"/>
  <c r="T810" i="4"/>
  <c r="U809" i="4"/>
  <c r="T809" i="4"/>
  <c r="U808" i="4"/>
  <c r="T808" i="4"/>
  <c r="U807" i="4"/>
  <c r="T807" i="4"/>
  <c r="U806" i="4"/>
  <c r="T806" i="4"/>
  <c r="U805" i="4"/>
  <c r="T805" i="4"/>
  <c r="U804" i="4"/>
  <c r="T804" i="4"/>
  <c r="U803" i="4"/>
  <c r="T803" i="4"/>
  <c r="U802" i="4"/>
  <c r="T802" i="4"/>
  <c r="U801" i="4"/>
  <c r="T801" i="4"/>
  <c r="U800" i="4"/>
  <c r="T800" i="4"/>
  <c r="U799" i="4"/>
  <c r="T799" i="4"/>
  <c r="U798" i="4"/>
  <c r="T798" i="4"/>
  <c r="U797" i="4"/>
  <c r="T797" i="4"/>
  <c r="U796" i="4"/>
  <c r="T796" i="4"/>
  <c r="U795" i="4"/>
  <c r="T795" i="4"/>
  <c r="U794" i="4"/>
  <c r="T794" i="4"/>
  <c r="U793" i="4"/>
  <c r="T793" i="4"/>
  <c r="U792" i="4"/>
  <c r="T792" i="4"/>
  <c r="U791" i="4"/>
  <c r="T791" i="4"/>
  <c r="U790" i="4"/>
  <c r="T790" i="4"/>
  <c r="U789" i="4"/>
  <c r="T789" i="4"/>
  <c r="U788" i="4"/>
  <c r="T788" i="4"/>
  <c r="U787" i="4"/>
  <c r="T787" i="4"/>
  <c r="U786" i="4"/>
  <c r="T786" i="4"/>
  <c r="U785" i="4"/>
  <c r="T785" i="4"/>
  <c r="U784" i="4"/>
  <c r="T784" i="4"/>
  <c r="U783" i="4"/>
  <c r="T783" i="4"/>
  <c r="U782" i="4"/>
  <c r="T782" i="4"/>
  <c r="U781" i="4"/>
  <c r="T781" i="4"/>
  <c r="U780" i="4"/>
  <c r="T780" i="4"/>
  <c r="U779" i="4"/>
  <c r="T779" i="4"/>
  <c r="U778" i="4"/>
  <c r="T778" i="4"/>
  <c r="U777" i="4"/>
  <c r="T777" i="4"/>
  <c r="U776" i="4"/>
  <c r="T776" i="4"/>
  <c r="U775" i="4"/>
  <c r="T775" i="4"/>
  <c r="U774" i="4"/>
  <c r="T774" i="4"/>
  <c r="U773" i="4"/>
  <c r="T773" i="4"/>
  <c r="U772" i="4"/>
  <c r="T772" i="4"/>
  <c r="U771" i="4"/>
  <c r="T771" i="4"/>
  <c r="U770" i="4"/>
  <c r="T770" i="4"/>
  <c r="U769" i="4"/>
  <c r="T769" i="4"/>
  <c r="U768" i="4"/>
  <c r="T768" i="4"/>
  <c r="U767" i="4"/>
  <c r="T767" i="4"/>
  <c r="U766" i="4"/>
  <c r="T766" i="4"/>
  <c r="U765" i="4"/>
  <c r="T765" i="4"/>
  <c r="U764" i="4"/>
  <c r="T764" i="4"/>
  <c r="U763" i="4"/>
  <c r="T763" i="4"/>
  <c r="U762" i="4"/>
  <c r="T762" i="4"/>
  <c r="U761" i="4"/>
  <c r="T761" i="4"/>
  <c r="U760" i="4"/>
  <c r="T760" i="4"/>
  <c r="U759" i="4"/>
  <c r="T759" i="4"/>
  <c r="U758" i="4"/>
  <c r="T758" i="4"/>
  <c r="U757" i="4"/>
  <c r="T757" i="4"/>
  <c r="U756" i="4"/>
  <c r="T756" i="4"/>
  <c r="U755" i="4"/>
  <c r="T755" i="4"/>
  <c r="U754" i="4"/>
  <c r="T754" i="4"/>
  <c r="U753" i="4"/>
  <c r="T753" i="4"/>
  <c r="U752" i="4"/>
  <c r="T752" i="4"/>
  <c r="U751" i="4"/>
  <c r="T751" i="4"/>
  <c r="U750" i="4"/>
  <c r="T750" i="4"/>
  <c r="U749" i="4"/>
  <c r="T749" i="4"/>
  <c r="U748" i="4"/>
  <c r="T748" i="4"/>
  <c r="U747" i="4"/>
  <c r="T747" i="4"/>
  <c r="U746" i="4"/>
  <c r="T746" i="4"/>
  <c r="U745" i="4"/>
  <c r="T745" i="4"/>
  <c r="U744" i="4"/>
  <c r="T744" i="4"/>
  <c r="U743" i="4"/>
  <c r="T743" i="4"/>
  <c r="U742" i="4"/>
  <c r="T742" i="4"/>
  <c r="U741" i="4"/>
  <c r="T741" i="4"/>
  <c r="U740" i="4"/>
  <c r="T740" i="4"/>
  <c r="U739" i="4"/>
  <c r="T739" i="4"/>
  <c r="U738" i="4"/>
  <c r="T738" i="4"/>
  <c r="U737" i="4"/>
  <c r="T737" i="4"/>
  <c r="U736" i="4"/>
  <c r="T736" i="4"/>
  <c r="U735" i="4"/>
  <c r="T735" i="4"/>
  <c r="U734" i="4"/>
  <c r="T734" i="4"/>
  <c r="U733" i="4"/>
  <c r="T733" i="4"/>
  <c r="U732" i="4"/>
  <c r="T732" i="4"/>
  <c r="U731" i="4"/>
  <c r="T731" i="4"/>
  <c r="U730" i="4"/>
  <c r="T730" i="4"/>
  <c r="U729" i="4"/>
  <c r="T729" i="4"/>
  <c r="U728" i="4"/>
  <c r="T728" i="4"/>
  <c r="U727" i="4"/>
  <c r="T727" i="4"/>
  <c r="U726" i="4"/>
  <c r="T726" i="4"/>
  <c r="U725" i="4"/>
  <c r="T725" i="4"/>
  <c r="U724" i="4"/>
  <c r="T724" i="4"/>
  <c r="U723" i="4"/>
  <c r="T723" i="4"/>
  <c r="U722" i="4"/>
  <c r="T722" i="4"/>
  <c r="U721" i="4"/>
  <c r="T721" i="4"/>
  <c r="U720" i="4"/>
  <c r="T720" i="4"/>
  <c r="U719" i="4"/>
  <c r="T719" i="4"/>
  <c r="U718" i="4"/>
  <c r="T718" i="4"/>
  <c r="U717" i="4"/>
  <c r="T717" i="4"/>
  <c r="U716" i="4"/>
  <c r="T716" i="4"/>
  <c r="U715" i="4"/>
  <c r="T715" i="4"/>
  <c r="U714" i="4"/>
  <c r="T714" i="4"/>
  <c r="U713" i="4"/>
  <c r="T713" i="4"/>
  <c r="U712" i="4"/>
  <c r="T712" i="4"/>
  <c r="U711" i="4"/>
  <c r="T711" i="4"/>
  <c r="U710" i="4"/>
  <c r="T710" i="4"/>
  <c r="U709" i="4"/>
  <c r="T709" i="4"/>
  <c r="U708" i="4"/>
  <c r="T708" i="4"/>
  <c r="U707" i="4"/>
  <c r="T707" i="4"/>
  <c r="U706" i="4"/>
  <c r="T706" i="4"/>
  <c r="U705" i="4"/>
  <c r="T705" i="4"/>
  <c r="U704" i="4"/>
  <c r="T704" i="4"/>
  <c r="U703" i="4"/>
  <c r="T703" i="4"/>
  <c r="U702" i="4"/>
  <c r="T702" i="4"/>
  <c r="U701" i="4"/>
  <c r="T701" i="4"/>
  <c r="U700" i="4"/>
  <c r="T700" i="4"/>
  <c r="U699" i="4"/>
  <c r="T699" i="4"/>
  <c r="U698" i="4"/>
  <c r="T698" i="4"/>
  <c r="U697" i="4"/>
  <c r="T697" i="4"/>
  <c r="U696" i="4"/>
  <c r="T696" i="4"/>
  <c r="U695" i="4"/>
  <c r="T695" i="4"/>
  <c r="U694" i="4"/>
  <c r="T694" i="4"/>
  <c r="U693" i="4"/>
  <c r="T693" i="4"/>
  <c r="U692" i="4"/>
  <c r="T692" i="4"/>
  <c r="U691" i="4"/>
  <c r="T691" i="4"/>
  <c r="U690" i="4"/>
  <c r="T690" i="4"/>
  <c r="U689" i="4"/>
  <c r="T689" i="4"/>
  <c r="U688" i="4"/>
  <c r="T688" i="4"/>
  <c r="U687" i="4"/>
  <c r="T687" i="4"/>
  <c r="U686" i="4"/>
  <c r="T686" i="4"/>
  <c r="U685" i="4"/>
  <c r="T685" i="4"/>
  <c r="U684" i="4"/>
  <c r="T684" i="4"/>
  <c r="U683" i="4"/>
  <c r="T683" i="4"/>
  <c r="U682" i="4"/>
  <c r="T682" i="4"/>
  <c r="U681" i="4"/>
  <c r="T681" i="4"/>
  <c r="U680" i="4"/>
  <c r="T680" i="4"/>
  <c r="U679" i="4"/>
  <c r="T679" i="4"/>
  <c r="U678" i="4"/>
  <c r="T678" i="4"/>
  <c r="U677" i="4"/>
  <c r="T677" i="4"/>
  <c r="U676" i="4"/>
  <c r="T676" i="4"/>
  <c r="U675" i="4"/>
  <c r="T675" i="4"/>
  <c r="U674" i="4"/>
  <c r="T674" i="4"/>
  <c r="U673" i="4"/>
  <c r="T673" i="4"/>
  <c r="U672" i="4"/>
  <c r="T672" i="4"/>
  <c r="U671" i="4"/>
  <c r="T671" i="4"/>
  <c r="U670" i="4"/>
  <c r="T670" i="4"/>
  <c r="U669" i="4"/>
  <c r="T669" i="4"/>
  <c r="U668" i="4"/>
  <c r="T668" i="4"/>
  <c r="U667" i="4"/>
  <c r="T667" i="4"/>
  <c r="U666" i="4"/>
  <c r="T666" i="4"/>
  <c r="U665" i="4"/>
  <c r="T665" i="4"/>
  <c r="U664" i="4"/>
  <c r="T664" i="4"/>
  <c r="U663" i="4"/>
  <c r="T663" i="4"/>
  <c r="U662" i="4"/>
  <c r="T662" i="4"/>
  <c r="U661" i="4"/>
  <c r="T661" i="4"/>
  <c r="U660" i="4"/>
  <c r="T660" i="4"/>
  <c r="U659" i="4"/>
  <c r="T659" i="4"/>
  <c r="U658" i="4"/>
  <c r="T658" i="4"/>
  <c r="U657" i="4"/>
  <c r="T657" i="4"/>
  <c r="U656" i="4"/>
  <c r="T656" i="4"/>
  <c r="U655" i="4"/>
  <c r="T655" i="4"/>
  <c r="U654" i="4"/>
  <c r="T654" i="4"/>
  <c r="U653" i="4"/>
  <c r="T653" i="4"/>
  <c r="U652" i="4"/>
  <c r="T652" i="4"/>
  <c r="U651" i="4"/>
  <c r="T651" i="4"/>
  <c r="U650" i="4"/>
  <c r="T650" i="4"/>
  <c r="U649" i="4"/>
  <c r="T649" i="4"/>
  <c r="U648" i="4"/>
  <c r="T648" i="4"/>
  <c r="U647" i="4"/>
  <c r="T647" i="4"/>
  <c r="U646" i="4"/>
  <c r="T646" i="4"/>
  <c r="U645" i="4"/>
  <c r="T645" i="4"/>
  <c r="U644" i="4"/>
  <c r="T644" i="4"/>
  <c r="U643" i="4"/>
  <c r="T643" i="4"/>
  <c r="U642" i="4"/>
  <c r="T642" i="4"/>
  <c r="U641" i="4"/>
  <c r="T641" i="4"/>
  <c r="U640" i="4"/>
  <c r="T640" i="4"/>
  <c r="U639" i="4"/>
  <c r="T639" i="4"/>
  <c r="U638" i="4"/>
  <c r="T638" i="4"/>
  <c r="U637" i="4"/>
  <c r="T637" i="4"/>
  <c r="U636" i="4"/>
  <c r="T636" i="4"/>
  <c r="U635" i="4"/>
  <c r="T635" i="4"/>
  <c r="U634" i="4"/>
  <c r="T634" i="4"/>
  <c r="U633" i="4"/>
  <c r="T633" i="4"/>
  <c r="U632" i="4"/>
  <c r="T632" i="4"/>
  <c r="U631" i="4"/>
  <c r="T631" i="4"/>
  <c r="U630" i="4"/>
  <c r="T630" i="4"/>
  <c r="U629" i="4"/>
  <c r="T629" i="4"/>
  <c r="U628" i="4"/>
  <c r="T628" i="4"/>
  <c r="U627" i="4"/>
  <c r="T627" i="4"/>
  <c r="U626" i="4"/>
  <c r="T626" i="4"/>
  <c r="U625" i="4"/>
  <c r="T625" i="4"/>
  <c r="U624" i="4"/>
  <c r="T624" i="4"/>
  <c r="U623" i="4"/>
  <c r="T623" i="4"/>
  <c r="U622" i="4"/>
  <c r="T622" i="4"/>
  <c r="U621" i="4"/>
  <c r="T621" i="4"/>
  <c r="U620" i="4"/>
  <c r="T620" i="4"/>
  <c r="U619" i="4"/>
  <c r="T619" i="4"/>
  <c r="U618" i="4"/>
  <c r="T618" i="4"/>
  <c r="U617" i="4"/>
  <c r="T617" i="4"/>
  <c r="U616" i="4"/>
  <c r="T616" i="4"/>
  <c r="U615" i="4"/>
  <c r="T615" i="4"/>
  <c r="U614" i="4"/>
  <c r="T614" i="4"/>
  <c r="U613" i="4"/>
  <c r="T613" i="4"/>
  <c r="U612" i="4"/>
  <c r="T612" i="4"/>
  <c r="U611" i="4"/>
  <c r="T611" i="4"/>
  <c r="U610" i="4"/>
  <c r="T610" i="4"/>
  <c r="U609" i="4"/>
  <c r="T609" i="4"/>
  <c r="U608" i="4"/>
  <c r="T608" i="4"/>
  <c r="U607" i="4"/>
  <c r="T607" i="4"/>
  <c r="U606" i="4"/>
  <c r="T606" i="4"/>
  <c r="U605" i="4"/>
  <c r="T605" i="4"/>
  <c r="U604" i="4"/>
  <c r="T604" i="4"/>
  <c r="U603" i="4"/>
  <c r="T603" i="4"/>
  <c r="U602" i="4"/>
  <c r="T602" i="4"/>
  <c r="U601" i="4"/>
  <c r="T601" i="4"/>
  <c r="U600" i="4"/>
  <c r="T600" i="4"/>
  <c r="U599" i="4"/>
  <c r="T599" i="4"/>
  <c r="U598" i="4"/>
  <c r="T598" i="4"/>
  <c r="U597" i="4"/>
  <c r="T597" i="4"/>
  <c r="U596" i="4"/>
  <c r="T596" i="4"/>
  <c r="U595" i="4"/>
  <c r="T595" i="4"/>
  <c r="U594" i="4"/>
  <c r="T594" i="4"/>
  <c r="U593" i="4"/>
  <c r="T593" i="4"/>
  <c r="U592" i="4"/>
  <c r="T592" i="4"/>
  <c r="U591" i="4"/>
  <c r="T591" i="4"/>
  <c r="U590" i="4"/>
  <c r="T590" i="4"/>
  <c r="U589" i="4"/>
  <c r="T589" i="4"/>
  <c r="U588" i="4"/>
  <c r="T588" i="4"/>
  <c r="U587" i="4"/>
  <c r="T587" i="4"/>
  <c r="U586" i="4"/>
  <c r="T586" i="4"/>
  <c r="U585" i="4"/>
  <c r="T585" i="4"/>
  <c r="U584" i="4"/>
  <c r="T584" i="4"/>
  <c r="U583" i="4"/>
  <c r="T583" i="4"/>
  <c r="U582" i="4"/>
  <c r="T582" i="4"/>
  <c r="U581" i="4"/>
  <c r="T581" i="4"/>
  <c r="U580" i="4"/>
  <c r="T580" i="4"/>
  <c r="U579" i="4"/>
  <c r="T579" i="4"/>
  <c r="U578" i="4"/>
  <c r="T578" i="4"/>
  <c r="U577" i="4"/>
  <c r="T577" i="4"/>
  <c r="U576" i="4"/>
  <c r="T576" i="4"/>
  <c r="U575" i="4"/>
  <c r="T575" i="4"/>
  <c r="U574" i="4"/>
  <c r="T574" i="4"/>
  <c r="U573" i="4"/>
  <c r="T573" i="4"/>
  <c r="U572" i="4"/>
  <c r="T572" i="4"/>
  <c r="U571" i="4"/>
  <c r="T571" i="4"/>
  <c r="U570" i="4"/>
  <c r="T570" i="4"/>
  <c r="U569" i="4"/>
  <c r="T569" i="4"/>
  <c r="U568" i="4"/>
  <c r="T568" i="4"/>
  <c r="U567" i="4"/>
  <c r="T567" i="4"/>
  <c r="U566" i="4"/>
  <c r="T566" i="4"/>
  <c r="U565" i="4"/>
  <c r="T565" i="4"/>
  <c r="U564" i="4"/>
  <c r="T564" i="4"/>
  <c r="U563" i="4"/>
  <c r="T563" i="4"/>
  <c r="U562" i="4"/>
  <c r="T562" i="4"/>
  <c r="U561" i="4"/>
  <c r="T561" i="4"/>
  <c r="U560" i="4"/>
  <c r="T560" i="4"/>
  <c r="U559" i="4"/>
  <c r="T559" i="4"/>
  <c r="U558" i="4"/>
  <c r="T558" i="4"/>
  <c r="U557" i="4"/>
  <c r="T557" i="4"/>
  <c r="U556" i="4"/>
  <c r="T556" i="4"/>
  <c r="U555" i="4"/>
  <c r="T555" i="4"/>
  <c r="U554" i="4"/>
  <c r="T554" i="4"/>
  <c r="U553" i="4"/>
  <c r="T553" i="4"/>
  <c r="U552" i="4"/>
  <c r="T552" i="4"/>
  <c r="U551" i="4"/>
  <c r="T551" i="4"/>
  <c r="U550" i="4"/>
  <c r="T550" i="4"/>
  <c r="U549" i="4"/>
  <c r="T549" i="4"/>
  <c r="U548" i="4"/>
  <c r="T548" i="4"/>
  <c r="U547" i="4"/>
  <c r="T547" i="4"/>
  <c r="U546" i="4"/>
  <c r="T546" i="4"/>
  <c r="U545" i="4"/>
  <c r="T545" i="4"/>
  <c r="U544" i="4"/>
  <c r="T544" i="4"/>
  <c r="U543" i="4"/>
  <c r="T543" i="4"/>
  <c r="U542" i="4"/>
  <c r="T542" i="4"/>
  <c r="U541" i="4"/>
  <c r="T541" i="4"/>
  <c r="U540" i="4"/>
  <c r="T540" i="4"/>
  <c r="U539" i="4"/>
  <c r="T539" i="4"/>
  <c r="U538" i="4"/>
  <c r="T538" i="4"/>
  <c r="U537" i="4"/>
  <c r="T537" i="4"/>
  <c r="U536" i="4"/>
  <c r="T536" i="4"/>
  <c r="U535" i="4"/>
  <c r="T535" i="4"/>
  <c r="U534" i="4"/>
  <c r="T534" i="4"/>
  <c r="U533" i="4"/>
  <c r="T533" i="4"/>
  <c r="U532" i="4"/>
  <c r="T532" i="4"/>
  <c r="U531" i="4"/>
  <c r="T531" i="4"/>
  <c r="U530" i="4"/>
  <c r="T530" i="4"/>
  <c r="U529" i="4"/>
  <c r="T529" i="4"/>
  <c r="U528" i="4"/>
  <c r="T528" i="4"/>
  <c r="U527" i="4"/>
  <c r="T527" i="4"/>
  <c r="U526" i="4"/>
  <c r="T526" i="4"/>
  <c r="U525" i="4"/>
  <c r="T525" i="4"/>
  <c r="U524" i="4"/>
  <c r="T524" i="4"/>
  <c r="U523" i="4"/>
  <c r="T523" i="4"/>
  <c r="U522" i="4"/>
  <c r="T522" i="4"/>
  <c r="U521" i="4"/>
  <c r="T521" i="4"/>
  <c r="U520" i="4"/>
  <c r="T520" i="4"/>
  <c r="U519" i="4"/>
  <c r="T519" i="4"/>
  <c r="U518" i="4"/>
  <c r="T518" i="4"/>
  <c r="U517" i="4"/>
  <c r="T517" i="4"/>
  <c r="U516" i="4"/>
  <c r="T516" i="4"/>
  <c r="U515" i="4"/>
  <c r="T515" i="4"/>
  <c r="U514" i="4"/>
  <c r="T514" i="4"/>
  <c r="U513" i="4"/>
  <c r="T513" i="4"/>
  <c r="U512" i="4"/>
  <c r="T512" i="4"/>
  <c r="U511" i="4"/>
  <c r="T511" i="4"/>
  <c r="U510" i="4"/>
  <c r="T510" i="4"/>
  <c r="U509" i="4"/>
  <c r="T509" i="4"/>
  <c r="U508" i="4"/>
  <c r="T508" i="4"/>
  <c r="U507" i="4"/>
  <c r="T507" i="4"/>
  <c r="U506" i="4"/>
  <c r="T506" i="4"/>
  <c r="U505" i="4"/>
  <c r="T505" i="4"/>
  <c r="U504" i="4"/>
  <c r="T504" i="4"/>
  <c r="U503" i="4"/>
  <c r="T503" i="4"/>
  <c r="U502" i="4"/>
  <c r="T502" i="4"/>
  <c r="U501" i="4"/>
  <c r="T501" i="4"/>
  <c r="U498" i="4"/>
  <c r="T498" i="4"/>
  <c r="U497" i="4"/>
  <c r="T497" i="4"/>
  <c r="U496" i="4"/>
  <c r="T496" i="4"/>
  <c r="U495" i="4"/>
  <c r="T495" i="4"/>
  <c r="U494" i="4"/>
  <c r="T494" i="4"/>
  <c r="U493" i="4"/>
  <c r="T493" i="4"/>
  <c r="U492" i="4"/>
  <c r="T492" i="4"/>
  <c r="U491" i="4"/>
  <c r="T491" i="4"/>
  <c r="U490" i="4"/>
  <c r="T490" i="4"/>
  <c r="U489" i="4"/>
  <c r="T489" i="4"/>
  <c r="U488" i="4"/>
  <c r="T488" i="4"/>
  <c r="U487" i="4"/>
  <c r="T487" i="4"/>
  <c r="U486" i="4"/>
  <c r="T486" i="4"/>
  <c r="U485" i="4"/>
  <c r="T485" i="4"/>
  <c r="U484" i="4"/>
  <c r="T484" i="4"/>
  <c r="U483" i="4"/>
  <c r="T483" i="4"/>
  <c r="U482" i="4"/>
  <c r="T482" i="4"/>
  <c r="U481" i="4"/>
  <c r="T481" i="4"/>
  <c r="U480" i="4"/>
  <c r="T480" i="4"/>
  <c r="U479" i="4"/>
  <c r="T479" i="4"/>
  <c r="U478" i="4"/>
  <c r="T478" i="4"/>
  <c r="U476" i="4"/>
  <c r="T476" i="4"/>
  <c r="U475" i="4"/>
  <c r="T475" i="4"/>
  <c r="U474" i="4"/>
  <c r="T474" i="4"/>
  <c r="U473" i="4"/>
  <c r="T473" i="4"/>
  <c r="U472" i="4"/>
  <c r="T472" i="4"/>
  <c r="U471" i="4"/>
  <c r="T471" i="4"/>
  <c r="U470" i="4"/>
  <c r="T470" i="4"/>
  <c r="U469" i="4"/>
  <c r="T469" i="4"/>
  <c r="U468" i="4"/>
  <c r="T468" i="4"/>
  <c r="U467" i="4"/>
  <c r="T467" i="4"/>
  <c r="U466" i="4"/>
  <c r="T466" i="4"/>
  <c r="U465" i="4"/>
  <c r="T465" i="4"/>
  <c r="U464" i="4"/>
  <c r="T464" i="4"/>
  <c r="U463" i="4"/>
  <c r="T463" i="4"/>
  <c r="U462" i="4"/>
  <c r="T462" i="4"/>
  <c r="U461" i="4"/>
  <c r="T461" i="4"/>
  <c r="U460" i="4"/>
  <c r="T460" i="4"/>
  <c r="U459" i="4"/>
  <c r="T459" i="4"/>
  <c r="U458" i="4"/>
  <c r="T458" i="4"/>
  <c r="U457" i="4"/>
  <c r="T457" i="4"/>
  <c r="U456" i="4"/>
  <c r="T456" i="4"/>
  <c r="U455" i="4"/>
  <c r="T455" i="4"/>
  <c r="U454" i="4"/>
  <c r="T454" i="4"/>
  <c r="U453" i="4"/>
  <c r="T453" i="4"/>
  <c r="U452" i="4"/>
  <c r="T452" i="4"/>
  <c r="U451" i="4"/>
  <c r="T451" i="4"/>
  <c r="U450" i="4"/>
  <c r="T450" i="4"/>
  <c r="U449" i="4"/>
  <c r="T449" i="4"/>
  <c r="U448" i="4"/>
  <c r="T448" i="4"/>
  <c r="U447" i="4"/>
  <c r="T447" i="4"/>
  <c r="U446" i="4"/>
  <c r="T446" i="4"/>
  <c r="U445" i="4"/>
  <c r="T445" i="4"/>
  <c r="U444" i="4"/>
  <c r="T444" i="4"/>
  <c r="U443" i="4"/>
  <c r="T443" i="4"/>
  <c r="U442" i="4"/>
  <c r="T442" i="4"/>
  <c r="U441" i="4"/>
  <c r="T441" i="4"/>
  <c r="U440" i="4"/>
  <c r="T440" i="4"/>
  <c r="U439" i="4"/>
  <c r="T439" i="4"/>
  <c r="U438" i="4"/>
  <c r="T438" i="4"/>
  <c r="U437" i="4"/>
  <c r="T437" i="4"/>
  <c r="U436" i="4"/>
  <c r="T436" i="4"/>
  <c r="U435" i="4"/>
  <c r="T435" i="4"/>
  <c r="U434" i="4"/>
  <c r="T434" i="4"/>
  <c r="U433" i="4"/>
  <c r="T433" i="4"/>
  <c r="U432" i="4"/>
  <c r="T432" i="4"/>
  <c r="U431" i="4"/>
  <c r="T431" i="4"/>
  <c r="U430" i="4"/>
  <c r="T430" i="4"/>
  <c r="U429" i="4"/>
  <c r="T429" i="4"/>
  <c r="U428" i="4"/>
  <c r="T428" i="4"/>
  <c r="U427" i="4"/>
  <c r="T427" i="4"/>
  <c r="U426" i="4"/>
  <c r="T426" i="4"/>
  <c r="U425" i="4"/>
  <c r="T425" i="4"/>
  <c r="U424" i="4"/>
  <c r="T424" i="4"/>
  <c r="U423" i="4"/>
  <c r="T423" i="4"/>
  <c r="U422" i="4"/>
  <c r="T422" i="4"/>
  <c r="U421" i="4"/>
  <c r="T421" i="4"/>
  <c r="U420" i="4"/>
  <c r="T420" i="4"/>
  <c r="U419" i="4"/>
  <c r="T419" i="4"/>
  <c r="U418" i="4"/>
  <c r="T418" i="4"/>
  <c r="U417" i="4"/>
  <c r="T417" i="4"/>
  <c r="U416" i="4"/>
  <c r="T416" i="4"/>
  <c r="U415" i="4"/>
  <c r="T415" i="4"/>
  <c r="U414" i="4"/>
  <c r="T414" i="4"/>
  <c r="U413" i="4"/>
  <c r="T413" i="4"/>
  <c r="U412" i="4"/>
  <c r="T412" i="4"/>
  <c r="U411" i="4"/>
  <c r="T411" i="4"/>
  <c r="U410" i="4"/>
  <c r="T410" i="4"/>
  <c r="U409" i="4"/>
  <c r="T409" i="4"/>
  <c r="U408" i="4"/>
  <c r="T408" i="4"/>
  <c r="U407" i="4"/>
  <c r="T407" i="4"/>
  <c r="U406" i="4"/>
  <c r="T406" i="4"/>
  <c r="U405" i="4"/>
  <c r="T405" i="4"/>
  <c r="U404" i="4"/>
  <c r="T404" i="4"/>
  <c r="U403" i="4"/>
  <c r="T403" i="4"/>
  <c r="U402" i="4"/>
  <c r="T402" i="4"/>
  <c r="U401" i="4"/>
  <c r="T401" i="4"/>
  <c r="U400" i="4"/>
  <c r="T400" i="4"/>
  <c r="U399" i="4"/>
  <c r="T399" i="4"/>
  <c r="U398" i="4"/>
  <c r="T398" i="4"/>
  <c r="U397" i="4"/>
  <c r="T397" i="4"/>
  <c r="U396" i="4"/>
  <c r="T396" i="4"/>
  <c r="U395" i="4"/>
  <c r="T395" i="4"/>
  <c r="U394" i="4"/>
  <c r="T394" i="4"/>
  <c r="U393" i="4"/>
  <c r="T393" i="4"/>
  <c r="U392" i="4"/>
  <c r="T392" i="4"/>
  <c r="U391" i="4"/>
  <c r="T391" i="4"/>
  <c r="U390" i="4"/>
  <c r="T390" i="4"/>
  <c r="U389" i="4"/>
  <c r="T389" i="4"/>
  <c r="U388" i="4"/>
  <c r="T388" i="4"/>
  <c r="U387" i="4"/>
  <c r="T387" i="4"/>
  <c r="U386" i="4"/>
  <c r="T386" i="4"/>
  <c r="U385" i="4"/>
  <c r="T385" i="4"/>
  <c r="U384" i="4"/>
  <c r="T384" i="4"/>
  <c r="U383" i="4"/>
  <c r="T383" i="4"/>
  <c r="U382" i="4"/>
  <c r="T382" i="4"/>
  <c r="U381" i="4"/>
  <c r="T381" i="4"/>
  <c r="U380" i="4"/>
  <c r="T380" i="4"/>
  <c r="U379" i="4"/>
  <c r="T379" i="4"/>
  <c r="U378" i="4"/>
  <c r="T378" i="4"/>
  <c r="U377" i="4"/>
  <c r="T377" i="4"/>
  <c r="U376" i="4"/>
  <c r="T376" i="4"/>
  <c r="U375" i="4"/>
  <c r="T375" i="4"/>
  <c r="U374" i="4"/>
  <c r="T374" i="4"/>
  <c r="U373" i="4"/>
  <c r="T373" i="4"/>
  <c r="U372" i="4"/>
  <c r="T372" i="4"/>
  <c r="U371" i="4"/>
  <c r="T371" i="4"/>
  <c r="U370" i="4"/>
  <c r="T370" i="4"/>
  <c r="U369" i="4"/>
  <c r="T369" i="4"/>
  <c r="U368" i="4"/>
  <c r="T368" i="4"/>
  <c r="U367" i="4"/>
  <c r="T367" i="4"/>
  <c r="U366" i="4"/>
  <c r="T366" i="4"/>
  <c r="U365" i="4"/>
  <c r="T365" i="4"/>
  <c r="U364" i="4"/>
  <c r="T364" i="4"/>
  <c r="U363" i="4"/>
  <c r="T363" i="4"/>
  <c r="U362" i="4"/>
  <c r="T362" i="4"/>
  <c r="U361" i="4"/>
  <c r="T361" i="4"/>
  <c r="U360" i="4"/>
  <c r="T360" i="4"/>
  <c r="U359" i="4"/>
  <c r="T359" i="4"/>
  <c r="U358" i="4"/>
  <c r="T358" i="4"/>
  <c r="U357" i="4"/>
  <c r="T357" i="4"/>
  <c r="U356" i="4"/>
  <c r="T356" i="4"/>
  <c r="U355" i="4"/>
  <c r="T355" i="4"/>
  <c r="U354" i="4"/>
  <c r="T354" i="4"/>
  <c r="U353" i="4"/>
  <c r="T353" i="4"/>
  <c r="U352" i="4"/>
  <c r="T352" i="4"/>
  <c r="U351" i="4"/>
  <c r="T351" i="4"/>
  <c r="U350" i="4"/>
  <c r="T350" i="4"/>
  <c r="U349" i="4"/>
  <c r="T349" i="4"/>
  <c r="U348" i="4"/>
  <c r="T348" i="4"/>
  <c r="U347" i="4"/>
  <c r="T347" i="4"/>
  <c r="U346" i="4"/>
  <c r="T346" i="4"/>
  <c r="U345" i="4"/>
  <c r="T345" i="4"/>
  <c r="U344" i="4"/>
  <c r="T344" i="4"/>
  <c r="U343" i="4"/>
  <c r="T343" i="4"/>
  <c r="U342" i="4"/>
  <c r="T342" i="4"/>
  <c r="U341" i="4"/>
  <c r="T341" i="4"/>
  <c r="U340" i="4"/>
  <c r="T340" i="4"/>
  <c r="U339" i="4"/>
  <c r="T339" i="4"/>
  <c r="U338" i="4"/>
  <c r="T338" i="4"/>
  <c r="U337" i="4"/>
  <c r="T337" i="4"/>
  <c r="U336" i="4"/>
  <c r="T336" i="4"/>
  <c r="U335" i="4"/>
  <c r="T335" i="4"/>
  <c r="U334" i="4"/>
  <c r="T334" i="4"/>
  <c r="U333" i="4"/>
  <c r="T333" i="4"/>
  <c r="U332" i="4"/>
  <c r="T332" i="4"/>
  <c r="U331" i="4"/>
  <c r="T331" i="4"/>
  <c r="U330" i="4"/>
  <c r="T330" i="4"/>
  <c r="U329" i="4"/>
  <c r="T329" i="4"/>
  <c r="U328" i="4"/>
  <c r="T328" i="4"/>
  <c r="U327" i="4"/>
  <c r="T327" i="4"/>
  <c r="U326" i="4"/>
  <c r="T326" i="4"/>
  <c r="U325" i="4"/>
  <c r="T325" i="4"/>
  <c r="U324" i="4"/>
  <c r="T324" i="4"/>
  <c r="U323" i="4"/>
  <c r="T323" i="4"/>
  <c r="U322" i="4"/>
  <c r="T322" i="4"/>
  <c r="U321" i="4"/>
  <c r="T321" i="4"/>
  <c r="U320" i="4"/>
  <c r="T320" i="4"/>
  <c r="U319" i="4"/>
  <c r="T319" i="4"/>
  <c r="U318" i="4"/>
  <c r="T318" i="4"/>
  <c r="U317" i="4"/>
  <c r="T317" i="4"/>
  <c r="U316" i="4"/>
  <c r="T316" i="4"/>
  <c r="U315" i="4"/>
  <c r="T315" i="4"/>
  <c r="U314" i="4"/>
  <c r="T314" i="4"/>
  <c r="U313" i="4"/>
  <c r="T313" i="4"/>
  <c r="U312" i="4"/>
  <c r="T312" i="4"/>
  <c r="U311" i="4"/>
  <c r="T311" i="4"/>
  <c r="U310" i="4"/>
  <c r="T310" i="4"/>
  <c r="U309" i="4"/>
  <c r="T309" i="4"/>
  <c r="U308" i="4"/>
  <c r="T308" i="4"/>
  <c r="U307" i="4"/>
  <c r="T307" i="4"/>
  <c r="U306" i="4"/>
  <c r="T306" i="4"/>
  <c r="U305" i="4"/>
  <c r="T305" i="4"/>
  <c r="U304" i="4"/>
  <c r="T304" i="4"/>
  <c r="U303" i="4"/>
  <c r="T303" i="4"/>
  <c r="U302" i="4"/>
  <c r="T302" i="4"/>
  <c r="U301" i="4"/>
  <c r="T301" i="4"/>
  <c r="U300" i="4"/>
  <c r="T300" i="4"/>
  <c r="U299" i="4"/>
  <c r="T299" i="4"/>
  <c r="U298" i="4"/>
  <c r="T298" i="4"/>
  <c r="U297" i="4"/>
  <c r="T297" i="4"/>
  <c r="U296" i="4"/>
  <c r="T296" i="4"/>
  <c r="U295" i="4"/>
  <c r="T295" i="4"/>
  <c r="U294" i="4"/>
  <c r="T294" i="4"/>
  <c r="U293" i="4"/>
  <c r="T293" i="4"/>
  <c r="U292" i="4"/>
  <c r="T292" i="4"/>
  <c r="U291" i="4"/>
  <c r="T291" i="4"/>
  <c r="U290" i="4"/>
  <c r="T290" i="4"/>
  <c r="U289" i="4"/>
  <c r="T289" i="4"/>
  <c r="U288" i="4"/>
  <c r="T288" i="4"/>
  <c r="U287" i="4"/>
  <c r="T287" i="4"/>
  <c r="U286" i="4"/>
  <c r="T286" i="4"/>
  <c r="U285" i="4"/>
  <c r="T285" i="4"/>
  <c r="U284" i="4"/>
  <c r="T284" i="4"/>
  <c r="U283" i="4"/>
  <c r="T283" i="4"/>
  <c r="U282" i="4"/>
  <c r="T282" i="4"/>
  <c r="U281" i="4"/>
  <c r="T281" i="4"/>
  <c r="U280" i="4"/>
  <c r="T280" i="4"/>
  <c r="U279" i="4"/>
  <c r="T279" i="4"/>
  <c r="U278" i="4"/>
  <c r="T278" i="4"/>
  <c r="U277" i="4"/>
  <c r="T277" i="4"/>
  <c r="U276" i="4"/>
  <c r="T276" i="4"/>
  <c r="U275" i="4"/>
  <c r="T275" i="4"/>
  <c r="U274" i="4"/>
  <c r="T274" i="4"/>
  <c r="U273" i="4"/>
  <c r="T273" i="4"/>
  <c r="U272" i="4"/>
  <c r="T272" i="4"/>
  <c r="U271" i="4"/>
  <c r="T271" i="4"/>
  <c r="U270" i="4"/>
  <c r="T270" i="4"/>
  <c r="U269" i="4"/>
  <c r="T269" i="4"/>
  <c r="U268" i="4"/>
  <c r="T268" i="4"/>
  <c r="U267" i="4"/>
  <c r="T267" i="4"/>
  <c r="U266" i="4"/>
  <c r="T266" i="4"/>
  <c r="U265" i="4"/>
  <c r="T265" i="4"/>
  <c r="U264" i="4"/>
  <c r="T264" i="4"/>
  <c r="U263" i="4"/>
  <c r="T263" i="4"/>
  <c r="U262" i="4"/>
  <c r="T262" i="4"/>
  <c r="U261" i="4"/>
  <c r="T261" i="4"/>
  <c r="U260" i="4"/>
  <c r="T260" i="4"/>
  <c r="U259" i="4"/>
  <c r="T259" i="4"/>
  <c r="U258" i="4"/>
  <c r="T258" i="4"/>
  <c r="U257" i="4"/>
  <c r="T257" i="4"/>
  <c r="U256" i="4"/>
  <c r="T256" i="4"/>
  <c r="U255" i="4"/>
  <c r="T255" i="4"/>
  <c r="U254" i="4"/>
  <c r="T254" i="4"/>
  <c r="U253" i="4"/>
  <c r="T253" i="4"/>
  <c r="U252" i="4"/>
  <c r="T252" i="4"/>
  <c r="U251" i="4"/>
  <c r="T251" i="4"/>
  <c r="U250" i="4"/>
  <c r="T250" i="4"/>
  <c r="U249" i="4"/>
  <c r="T249" i="4"/>
  <c r="U248" i="4"/>
  <c r="T248" i="4"/>
  <c r="U247" i="4"/>
  <c r="T247" i="4"/>
  <c r="U246" i="4"/>
  <c r="T246" i="4"/>
  <c r="U245" i="4"/>
  <c r="T245" i="4"/>
  <c r="U244" i="4"/>
  <c r="T244" i="4"/>
  <c r="U243" i="4"/>
  <c r="T243" i="4"/>
  <c r="U242" i="4"/>
  <c r="T242" i="4"/>
  <c r="U241" i="4"/>
  <c r="T241" i="4"/>
  <c r="U240" i="4"/>
  <c r="T240" i="4"/>
  <c r="U239" i="4"/>
  <c r="T239" i="4"/>
  <c r="U238" i="4"/>
  <c r="T238" i="4"/>
  <c r="U237" i="4"/>
  <c r="T237" i="4"/>
  <c r="U236" i="4"/>
  <c r="T236" i="4"/>
  <c r="U235" i="4"/>
  <c r="T235" i="4"/>
  <c r="U234" i="4"/>
  <c r="T234" i="4"/>
  <c r="U233" i="4"/>
  <c r="T233" i="4"/>
  <c r="U232" i="4"/>
  <c r="T232" i="4"/>
  <c r="U231" i="4"/>
  <c r="T231" i="4"/>
  <c r="U230" i="4"/>
  <c r="T230" i="4"/>
  <c r="U229" i="4"/>
  <c r="T229" i="4"/>
  <c r="U228" i="4"/>
  <c r="T228" i="4"/>
  <c r="U227" i="4"/>
  <c r="T227" i="4"/>
  <c r="U226" i="4"/>
  <c r="T226" i="4"/>
  <c r="U225" i="4"/>
  <c r="T225" i="4"/>
  <c r="U224" i="4"/>
  <c r="T224" i="4"/>
  <c r="U223" i="4"/>
  <c r="T223" i="4"/>
  <c r="U222" i="4"/>
  <c r="T222" i="4"/>
  <c r="U221" i="4"/>
  <c r="T221" i="4"/>
  <c r="U220" i="4"/>
  <c r="T220" i="4"/>
  <c r="U219" i="4"/>
  <c r="T219" i="4"/>
  <c r="U218" i="4"/>
  <c r="T218" i="4"/>
  <c r="U217" i="4"/>
  <c r="T217" i="4"/>
  <c r="U216" i="4"/>
  <c r="T216" i="4"/>
  <c r="U215" i="4"/>
  <c r="T215" i="4"/>
  <c r="U214" i="4"/>
  <c r="T214" i="4"/>
  <c r="U213" i="4"/>
  <c r="T213" i="4"/>
  <c r="U212" i="4"/>
  <c r="T212" i="4"/>
  <c r="U211" i="4"/>
  <c r="T211" i="4"/>
  <c r="U210" i="4"/>
  <c r="T210" i="4"/>
  <c r="U209" i="4"/>
  <c r="T209" i="4"/>
  <c r="U208" i="4"/>
  <c r="T208" i="4"/>
  <c r="U207" i="4"/>
  <c r="T207" i="4"/>
  <c r="U206" i="4"/>
  <c r="T206" i="4"/>
  <c r="U205" i="4"/>
  <c r="T205" i="4"/>
  <c r="U204" i="4"/>
  <c r="T204" i="4"/>
  <c r="U203" i="4"/>
  <c r="T203" i="4"/>
  <c r="U202" i="4"/>
  <c r="T202" i="4"/>
  <c r="U201" i="4"/>
  <c r="T201" i="4"/>
  <c r="U200" i="4"/>
  <c r="T200" i="4"/>
  <c r="U198" i="4"/>
  <c r="T198" i="4"/>
  <c r="U197" i="4"/>
  <c r="T197" i="4"/>
  <c r="U196" i="4"/>
  <c r="T196" i="4"/>
  <c r="U195" i="4"/>
  <c r="T195" i="4"/>
  <c r="U194" i="4"/>
  <c r="T194" i="4"/>
  <c r="U193" i="4"/>
  <c r="T193" i="4"/>
  <c r="U192" i="4"/>
  <c r="T192" i="4"/>
  <c r="U191" i="4"/>
  <c r="T191" i="4"/>
  <c r="U190" i="4"/>
  <c r="T190" i="4"/>
  <c r="U189" i="4"/>
  <c r="T189" i="4"/>
  <c r="U188" i="4"/>
  <c r="T188" i="4"/>
  <c r="U187" i="4"/>
  <c r="T187" i="4"/>
  <c r="U186" i="4"/>
  <c r="T186" i="4"/>
  <c r="U185" i="4"/>
  <c r="T185" i="4"/>
  <c r="U184" i="4"/>
  <c r="T184" i="4"/>
  <c r="U183" i="4"/>
  <c r="T183" i="4"/>
  <c r="U182" i="4"/>
  <c r="T182" i="4"/>
  <c r="U181" i="4"/>
  <c r="T181" i="4"/>
  <c r="U180" i="4"/>
  <c r="T180" i="4"/>
  <c r="U179" i="4"/>
  <c r="T179" i="4"/>
  <c r="U178" i="4"/>
  <c r="T178" i="4"/>
  <c r="U177" i="4"/>
  <c r="T177" i="4"/>
  <c r="U176" i="4"/>
  <c r="T176" i="4"/>
  <c r="U175" i="4"/>
  <c r="T175" i="4"/>
  <c r="U174" i="4"/>
  <c r="T174" i="4"/>
  <c r="U173" i="4"/>
  <c r="T173" i="4"/>
  <c r="U172" i="4"/>
  <c r="T172" i="4"/>
  <c r="U171" i="4"/>
  <c r="T171" i="4"/>
  <c r="U170" i="4"/>
  <c r="T170" i="4"/>
  <c r="U169" i="4"/>
  <c r="T169" i="4"/>
  <c r="U168" i="4"/>
  <c r="T168" i="4"/>
  <c r="U167" i="4"/>
  <c r="T167" i="4"/>
  <c r="U166" i="4"/>
  <c r="T166" i="4"/>
  <c r="U165" i="4"/>
  <c r="T165" i="4"/>
  <c r="U164" i="4"/>
  <c r="T164" i="4"/>
  <c r="U163" i="4"/>
  <c r="T163" i="4"/>
  <c r="U162" i="4"/>
  <c r="T162" i="4"/>
  <c r="U161" i="4"/>
  <c r="T161" i="4"/>
  <c r="U160" i="4"/>
  <c r="T160" i="4"/>
  <c r="U159" i="4"/>
  <c r="T159" i="4"/>
  <c r="U158" i="4"/>
  <c r="T158" i="4"/>
  <c r="U157" i="4"/>
  <c r="T157" i="4"/>
  <c r="U156" i="4"/>
  <c r="T156" i="4"/>
  <c r="U155" i="4"/>
  <c r="T155" i="4"/>
  <c r="U154" i="4"/>
  <c r="T154" i="4"/>
  <c r="U153" i="4"/>
  <c r="T153" i="4"/>
  <c r="U152" i="4"/>
  <c r="T152" i="4"/>
  <c r="U151" i="4"/>
  <c r="T151" i="4"/>
  <c r="U150" i="4"/>
  <c r="T150" i="4"/>
  <c r="U149" i="4"/>
  <c r="T149" i="4"/>
  <c r="U148" i="4"/>
  <c r="T148" i="4"/>
  <c r="U147" i="4"/>
  <c r="T147" i="4"/>
  <c r="T146" i="4"/>
  <c r="U145" i="4"/>
  <c r="T145" i="4"/>
  <c r="U144" i="4"/>
  <c r="T144" i="4"/>
  <c r="U143" i="4"/>
  <c r="T143" i="4"/>
  <c r="U142" i="4"/>
  <c r="T142" i="4"/>
  <c r="U141" i="4"/>
  <c r="T141" i="4"/>
  <c r="U140" i="4"/>
  <c r="T140" i="4"/>
  <c r="U139" i="4"/>
  <c r="T139" i="4"/>
  <c r="U138" i="4"/>
  <c r="T138" i="4"/>
  <c r="U137" i="4"/>
  <c r="T137" i="4"/>
  <c r="U136" i="4"/>
  <c r="T136" i="4"/>
  <c r="U135" i="4"/>
  <c r="T135" i="4"/>
  <c r="U134" i="4"/>
  <c r="T134" i="4"/>
  <c r="U133" i="4"/>
  <c r="T133" i="4"/>
  <c r="U132" i="4"/>
  <c r="T132" i="4"/>
  <c r="U131" i="4"/>
  <c r="T131" i="4"/>
  <c r="U130" i="4"/>
  <c r="T130" i="4"/>
  <c r="U129" i="4"/>
  <c r="T129" i="4"/>
  <c r="U128" i="4"/>
  <c r="T128" i="4"/>
  <c r="U127" i="4"/>
  <c r="T127" i="4"/>
  <c r="U126" i="4"/>
  <c r="T126" i="4"/>
  <c r="U125" i="4"/>
  <c r="T125" i="4"/>
  <c r="U124" i="4"/>
  <c r="T124" i="4"/>
  <c r="U123" i="4"/>
  <c r="T123" i="4"/>
  <c r="U122" i="4"/>
  <c r="T122" i="4"/>
  <c r="U121" i="4"/>
  <c r="T121" i="4"/>
  <c r="U120" i="4"/>
  <c r="T120" i="4"/>
  <c r="U119" i="4"/>
  <c r="T119" i="4"/>
  <c r="U118" i="4"/>
  <c r="T118" i="4"/>
  <c r="U117" i="4"/>
  <c r="T117" i="4"/>
  <c r="U116" i="4"/>
  <c r="T116" i="4"/>
  <c r="U115" i="4"/>
  <c r="T115" i="4"/>
  <c r="U114" i="4"/>
  <c r="T114" i="4"/>
  <c r="U113" i="4"/>
  <c r="T113" i="4"/>
  <c r="U112" i="4"/>
  <c r="T112" i="4"/>
  <c r="U111" i="4"/>
  <c r="T111" i="4"/>
  <c r="U110" i="4"/>
  <c r="T110" i="4"/>
  <c r="U109" i="4"/>
  <c r="T109" i="4"/>
  <c r="U108" i="4"/>
  <c r="T108" i="4"/>
  <c r="U107" i="4"/>
  <c r="T107" i="4"/>
  <c r="U106" i="4"/>
  <c r="T106" i="4"/>
  <c r="U105" i="4"/>
  <c r="T105" i="4"/>
  <c r="U104" i="4"/>
  <c r="T104" i="4"/>
  <c r="U103" i="4"/>
  <c r="T103" i="4"/>
  <c r="U102" i="4"/>
  <c r="T102" i="4"/>
  <c r="U101" i="4"/>
  <c r="T101" i="4"/>
  <c r="U100" i="4"/>
  <c r="T100" i="4"/>
  <c r="U99" i="4"/>
  <c r="T99" i="4"/>
  <c r="U98" i="4"/>
  <c r="T98" i="4"/>
  <c r="U97" i="4"/>
  <c r="T97" i="4"/>
  <c r="U96" i="4"/>
  <c r="T96" i="4"/>
  <c r="U95" i="4"/>
  <c r="T95" i="4"/>
  <c r="U94" i="4"/>
  <c r="T94" i="4"/>
  <c r="U93" i="4"/>
  <c r="T93" i="4"/>
  <c r="U92" i="4"/>
  <c r="T92" i="4"/>
  <c r="U91" i="4"/>
  <c r="T91" i="4"/>
  <c r="U90" i="4"/>
  <c r="T90" i="4"/>
  <c r="U89" i="4"/>
  <c r="T89" i="4"/>
  <c r="U88" i="4"/>
  <c r="T88" i="4"/>
  <c r="U87" i="4"/>
  <c r="T87" i="4"/>
  <c r="U86" i="4"/>
  <c r="T86" i="4"/>
  <c r="U85" i="4"/>
  <c r="T85" i="4"/>
  <c r="U84" i="4"/>
  <c r="T84" i="4"/>
  <c r="U83" i="4"/>
  <c r="T83" i="4"/>
  <c r="U82" i="4"/>
  <c r="T82" i="4"/>
  <c r="U81" i="4"/>
  <c r="T81" i="4"/>
  <c r="U80" i="4"/>
  <c r="T80" i="4"/>
  <c r="U79" i="4"/>
  <c r="T79" i="4"/>
  <c r="U78" i="4"/>
  <c r="T78" i="4"/>
  <c r="U77" i="4"/>
  <c r="T77" i="4"/>
  <c r="U76" i="4"/>
  <c r="T76" i="4"/>
  <c r="U75" i="4"/>
  <c r="T75" i="4"/>
  <c r="U74" i="4"/>
  <c r="T74" i="4"/>
  <c r="U73" i="4"/>
  <c r="T73" i="4"/>
  <c r="U72" i="4"/>
  <c r="T72" i="4"/>
  <c r="U71" i="4"/>
  <c r="T71" i="4"/>
  <c r="U70" i="4"/>
  <c r="T70" i="4"/>
  <c r="U69" i="4"/>
  <c r="T69" i="4"/>
  <c r="U68" i="4"/>
  <c r="T68" i="4"/>
  <c r="U67" i="4"/>
  <c r="T67" i="4"/>
  <c r="U66" i="4"/>
  <c r="T66" i="4"/>
  <c r="U65" i="4"/>
  <c r="T65" i="4"/>
  <c r="U64" i="4"/>
  <c r="T64" i="4"/>
  <c r="U63" i="4"/>
  <c r="T63" i="4"/>
  <c r="U62" i="4"/>
  <c r="T62" i="4"/>
  <c r="U61" i="4"/>
  <c r="T61" i="4"/>
  <c r="U60" i="4"/>
  <c r="T60" i="4"/>
  <c r="U59" i="4"/>
  <c r="T59" i="4"/>
  <c r="U58" i="4"/>
  <c r="T58" i="4"/>
  <c r="U57" i="4"/>
  <c r="T57" i="4"/>
  <c r="U56" i="4"/>
  <c r="T56" i="4"/>
  <c r="U55" i="4"/>
  <c r="T55" i="4"/>
  <c r="U54" i="4"/>
  <c r="T54" i="4"/>
  <c r="U53" i="4"/>
  <c r="T53" i="4"/>
  <c r="U52" i="4"/>
  <c r="T52" i="4"/>
  <c r="U51" i="4"/>
  <c r="T51" i="4"/>
  <c r="U50" i="4"/>
  <c r="T50" i="4"/>
  <c r="U49" i="4"/>
  <c r="T49" i="4"/>
  <c r="U48" i="4"/>
  <c r="T48" i="4"/>
  <c r="U47" i="4"/>
  <c r="T47" i="4"/>
  <c r="U46" i="4"/>
  <c r="T46" i="4"/>
  <c r="U45" i="4"/>
  <c r="T45" i="4"/>
  <c r="U44" i="4"/>
  <c r="T44" i="4"/>
  <c r="U43" i="4"/>
  <c r="T43" i="4"/>
  <c r="U42" i="4"/>
  <c r="T42" i="4"/>
  <c r="U41" i="4"/>
  <c r="T41" i="4"/>
  <c r="U40" i="4"/>
  <c r="T40" i="4"/>
  <c r="U39" i="4"/>
  <c r="T39" i="4"/>
  <c r="U38" i="4"/>
  <c r="T38" i="4"/>
  <c r="U37" i="4"/>
  <c r="T37" i="4"/>
  <c r="U36" i="4"/>
  <c r="T36" i="4"/>
  <c r="U35" i="4"/>
  <c r="T35" i="4"/>
  <c r="U34" i="4"/>
  <c r="T34" i="4"/>
  <c r="U33" i="4"/>
  <c r="T33" i="4"/>
  <c r="U32" i="4"/>
  <c r="T32" i="4"/>
  <c r="U31" i="4"/>
  <c r="T31" i="4"/>
  <c r="U30" i="4"/>
  <c r="T30" i="4"/>
  <c r="U29" i="4"/>
  <c r="T29" i="4"/>
  <c r="U28" i="4"/>
  <c r="T28" i="4"/>
  <c r="U27" i="4"/>
  <c r="T27" i="4"/>
  <c r="U26" i="4"/>
  <c r="T26" i="4"/>
  <c r="U25" i="4"/>
  <c r="T25" i="4"/>
  <c r="U24" i="4"/>
  <c r="T24" i="4"/>
  <c r="U23" i="4"/>
  <c r="T23" i="4"/>
  <c r="U22" i="4"/>
  <c r="T22" i="4"/>
  <c r="U21" i="4"/>
  <c r="T21" i="4"/>
  <c r="U20" i="4"/>
  <c r="T20" i="4"/>
  <c r="U19" i="4"/>
  <c r="T19" i="4"/>
  <c r="U18" i="4"/>
  <c r="T18" i="4"/>
  <c r="U17" i="4"/>
  <c r="T17" i="4"/>
  <c r="U16" i="4"/>
  <c r="T16" i="4"/>
  <c r="U15" i="4"/>
  <c r="T15" i="4"/>
  <c r="U14" i="4"/>
  <c r="T14" i="4"/>
  <c r="U13" i="4"/>
  <c r="T13" i="4"/>
  <c r="U12" i="4"/>
  <c r="T12" i="4"/>
  <c r="U11" i="4"/>
  <c r="T11" i="4"/>
  <c r="U10" i="4"/>
  <c r="T10" i="4"/>
  <c r="U9" i="4"/>
  <c r="T9" i="4"/>
  <c r="U8" i="4"/>
  <c r="T8" i="4"/>
  <c r="U7" i="4"/>
  <c r="T7" i="4"/>
  <c r="U6" i="4"/>
  <c r="T6" i="4"/>
  <c r="U5" i="4"/>
  <c r="T5" i="4"/>
  <c r="U4" i="4"/>
  <c r="T4" i="4"/>
  <c r="U3" i="4"/>
  <c r="U2" i="4"/>
  <c r="T271" i="2" l="1"/>
  <c r="W271" i="2" s="1"/>
  <c r="T270" i="2"/>
  <c r="W270" i="2" s="1"/>
  <c r="V269" i="2"/>
  <c r="T269" i="2"/>
  <c r="W269" i="2" s="1"/>
  <c r="V268" i="2"/>
  <c r="T268" i="2"/>
  <c r="W268" i="2" s="1"/>
  <c r="V267" i="2"/>
  <c r="T267" i="2"/>
  <c r="W267" i="2" s="1"/>
  <c r="V266" i="2"/>
  <c r="T266" i="2"/>
  <c r="W266" i="2" s="1"/>
  <c r="V265" i="2"/>
  <c r="T265" i="2"/>
  <c r="W265" i="2" s="1"/>
  <c r="V264" i="2"/>
  <c r="T264" i="2"/>
  <c r="W264" i="2" s="1"/>
  <c r="V263" i="2"/>
  <c r="T263" i="2"/>
  <c r="W263" i="2" s="1"/>
  <c r="V262" i="2"/>
  <c r="T262" i="2"/>
  <c r="W262" i="2" s="1"/>
  <c r="W261" i="2"/>
  <c r="V261" i="2"/>
  <c r="W260" i="2"/>
  <c r="V260" i="2"/>
  <c r="W259" i="2"/>
  <c r="V259" i="2"/>
  <c r="W258" i="2"/>
  <c r="V258" i="2"/>
  <c r="W257" i="2"/>
  <c r="V257" i="2"/>
  <c r="W256" i="2"/>
  <c r="V256" i="2"/>
  <c r="W255" i="2"/>
  <c r="V255" i="2"/>
  <c r="W254" i="2"/>
  <c r="V254" i="2"/>
  <c r="V253" i="2"/>
  <c r="T253" i="2"/>
  <c r="W253" i="2" s="1"/>
  <c r="V252" i="2"/>
  <c r="T252" i="2"/>
  <c r="W252" i="2" s="1"/>
  <c r="V251" i="2"/>
  <c r="T251" i="2"/>
  <c r="W251" i="2" s="1"/>
  <c r="V250" i="2"/>
  <c r="T250" i="2"/>
  <c r="W250" i="2" s="1"/>
  <c r="W249" i="2"/>
  <c r="V249" i="2"/>
  <c r="W248" i="2"/>
  <c r="V248" i="2"/>
  <c r="W247" i="2"/>
  <c r="V247" i="2"/>
  <c r="W246" i="2"/>
  <c r="V246" i="2"/>
  <c r="W245" i="2"/>
  <c r="V245" i="2"/>
  <c r="W244" i="2"/>
  <c r="V244" i="2"/>
  <c r="W243" i="2"/>
  <c r="V243" i="2"/>
  <c r="W242" i="2"/>
  <c r="V242" i="2"/>
  <c r="W241" i="2"/>
  <c r="V241" i="2"/>
  <c r="W240" i="2"/>
  <c r="V240" i="2"/>
  <c r="W239" i="2"/>
  <c r="V239" i="2"/>
  <c r="W238" i="2"/>
  <c r="V238" i="2"/>
  <c r="W237" i="2"/>
  <c r="V237" i="2"/>
  <c r="W236" i="2"/>
  <c r="V236" i="2"/>
  <c r="W235" i="2"/>
  <c r="V235" i="2"/>
  <c r="W234" i="2"/>
  <c r="V234" i="2"/>
  <c r="V233" i="2"/>
  <c r="T233" i="2"/>
  <c r="W233" i="2" s="1"/>
  <c r="V232" i="2"/>
  <c r="T232" i="2"/>
  <c r="W232" i="2" s="1"/>
  <c r="V231" i="2"/>
  <c r="T231" i="2"/>
  <c r="W231" i="2" s="1"/>
  <c r="W230" i="2"/>
  <c r="V230" i="2"/>
  <c r="T230" i="2"/>
  <c r="V229" i="2"/>
  <c r="T229" i="2"/>
  <c r="W229" i="2" s="1"/>
  <c r="W228" i="2"/>
  <c r="V228" i="2"/>
  <c r="T228" i="2"/>
  <c r="V227" i="2"/>
  <c r="T227" i="2"/>
  <c r="W227" i="2" s="1"/>
  <c r="V226" i="2"/>
  <c r="T226" i="2"/>
  <c r="W226" i="2" s="1"/>
  <c r="W225" i="2"/>
  <c r="V225" i="2"/>
  <c r="W224" i="2"/>
  <c r="V224" i="2"/>
  <c r="W223" i="2"/>
  <c r="V223" i="2"/>
  <c r="W222" i="2"/>
  <c r="V222" i="2"/>
  <c r="W221" i="2"/>
  <c r="V221" i="2"/>
  <c r="W220" i="2"/>
  <c r="V220" i="2"/>
  <c r="W219" i="2"/>
  <c r="V219" i="2"/>
  <c r="W218" i="2"/>
  <c r="V218" i="2"/>
  <c r="W217" i="2"/>
  <c r="V217" i="2"/>
  <c r="W216" i="2"/>
  <c r="V216" i="2"/>
  <c r="W215" i="2"/>
  <c r="V215" i="2"/>
  <c r="W214" i="2"/>
  <c r="V214" i="2"/>
  <c r="W213" i="2"/>
  <c r="V213" i="2"/>
  <c r="W212" i="2"/>
  <c r="V212" i="2"/>
  <c r="W211" i="2"/>
  <c r="V211" i="2"/>
  <c r="W210" i="2"/>
  <c r="V210" i="2"/>
  <c r="W209" i="2"/>
  <c r="V209" i="2"/>
  <c r="W208" i="2"/>
  <c r="V208" i="2"/>
  <c r="W207" i="2"/>
  <c r="V207" i="2"/>
  <c r="W206" i="2"/>
  <c r="V206" i="2"/>
  <c r="T206" i="2"/>
  <c r="V205" i="2"/>
  <c r="T205" i="2"/>
  <c r="W205" i="2" s="1"/>
  <c r="V204" i="2"/>
  <c r="T204" i="2"/>
  <c r="W204" i="2" s="1"/>
  <c r="V203" i="2"/>
  <c r="T203" i="2"/>
  <c r="W203" i="2" s="1"/>
  <c r="V202" i="2"/>
  <c r="T202" i="2"/>
  <c r="W202" i="2" s="1"/>
  <c r="V201" i="2"/>
  <c r="T201" i="2"/>
  <c r="W201" i="2" s="1"/>
  <c r="W200" i="2"/>
  <c r="V200" i="2"/>
  <c r="W199" i="2"/>
  <c r="W198" i="2"/>
  <c r="V198" i="2"/>
  <c r="W197" i="2"/>
  <c r="V197" i="2"/>
  <c r="W196" i="2"/>
  <c r="V196" i="2"/>
  <c r="W195" i="2"/>
  <c r="V195" i="2"/>
  <c r="W194" i="2"/>
  <c r="V194" i="2"/>
  <c r="W193" i="2"/>
  <c r="V193" i="2"/>
  <c r="W192" i="2"/>
  <c r="V192" i="2"/>
  <c r="W191" i="2"/>
  <c r="V191" i="2"/>
  <c r="W190" i="2"/>
  <c r="V190" i="2"/>
  <c r="W189" i="2"/>
  <c r="V189" i="2"/>
  <c r="W188" i="2"/>
  <c r="V188" i="2"/>
  <c r="W187" i="2"/>
  <c r="V187" i="2"/>
  <c r="W186" i="2"/>
  <c r="V186" i="2"/>
  <c r="W185" i="2"/>
  <c r="V185" i="2"/>
  <c r="W184" i="2"/>
  <c r="V184" i="2"/>
  <c r="W183" i="2"/>
  <c r="V183" i="2"/>
  <c r="W182" i="2"/>
  <c r="V182" i="2"/>
  <c r="W181" i="2"/>
  <c r="V181" i="2"/>
  <c r="W180" i="2"/>
  <c r="V180" i="2"/>
  <c r="W179" i="2"/>
  <c r="V179" i="2"/>
  <c r="W178" i="2"/>
  <c r="V178" i="2"/>
  <c r="W177" i="2"/>
  <c r="V177" i="2"/>
  <c r="W176" i="2"/>
  <c r="V176" i="2"/>
  <c r="W175" i="2"/>
  <c r="V175" i="2"/>
  <c r="W174" i="2"/>
  <c r="V174" i="2"/>
  <c r="W173" i="2"/>
  <c r="V173" i="2"/>
  <c r="W172" i="2"/>
  <c r="V172" i="2"/>
  <c r="W171" i="2"/>
  <c r="V171" i="2"/>
  <c r="W170" i="2"/>
  <c r="V170" i="2"/>
  <c r="W169" i="2"/>
  <c r="V169" i="2"/>
  <c r="W168" i="2"/>
  <c r="V168" i="2"/>
  <c r="W167" i="2"/>
  <c r="V167" i="2"/>
  <c r="W166" i="2"/>
  <c r="V166" i="2"/>
  <c r="W165" i="2"/>
  <c r="V165" i="2"/>
  <c r="W164" i="2"/>
  <c r="V164" i="2"/>
  <c r="W163" i="2"/>
  <c r="V163" i="2"/>
  <c r="W162" i="2"/>
  <c r="V162" i="2"/>
  <c r="W161" i="2"/>
  <c r="V161" i="2"/>
  <c r="W160" i="2"/>
  <c r="V160" i="2"/>
  <c r="W159" i="2"/>
  <c r="V159" i="2"/>
  <c r="W158" i="2"/>
  <c r="V158" i="2"/>
  <c r="W157" i="2"/>
  <c r="V157" i="2"/>
  <c r="W156" i="2"/>
  <c r="V156" i="2"/>
  <c r="W155" i="2"/>
  <c r="V155" i="2"/>
  <c r="W154" i="2"/>
  <c r="V154" i="2"/>
  <c r="W153" i="2"/>
  <c r="V153" i="2"/>
  <c r="V152" i="2"/>
  <c r="T152" i="2"/>
  <c r="W152" i="2" s="1"/>
  <c r="V151" i="2"/>
  <c r="T151" i="2"/>
  <c r="W151" i="2" s="1"/>
  <c r="V150" i="2"/>
  <c r="T150" i="2"/>
  <c r="W150" i="2" s="1"/>
  <c r="V149" i="2"/>
  <c r="T149" i="2"/>
  <c r="W149" i="2" s="1"/>
  <c r="V148" i="2"/>
  <c r="T148" i="2"/>
  <c r="W148" i="2" s="1"/>
  <c r="V147" i="2"/>
  <c r="T147" i="2"/>
  <c r="W147" i="2" s="1"/>
  <c r="W146" i="2"/>
  <c r="V146" i="2"/>
  <c r="W145" i="2"/>
  <c r="V145" i="2"/>
  <c r="W144" i="2"/>
  <c r="V144" i="2"/>
  <c r="W143" i="2"/>
  <c r="V143" i="2"/>
  <c r="W142" i="2"/>
  <c r="V142" i="2"/>
  <c r="W141" i="2"/>
  <c r="V141" i="2"/>
  <c r="W140" i="2"/>
  <c r="V140" i="2"/>
  <c r="W139" i="2"/>
  <c r="V139" i="2"/>
  <c r="W138" i="2"/>
  <c r="V138" i="2"/>
  <c r="V137" i="2"/>
  <c r="T137" i="2"/>
  <c r="W137" i="2" s="1"/>
  <c r="V136" i="2"/>
  <c r="T136" i="2"/>
  <c r="W136" i="2" s="1"/>
  <c r="V135" i="2"/>
  <c r="T135" i="2"/>
  <c r="W135" i="2" s="1"/>
  <c r="V134" i="2"/>
  <c r="T134" i="2"/>
  <c r="W134" i="2" s="1"/>
  <c r="V133" i="2"/>
  <c r="T133" i="2"/>
  <c r="W133" i="2" s="1"/>
  <c r="V132" i="2"/>
  <c r="T132" i="2"/>
  <c r="W132" i="2" s="1"/>
  <c r="V131" i="2"/>
  <c r="T131" i="2"/>
  <c r="W131" i="2" s="1"/>
  <c r="V130" i="2"/>
  <c r="T130" i="2"/>
  <c r="W130" i="2" s="1"/>
  <c r="W129" i="2"/>
  <c r="V129" i="2"/>
  <c r="V128" i="2"/>
  <c r="T128" i="2"/>
  <c r="W128" i="2" s="1"/>
  <c r="V127" i="2"/>
  <c r="T127" i="2"/>
  <c r="W127" i="2" s="1"/>
  <c r="W126" i="2"/>
  <c r="V126" i="2"/>
  <c r="W125" i="2"/>
  <c r="V125" i="2"/>
  <c r="V124" i="2"/>
  <c r="T124" i="2"/>
  <c r="W124" i="2" s="1"/>
  <c r="W123" i="2"/>
  <c r="V123" i="2"/>
  <c r="V122" i="2"/>
  <c r="T122" i="2"/>
  <c r="W122" i="2" s="1"/>
  <c r="V121" i="2"/>
  <c r="T121" i="2"/>
  <c r="W121" i="2" s="1"/>
  <c r="V120" i="2"/>
  <c r="T120" i="2"/>
  <c r="W120" i="2" s="1"/>
  <c r="W119" i="2"/>
  <c r="V119" i="2"/>
  <c r="W118" i="2"/>
  <c r="V118" i="2"/>
  <c r="W117" i="2"/>
  <c r="V117" i="2"/>
  <c r="V116" i="2"/>
  <c r="T116" i="2"/>
  <c r="W116" i="2" s="1"/>
  <c r="V115" i="2"/>
  <c r="T115" i="2"/>
  <c r="W115" i="2" s="1"/>
  <c r="V114" i="2"/>
  <c r="T114" i="2"/>
  <c r="W114" i="2" s="1"/>
  <c r="W113" i="2"/>
  <c r="V113" i="2"/>
  <c r="V112" i="2"/>
  <c r="T112" i="2"/>
  <c r="W112" i="2" s="1"/>
  <c r="V111" i="2"/>
  <c r="T111" i="2"/>
  <c r="W111" i="2" s="1"/>
  <c r="V110" i="2"/>
  <c r="T110" i="2"/>
  <c r="W110" i="2" s="1"/>
  <c r="V109" i="2"/>
  <c r="T109" i="2"/>
  <c r="W109" i="2" s="1"/>
  <c r="V108" i="2"/>
  <c r="T108" i="2"/>
  <c r="W108" i="2" s="1"/>
  <c r="V107" i="2"/>
  <c r="T107" i="2"/>
  <c r="W107" i="2" s="1"/>
  <c r="V106" i="2"/>
  <c r="T106" i="2"/>
  <c r="W106" i="2" s="1"/>
  <c r="V105" i="2"/>
  <c r="T105" i="2"/>
  <c r="W105" i="2" s="1"/>
  <c r="V104" i="2"/>
  <c r="T104" i="2"/>
  <c r="W104" i="2" s="1"/>
  <c r="V103" i="2"/>
  <c r="T103" i="2"/>
  <c r="W103" i="2" s="1"/>
  <c r="V102" i="2"/>
  <c r="T102" i="2"/>
  <c r="W102" i="2" s="1"/>
  <c r="V101" i="2"/>
  <c r="T101" i="2"/>
  <c r="W101" i="2" s="1"/>
  <c r="V100" i="2"/>
  <c r="T100" i="2"/>
  <c r="W100" i="2" s="1"/>
  <c r="V99" i="2"/>
  <c r="T99" i="2"/>
  <c r="W99" i="2" s="1"/>
  <c r="V98" i="2"/>
  <c r="T98" i="2"/>
  <c r="W98" i="2" s="1"/>
  <c r="V97" i="2"/>
  <c r="T97" i="2"/>
  <c r="W97" i="2" s="1"/>
  <c r="V96" i="2"/>
  <c r="T96" i="2"/>
  <c r="W96" i="2" s="1"/>
  <c r="V95" i="2"/>
  <c r="T95" i="2"/>
  <c r="W95" i="2" s="1"/>
  <c r="V94" i="2"/>
  <c r="T94" i="2"/>
  <c r="W94" i="2" s="1"/>
  <c r="V93" i="2"/>
  <c r="T93" i="2"/>
  <c r="W93" i="2" s="1"/>
  <c r="V92" i="2"/>
  <c r="T92" i="2"/>
  <c r="W92" i="2" s="1"/>
  <c r="V91" i="2"/>
  <c r="T91" i="2"/>
  <c r="W91" i="2" s="1"/>
  <c r="V90" i="2"/>
  <c r="T90" i="2"/>
  <c r="W90" i="2" s="1"/>
  <c r="V89" i="2"/>
  <c r="T89" i="2"/>
  <c r="W89" i="2" s="1"/>
  <c r="V88" i="2"/>
  <c r="T88" i="2"/>
  <c r="W88" i="2" s="1"/>
  <c r="V87" i="2"/>
  <c r="T87" i="2"/>
  <c r="W87" i="2" s="1"/>
  <c r="V86" i="2"/>
  <c r="T86" i="2"/>
  <c r="W86" i="2" s="1"/>
  <c r="V85" i="2"/>
  <c r="T85" i="2"/>
  <c r="W85" i="2" s="1"/>
  <c r="V84" i="2"/>
  <c r="T84" i="2"/>
  <c r="W84" i="2" s="1"/>
  <c r="V83" i="2"/>
  <c r="T83" i="2"/>
  <c r="W83" i="2" s="1"/>
  <c r="V82" i="2"/>
  <c r="T82" i="2"/>
  <c r="W82" i="2" s="1"/>
  <c r="W81" i="2"/>
  <c r="V81" i="2"/>
  <c r="W80" i="2"/>
  <c r="V80" i="2"/>
  <c r="W79" i="2"/>
  <c r="V79" i="2"/>
  <c r="W78" i="2"/>
  <c r="V78" i="2"/>
  <c r="W77" i="2"/>
  <c r="V77" i="2"/>
  <c r="W76" i="2"/>
  <c r="V76" i="2"/>
  <c r="W75" i="2"/>
  <c r="V75" i="2"/>
  <c r="W74" i="2"/>
  <c r="V74" i="2"/>
  <c r="W73" i="2"/>
  <c r="V73" i="2"/>
  <c r="W72" i="2"/>
  <c r="V72" i="2"/>
  <c r="W71" i="2"/>
  <c r="V71" i="2"/>
  <c r="W70" i="2"/>
  <c r="V70" i="2"/>
  <c r="W69" i="2"/>
  <c r="V69" i="2"/>
  <c r="W68" i="2"/>
  <c r="V68" i="2"/>
  <c r="W67" i="2"/>
  <c r="V67" i="2"/>
  <c r="W66" i="2"/>
  <c r="V66" i="2"/>
  <c r="W65" i="2"/>
  <c r="V65" i="2"/>
  <c r="W64" i="2"/>
  <c r="V64" i="2"/>
  <c r="W63" i="2"/>
  <c r="V63" i="2"/>
  <c r="W62" i="2"/>
  <c r="V62" i="2"/>
  <c r="W61" i="2"/>
  <c r="V61" i="2"/>
  <c r="W60" i="2"/>
  <c r="V60" i="2"/>
  <c r="W59" i="2"/>
  <c r="V59" i="2"/>
  <c r="W58" i="2"/>
  <c r="V58" i="2"/>
  <c r="W57" i="2"/>
  <c r="V57" i="2"/>
  <c r="W56" i="2"/>
  <c r="V56" i="2"/>
  <c r="W55" i="2"/>
  <c r="V55" i="2"/>
  <c r="W54" i="2"/>
  <c r="V54" i="2"/>
  <c r="W53" i="2"/>
  <c r="V53" i="2"/>
  <c r="W52" i="2"/>
  <c r="V52" i="2"/>
  <c r="W51" i="2"/>
  <c r="V51" i="2"/>
  <c r="W50" i="2"/>
  <c r="V50" i="2"/>
  <c r="W49" i="2"/>
  <c r="V49" i="2"/>
  <c r="W48" i="2"/>
  <c r="V48" i="2"/>
  <c r="W47" i="2"/>
  <c r="V47" i="2"/>
  <c r="W46" i="2"/>
  <c r="V46" i="2"/>
  <c r="W45" i="2"/>
  <c r="V45" i="2"/>
  <c r="W44" i="2"/>
  <c r="V44" i="2"/>
  <c r="W43" i="2"/>
  <c r="V43" i="2"/>
  <c r="W42" i="2"/>
  <c r="V42" i="2"/>
  <c r="W41" i="2"/>
  <c r="V41" i="2"/>
  <c r="W40" i="2"/>
  <c r="V40" i="2"/>
  <c r="W39" i="2"/>
  <c r="V39" i="2"/>
  <c r="W38" i="2"/>
  <c r="V38" i="2"/>
  <c r="W37" i="2"/>
  <c r="V37" i="2"/>
  <c r="W36" i="2"/>
  <c r="V36" i="2"/>
  <c r="W35" i="2"/>
  <c r="V35" i="2"/>
  <c r="W34" i="2"/>
  <c r="V34" i="2"/>
  <c r="W33" i="2"/>
  <c r="V33" i="2"/>
  <c r="W32" i="2"/>
  <c r="V32" i="2"/>
  <c r="W31" i="2"/>
  <c r="V31" i="2"/>
  <c r="W30" i="2"/>
  <c r="V30" i="2"/>
  <c r="W29" i="2"/>
  <c r="V29" i="2"/>
  <c r="W28" i="2"/>
  <c r="V28" i="2"/>
  <c r="W27" i="2"/>
  <c r="V27" i="2"/>
  <c r="W26" i="2"/>
  <c r="V26" i="2"/>
  <c r="W25" i="2"/>
  <c r="V25" i="2"/>
  <c r="W24" i="2"/>
  <c r="V24" i="2"/>
  <c r="W23" i="2"/>
  <c r="V23" i="2"/>
  <c r="W22" i="2"/>
  <c r="V22" i="2"/>
  <c r="W21" i="2"/>
  <c r="V21" i="2"/>
  <c r="W20" i="2"/>
  <c r="V20" i="2"/>
  <c r="W19" i="2"/>
  <c r="V19" i="2"/>
  <c r="W18" i="2"/>
  <c r="V18" i="2"/>
  <c r="W17" i="2"/>
  <c r="V17" i="2"/>
  <c r="W16" i="2"/>
  <c r="V16" i="2"/>
  <c r="W15" i="2"/>
  <c r="V15" i="2"/>
  <c r="W14" i="2"/>
  <c r="V14" i="2"/>
  <c r="W13" i="2"/>
  <c r="V13" i="2"/>
  <c r="W12" i="2"/>
  <c r="V12" i="2"/>
  <c r="W11" i="2"/>
  <c r="V11" i="2"/>
  <c r="W10" i="2"/>
  <c r="V10" i="2"/>
  <c r="W9" i="2"/>
  <c r="V9" i="2"/>
  <c r="W8" i="2"/>
  <c r="V8" i="2"/>
  <c r="W7" i="2"/>
  <c r="V7" i="2"/>
  <c r="W6" i="2"/>
  <c r="V6" i="2"/>
  <c r="W5" i="2"/>
  <c r="V5" i="2"/>
  <c r="W4" i="2"/>
  <c r="V4" i="2"/>
  <c r="W3" i="2"/>
  <c r="V3" i="2"/>
  <c r="W2" i="2"/>
  <c r="V2" i="2"/>
</calcChain>
</file>

<file path=xl/sharedStrings.xml><?xml version="1.0" encoding="utf-8"?>
<sst xmlns="http://schemas.openxmlformats.org/spreadsheetml/2006/main" count="15826" uniqueCount="2440">
  <si>
    <t>#</t>
  </si>
  <si>
    <t>ID</t>
  </si>
  <si>
    <t>Nome</t>
  </si>
  <si>
    <t>Idade</t>
  </si>
  <si>
    <t>Sexo</t>
  </si>
  <si>
    <t>Celular(es)</t>
  </si>
  <si>
    <t>Data de Coleta</t>
  </si>
  <si>
    <t>Prioridade?</t>
  </si>
  <si>
    <t>Pool #</t>
  </si>
  <si>
    <t>Data de
Recebimento</t>
  </si>
  <si>
    <t>ID Placa Pool</t>
  </si>
  <si>
    <t>Data da Reação Pool</t>
  </si>
  <si>
    <t>CT E
Pool</t>
  </si>
  <si>
    <t>CT RP
Pool</t>
  </si>
  <si>
    <t>Resultado Pool</t>
  </si>
  <si>
    <t>ID Placa Indiv.</t>
  </si>
  <si>
    <t>Data da Reação Indiv.</t>
  </si>
  <si>
    <t>CT E
Indiv.</t>
  </si>
  <si>
    <t>CT RP
Indiv.</t>
  </si>
  <si>
    <t>Resultado
Indiv.</t>
  </si>
  <si>
    <t>Data de Envio de Resultado</t>
  </si>
  <si>
    <t>Tamanho do Pool</t>
  </si>
  <si>
    <t>Resultado Final</t>
  </si>
  <si>
    <t>P-A1</t>
  </si>
  <si>
    <t>DANIELA ANTÔNIO DE ORCENA</t>
  </si>
  <si>
    <t>F</t>
  </si>
  <si>
    <t>98602-0360 / 3622-3132</t>
  </si>
  <si>
    <t>Sim</t>
  </si>
  <si>
    <t>P332</t>
  </si>
  <si>
    <t>Detectável</t>
  </si>
  <si>
    <t>P336</t>
  </si>
  <si>
    <t>Não Detectável</t>
  </si>
  <si>
    <t>P-A2</t>
  </si>
  <si>
    <t>HENRIQUE FERREIRA DE OLIVEIRA</t>
  </si>
  <si>
    <t>M</t>
  </si>
  <si>
    <t>97343-6509 / 97339-5725</t>
  </si>
  <si>
    <t>Ind.</t>
  </si>
  <si>
    <t>P-A3</t>
  </si>
  <si>
    <t>MARIA DE FÁTIMA DURSO</t>
  </si>
  <si>
    <t>3466-2730 / 99415-1885(FILHA)</t>
  </si>
  <si>
    <t>P-A4</t>
  </si>
  <si>
    <t>RAYNE SILVESTRE MOURA</t>
  </si>
  <si>
    <t>9559-5955 / 2527-2537(TRABALHO)</t>
  </si>
  <si>
    <t>Não</t>
  </si>
  <si>
    <t>P-A5</t>
  </si>
  <si>
    <t>SOLANGE MIGUEL DA SILVA</t>
  </si>
  <si>
    <t>98649-9734</t>
  </si>
  <si>
    <t>P-A6</t>
  </si>
  <si>
    <t>NIRLEY FONSECA DO CARMO</t>
  </si>
  <si>
    <t>98314-6001</t>
  </si>
  <si>
    <t>P-A7</t>
  </si>
  <si>
    <t>GLEIDSON MENDES MACEDO</t>
  </si>
  <si>
    <t>99858-4527 / 99545-3499</t>
  </si>
  <si>
    <t>P-A8</t>
  </si>
  <si>
    <t>NAYARA ISABELA DOS SANTOS</t>
  </si>
  <si>
    <t>98718-1884 / 98694-2757</t>
  </si>
  <si>
    <t>P-A9</t>
  </si>
  <si>
    <t>CARLOS ALBERTO DA SILVA</t>
  </si>
  <si>
    <t>SITUAÇÃO DE RUA</t>
  </si>
  <si>
    <t>SRAG</t>
  </si>
  <si>
    <t>-</t>
  </si>
  <si>
    <t>P-A10</t>
  </si>
  <si>
    <t>MAX WILLIAN ANDRADE DA SILVA</t>
  </si>
  <si>
    <t>99584-5807</t>
  </si>
  <si>
    <t>P-A11</t>
  </si>
  <si>
    <t>ANGELA APARECIDA DA COSTA ROCHA</t>
  </si>
  <si>
    <t>3473-9752</t>
  </si>
  <si>
    <t>P-A12</t>
  </si>
  <si>
    <t>DALVA FERNANDES DE FREITAS</t>
  </si>
  <si>
    <t>99759-0934</t>
  </si>
  <si>
    <t>P-A13</t>
  </si>
  <si>
    <t>FELIPE DE JESUS SANTOS</t>
  </si>
  <si>
    <t>98255-6981 / 98255-4551</t>
  </si>
  <si>
    <t>P-A14</t>
  </si>
  <si>
    <t>ADRIANO PEREURA DE ARAÚJO</t>
  </si>
  <si>
    <t>P338</t>
  </si>
  <si>
    <t>P-A15</t>
  </si>
  <si>
    <t>ALEX CARVALHO DOS SANTOS</t>
  </si>
  <si>
    <t>99566-9457</t>
  </si>
  <si>
    <t>P-A16</t>
  </si>
  <si>
    <t>GERCINO ENGRACIO DE CARVALHO</t>
  </si>
  <si>
    <t>P-A17</t>
  </si>
  <si>
    <t>LUZINETE FERREIRA DE SOUZA</t>
  </si>
  <si>
    <t>99957-1342 / 99771-3609</t>
  </si>
  <si>
    <t>P-A18</t>
  </si>
  <si>
    <t>FELIPE CORDEIRO ALVES</t>
  </si>
  <si>
    <t>99232-5582</t>
  </si>
  <si>
    <t>P-A19</t>
  </si>
  <si>
    <t>ANTÔNIA FERREIRA DA SILVA</t>
  </si>
  <si>
    <t>99865-3557 / 98691-9535</t>
  </si>
  <si>
    <t>P-A20</t>
  </si>
  <si>
    <t>SONIA DOS SANTOS SILVA</t>
  </si>
  <si>
    <t>98586-7761 - 98776-3383</t>
  </si>
  <si>
    <t>P-A21</t>
  </si>
  <si>
    <t>NEIDILENE PEREIRA DE LANA</t>
  </si>
  <si>
    <t>98964-9063</t>
  </si>
  <si>
    <t>P-A22</t>
  </si>
  <si>
    <t>CLEOMAR CHAGAS DE JESUS</t>
  </si>
  <si>
    <t>99386-1556</t>
  </si>
  <si>
    <t>P-A23</t>
  </si>
  <si>
    <t>MARIA DE PAULA SANTOS CHAGAS</t>
  </si>
  <si>
    <t>99997-7678</t>
  </si>
  <si>
    <t>P-A24</t>
  </si>
  <si>
    <t>JOÃO PEDRO CHAGAS DA SILVA</t>
  </si>
  <si>
    <t>99457-1050</t>
  </si>
  <si>
    <t>P-A25</t>
  </si>
  <si>
    <t>CHARLES BRAULIO AGUIAR DOS SANTOS</t>
  </si>
  <si>
    <t>P-A26</t>
  </si>
  <si>
    <t>ROSILDA DAS DORES GOMES ALBERGARIA</t>
  </si>
  <si>
    <t>98891-6284</t>
  </si>
  <si>
    <t>P-A27</t>
  </si>
  <si>
    <t>LÚCIO GONÇALVES</t>
  </si>
  <si>
    <t>98741-5031 / 99669-4555</t>
  </si>
  <si>
    <t>P340</t>
  </si>
  <si>
    <t>P-A28</t>
  </si>
  <si>
    <t>MARIA TEREZINHA SANTOS DE SOUZA</t>
  </si>
  <si>
    <t>99626-3236</t>
  </si>
  <si>
    <t>P-A29</t>
  </si>
  <si>
    <t>MANOELA ELIAS MOREIRA DA SILVA</t>
  </si>
  <si>
    <t>99261-3960 / 97350-5936</t>
  </si>
  <si>
    <t>P-A30</t>
  </si>
  <si>
    <t>ELIZABETH DE OLIVEIRA DA SILVA</t>
  </si>
  <si>
    <t>99973-9505 / 97345-7639</t>
  </si>
  <si>
    <t>P-A31</t>
  </si>
  <si>
    <t>GENIVAN RODRIGUES DA SILVA</t>
  </si>
  <si>
    <t>P-A32</t>
  </si>
  <si>
    <t>JOANA DARC DA SILVA SANTOS</t>
  </si>
  <si>
    <t>99406-7952 / 99321-1032</t>
  </si>
  <si>
    <t>P-A33</t>
  </si>
  <si>
    <t>MARIA DE LOURDES SILVA CHAVES</t>
  </si>
  <si>
    <t>99776-9699</t>
  </si>
  <si>
    <t>P-A34</t>
  </si>
  <si>
    <t>FRANCISCO MARCONE DA SILVA</t>
  </si>
  <si>
    <t>99128-5483</t>
  </si>
  <si>
    <t>P-A35</t>
  </si>
  <si>
    <t>CARLOS AUGUSTO DE SALES</t>
  </si>
  <si>
    <t>97156-4226</t>
  </si>
  <si>
    <t>P-A36</t>
  </si>
  <si>
    <t>FABIANO DE MIRANDA RIBEIRO</t>
  </si>
  <si>
    <t>NÃO POSSUI</t>
  </si>
  <si>
    <t>14/09/20</t>
  </si>
  <si>
    <t>P-A37</t>
  </si>
  <si>
    <t>APARECIDA QUEIROGA DOS SANTOS SILVA</t>
  </si>
  <si>
    <t>98942-7641</t>
  </si>
  <si>
    <t>P-A38</t>
  </si>
  <si>
    <t>RODRIGO RODRIGUES SANTOS OLIVEIRA</t>
  </si>
  <si>
    <t>99861-2791</t>
  </si>
  <si>
    <t>P-A39</t>
  </si>
  <si>
    <t>MARIA APARECIDA PEREIRA SIRINEU MACHADO</t>
  </si>
  <si>
    <t>98646-7805</t>
  </si>
  <si>
    <t>P-A40</t>
  </si>
  <si>
    <t>FRANCISCO RICARDO SABINO NETO</t>
  </si>
  <si>
    <t>98267-8975</t>
  </si>
  <si>
    <t>P-A41</t>
  </si>
  <si>
    <t>NEWTON APARECIDO ALVES</t>
  </si>
  <si>
    <t>97121-4466</t>
  </si>
  <si>
    <t>P-A42</t>
  </si>
  <si>
    <t>EDLANY MEIRE PACHECO</t>
  </si>
  <si>
    <t>P-A43</t>
  </si>
  <si>
    <t>DIOGO DAVID BISPO DA CRUZ</t>
  </si>
  <si>
    <t>P-A44</t>
  </si>
  <si>
    <t>GLADSMOORE FERREIRA BENTO</t>
  </si>
  <si>
    <t>98350-4480</t>
  </si>
  <si>
    <t>P-A45</t>
  </si>
  <si>
    <t>THAINARA SANTANA DE OLIVEIRA</t>
  </si>
  <si>
    <t>99670-5216</t>
  </si>
  <si>
    <t>P-A46</t>
  </si>
  <si>
    <t>WARLEY TIAGO SILVA</t>
  </si>
  <si>
    <t>99170-8266</t>
  </si>
  <si>
    <t>P-A47</t>
  </si>
  <si>
    <t>ESDRAS MATEUS SILVA</t>
  </si>
  <si>
    <t>99545-6078</t>
  </si>
  <si>
    <t>P-A48</t>
  </si>
  <si>
    <t>MARIA GERALDA DA SILVA SOUZA</t>
  </si>
  <si>
    <t>P-A49</t>
  </si>
  <si>
    <t>BARBARA REGINA NASCIMENTO SANTOS</t>
  </si>
  <si>
    <t>98415-1847</t>
  </si>
  <si>
    <t>P-A50</t>
  </si>
  <si>
    <t>ELIZABETE GONÇALVES MARQUES DA PENHA</t>
  </si>
  <si>
    <t>3454-8849 / 98832-5300</t>
  </si>
  <si>
    <t>P-A51</t>
  </si>
  <si>
    <t>LEIDIANE SANTOS DE SOUZA</t>
  </si>
  <si>
    <t>98699-6692</t>
  </si>
  <si>
    <t>P-A52</t>
  </si>
  <si>
    <t>ELIANE DE ALMEIDA</t>
  </si>
  <si>
    <t>99676-78336</t>
  </si>
  <si>
    <t>P-A53</t>
  </si>
  <si>
    <t>CICERO DA SILVA MELO</t>
  </si>
  <si>
    <t>98789-6670(VANESSA)</t>
  </si>
  <si>
    <t>P-A54</t>
  </si>
  <si>
    <t>ARLINDO JOSÉ DA SILVA</t>
  </si>
  <si>
    <t>3491-2945 / 98721-5745</t>
  </si>
  <si>
    <t>P-A55</t>
  </si>
  <si>
    <t>JHENIFER TAINÁ DE JESUS MOREIRA</t>
  </si>
  <si>
    <t>98410-2979</t>
  </si>
  <si>
    <t>P-A56</t>
  </si>
  <si>
    <t>ANA FERNANDA ALVES DOS SANTOS</t>
  </si>
  <si>
    <t>99439-7540</t>
  </si>
  <si>
    <t>P-A57</t>
  </si>
  <si>
    <t>FLAVIO HENRIQUE DA SILVA</t>
  </si>
  <si>
    <t>99652-5023</t>
  </si>
  <si>
    <t>Inconclusivo</t>
  </si>
  <si>
    <t>P-A58</t>
  </si>
  <si>
    <t>TEREZINHA ALVES DE MOURA</t>
  </si>
  <si>
    <t>9915-67056(FILHA)</t>
  </si>
  <si>
    <t>15/09/20</t>
  </si>
  <si>
    <t>P342</t>
  </si>
  <si>
    <t>P344</t>
  </si>
  <si>
    <t>P-A59</t>
  </si>
  <si>
    <t>RAQUEL CRISTINA NOGUEIRA SATALER</t>
  </si>
  <si>
    <t>99180-8995 / 2522-2513</t>
  </si>
  <si>
    <t>P-A60</t>
  </si>
  <si>
    <t>ANTONIO ALVES DA SILVA</t>
  </si>
  <si>
    <t>97342-4603 / 97545-6051(MEIRE ESPOSA)</t>
  </si>
  <si>
    <t>P-A61</t>
  </si>
  <si>
    <t>SAMUEL FERREIRA LOPES</t>
  </si>
  <si>
    <t>99633-5188 / 99905-3905</t>
  </si>
  <si>
    <t>P-A62</t>
  </si>
  <si>
    <t>VERA LUCIA DA SILVA MENEZES</t>
  </si>
  <si>
    <t>97118-8501</t>
  </si>
  <si>
    <t>P-A63</t>
  </si>
  <si>
    <t>MALENA FARIAS DE SOUZA</t>
  </si>
  <si>
    <t>99156-5001 / 3454-1987</t>
  </si>
  <si>
    <t>P-A64</t>
  </si>
  <si>
    <t>NELMA MARIA PIRES DE ABREU</t>
  </si>
  <si>
    <t>98215-4742</t>
  </si>
  <si>
    <t>P-A65</t>
  </si>
  <si>
    <t>JESSICA DE SOUSA COELHO</t>
  </si>
  <si>
    <t>98743-7662</t>
  </si>
  <si>
    <t>P-A66</t>
  </si>
  <si>
    <t>DALVA CELESTE FERRAZ</t>
  </si>
  <si>
    <t>(37) 98803-7767 / (31) 95183-9490(FILHO DIEGO)</t>
  </si>
  <si>
    <t>16/09/20</t>
  </si>
  <si>
    <t>P-A67</t>
  </si>
  <si>
    <t>DAIANA NUNES PEREIRA</t>
  </si>
  <si>
    <t>99399-1440</t>
  </si>
  <si>
    <t>P-A68</t>
  </si>
  <si>
    <t>RENATA DA SILVA VIEIRA</t>
  </si>
  <si>
    <t>98586-1999 / 98307-9131(MÃE)</t>
  </si>
  <si>
    <t>P-A69</t>
  </si>
  <si>
    <t>FELIPE DE JESUS BARBOSA</t>
  </si>
  <si>
    <t>97130-4501 / 99553-7880(PAI)</t>
  </si>
  <si>
    <t>P-A70</t>
  </si>
  <si>
    <t>VANUSA LOPES DA SILVA</t>
  </si>
  <si>
    <t>99488-6567 / 98865-262</t>
  </si>
  <si>
    <t>P-A71</t>
  </si>
  <si>
    <t>MATEUS DE JESUS MUNIZ</t>
  </si>
  <si>
    <t>99926-7577 / 99106-3234</t>
  </si>
  <si>
    <t>P-A72</t>
  </si>
  <si>
    <t>PEDRO EDUARDO DA SILVA CASTELONI</t>
  </si>
  <si>
    <t>98963-4406 / 98529-6092</t>
  </si>
  <si>
    <t>P-A73</t>
  </si>
  <si>
    <t>MAURICIO DOS SANTOS TEODORO</t>
  </si>
  <si>
    <t>99347-3677</t>
  </si>
  <si>
    <t>P345</t>
  </si>
  <si>
    <t>P-A74</t>
  </si>
  <si>
    <t>JADSON LARDY LEMES</t>
  </si>
  <si>
    <t>98933-9684</t>
  </si>
  <si>
    <t>P-A75</t>
  </si>
  <si>
    <t>VICTOR QUIRINO FERREIRA DOS SANTOS</t>
  </si>
  <si>
    <t>99444-6062 / 98881-2139</t>
  </si>
  <si>
    <t>P-A76</t>
  </si>
  <si>
    <t>GUSTAVO AUGUSTO DIAS DA SILVA</t>
  </si>
  <si>
    <t>99396-6692</t>
  </si>
  <si>
    <t>17/09/20</t>
  </si>
  <si>
    <t>P-A77</t>
  </si>
  <si>
    <t>ELAINE APARECIDA DOARES JUSTINO</t>
  </si>
  <si>
    <t>98813-6067</t>
  </si>
  <si>
    <t>P-A78</t>
  </si>
  <si>
    <t>POLIANA NASCIMENTO MARIANO</t>
  </si>
  <si>
    <t>3671-7148 / 99343-3401</t>
  </si>
  <si>
    <t>P-A79</t>
  </si>
  <si>
    <t>CATIA DEBORA DE ANDRADE</t>
  </si>
  <si>
    <t>99739-5805</t>
  </si>
  <si>
    <t>P-A80</t>
  </si>
  <si>
    <t>IZABELLE XAVIER SILVA</t>
  </si>
  <si>
    <t>99582-9002</t>
  </si>
  <si>
    <t>P-A81</t>
  </si>
  <si>
    <t>KEILA DENIZE SOARES DE BRITO</t>
  </si>
  <si>
    <t>(38) 99137-9957</t>
  </si>
  <si>
    <t>18/09/20</t>
  </si>
  <si>
    <t>P351</t>
  </si>
  <si>
    <t>P-A82</t>
  </si>
  <si>
    <t>CARINA REGIS DA SILVA</t>
  </si>
  <si>
    <t>3493-7030</t>
  </si>
  <si>
    <t>P-A83</t>
  </si>
  <si>
    <t>ANNE CRISTINA SOARES DE OLIVEIRA</t>
  </si>
  <si>
    <t>99945-3583</t>
  </si>
  <si>
    <t>P-A84</t>
  </si>
  <si>
    <t>MAURINA ALEGRE DA OLIVEIRA</t>
  </si>
  <si>
    <t>98542-2534</t>
  </si>
  <si>
    <t>P-A85</t>
  </si>
  <si>
    <t>JOSÉ CARLOS RAMOS</t>
  </si>
  <si>
    <t>3453-9373</t>
  </si>
  <si>
    <t>P354</t>
  </si>
  <si>
    <t>P-A86</t>
  </si>
  <si>
    <t>ROBERTO AUGUSTO FAJARDO</t>
  </si>
  <si>
    <t>99213-9013</t>
  </si>
  <si>
    <t>P-A87</t>
  </si>
  <si>
    <t>MATEUS BERNARDO COSTA</t>
  </si>
  <si>
    <t>97183-1746</t>
  </si>
  <si>
    <t>P-A88</t>
  </si>
  <si>
    <t>LEILANE CORDEIRO LEITE CASTA</t>
  </si>
  <si>
    <t>98719-5016</t>
  </si>
  <si>
    <t>P-A89</t>
  </si>
  <si>
    <t>JULIA LEITE BURGARELLI</t>
  </si>
  <si>
    <t>P-A90</t>
  </si>
  <si>
    <t>WELLINGTON ALVES DA ROCHA</t>
  </si>
  <si>
    <t>99148-0661 / 98715-7419</t>
  </si>
  <si>
    <t>P-A91</t>
  </si>
  <si>
    <t>GISELE SILVA DE AQUINO</t>
  </si>
  <si>
    <t>98733-3541</t>
  </si>
  <si>
    <t>P-A92</t>
  </si>
  <si>
    <t>ROSELI GEREMIAS</t>
  </si>
  <si>
    <t>98706-3656</t>
  </si>
  <si>
    <t>P-A93</t>
  </si>
  <si>
    <t>JULIO CEZAR PEREIRA DE OLIVEIRA</t>
  </si>
  <si>
    <t>98118-3477</t>
  </si>
  <si>
    <t>P-A94</t>
  </si>
  <si>
    <t>DEMERSON MARIANO MACIEL</t>
  </si>
  <si>
    <t>98021-8384</t>
  </si>
  <si>
    <t>21/09/20</t>
  </si>
  <si>
    <t>P-A95</t>
  </si>
  <si>
    <t>FERNANDO MARCOS SOARES</t>
  </si>
  <si>
    <t>98484-8716</t>
  </si>
  <si>
    <t>P-A96</t>
  </si>
  <si>
    <t>VALTENI FERREIRA DA SILVA</t>
  </si>
  <si>
    <t>98460-3167 / 3624-0598</t>
  </si>
  <si>
    <t>P-A97</t>
  </si>
  <si>
    <t>KEITY CAROLINE ALVES ASSIS</t>
  </si>
  <si>
    <t>99440-3256 / 99288-9449(ESPOSO)</t>
  </si>
  <si>
    <t>P-A98</t>
  </si>
  <si>
    <t>EMERSON HENRIQUE FERREIRA</t>
  </si>
  <si>
    <t>98258-0812 / 98463-2115</t>
  </si>
  <si>
    <t>P-A99</t>
  </si>
  <si>
    <t>APARECIDA BENEDITA WENCESLAU</t>
  </si>
  <si>
    <t>99660-1468</t>
  </si>
  <si>
    <t>P-A100</t>
  </si>
  <si>
    <t>ALISSON JOSÉ DA SILVA</t>
  </si>
  <si>
    <t>98684-1577(ESPOSA-ROSÂNGELA)</t>
  </si>
  <si>
    <t>P-A101</t>
  </si>
  <si>
    <t>CÉLIO PEREIRA DE OLIVEIRA</t>
  </si>
  <si>
    <t>98857-6196 / 3443-5428</t>
  </si>
  <si>
    <t>P-A102</t>
  </si>
  <si>
    <t>MARCIO TOLOMELI</t>
  </si>
  <si>
    <t>99619-9489</t>
  </si>
  <si>
    <t>P-A103</t>
  </si>
  <si>
    <t>WILLIAM DAVIDSON RODRIGUES LARES</t>
  </si>
  <si>
    <t>99334-7343 / 99272-2639(ESPOSA LORRAINE)</t>
  </si>
  <si>
    <t>P-A104</t>
  </si>
  <si>
    <t>MARIA EMILIA DE SENA</t>
  </si>
  <si>
    <t>98414-9521</t>
  </si>
  <si>
    <t>P-A105</t>
  </si>
  <si>
    <t>CASSIA VALERIA DE FREITAS</t>
  </si>
  <si>
    <t>98235-3387</t>
  </si>
  <si>
    <t>22/09/20</t>
  </si>
  <si>
    <t>P362</t>
  </si>
  <si>
    <t>P-A106</t>
  </si>
  <si>
    <t>ANA PAULA MOREIRA ANDRADE</t>
  </si>
  <si>
    <t>98968-5741</t>
  </si>
  <si>
    <t>P355</t>
  </si>
  <si>
    <t>P-A107</t>
  </si>
  <si>
    <t>CRISTINA FERNANDES DE SOUZA</t>
  </si>
  <si>
    <t>(38) 99943-5623</t>
  </si>
  <si>
    <t>P-A108</t>
  </si>
  <si>
    <t>FABIANO EUSTAQUIO PEREIRA ANDRADE</t>
  </si>
  <si>
    <t>97563-4546</t>
  </si>
  <si>
    <t>P-A109</t>
  </si>
  <si>
    <t>JHONATAN LUIZ PEREIRA DA SILVA</t>
  </si>
  <si>
    <t>99441-8042</t>
  </si>
  <si>
    <t>P-A110</t>
  </si>
  <si>
    <t>ANA CAROLINA DE OLIVEIRA ROSA</t>
  </si>
  <si>
    <t>98718-4243 / 99204-9221</t>
  </si>
  <si>
    <t>P-A111</t>
  </si>
  <si>
    <t>PAMELA RIBEIRO DOS SANTOS</t>
  </si>
  <si>
    <t>99407-2612(IRMÃ SAMILA)</t>
  </si>
  <si>
    <t>P-A112</t>
  </si>
  <si>
    <t>MARIO ANTÔNIO GHERARD PINTO JUNIOR</t>
  </si>
  <si>
    <t>98714-2467</t>
  </si>
  <si>
    <t>P-A113</t>
  </si>
  <si>
    <t>ELIAS PEREIRA DE AZEVEDO</t>
  </si>
  <si>
    <t>99452-6389 / 99377-3468(ESPOSA)</t>
  </si>
  <si>
    <t>P360</t>
  </si>
  <si>
    <t>Ind</t>
  </si>
  <si>
    <t>P-A114</t>
  </si>
  <si>
    <t>CAMILA NAIARA GOMES</t>
  </si>
  <si>
    <t>98353-7614</t>
  </si>
  <si>
    <t>P-A115</t>
  </si>
  <si>
    <t>RAFAEL SANTANA GOMES</t>
  </si>
  <si>
    <t>99760-1630</t>
  </si>
  <si>
    <t>P-A116</t>
  </si>
  <si>
    <t>MARIA DO ROSÁRIO DA SILVA</t>
  </si>
  <si>
    <t>P-A117</t>
  </si>
  <si>
    <t>FRANCISCO ESTANISLAU MARQUES</t>
  </si>
  <si>
    <t>98253-4275</t>
  </si>
  <si>
    <t>P-A118</t>
  </si>
  <si>
    <t>MARIA DA GLÓRIA CARDOSO DO NASCIMENTO</t>
  </si>
  <si>
    <t>97588-4446</t>
  </si>
  <si>
    <t>P-A119</t>
  </si>
  <si>
    <t>BRUNA CHAVES SOUZA</t>
  </si>
  <si>
    <t>99478-1542 / 97123-6942</t>
  </si>
  <si>
    <t>P-A120</t>
  </si>
  <si>
    <t>ROMEU DA SILVA ESTEVÃO</t>
  </si>
  <si>
    <t>98681-5663 / 98599-2367(GEOVANA)</t>
  </si>
  <si>
    <t>23/09/20</t>
  </si>
  <si>
    <t>P-A121</t>
  </si>
  <si>
    <t>RAPHAEL PHILLIP DIAS DE SOUZA</t>
  </si>
  <si>
    <t>98918-6628 / 98506-8879</t>
  </si>
  <si>
    <t>P-A122</t>
  </si>
  <si>
    <t>KAMILLA BARBOSA DE PAIVA</t>
  </si>
  <si>
    <t>98915-5039 / 98762-2645</t>
  </si>
  <si>
    <t>P-A123</t>
  </si>
  <si>
    <t>REGINA APARECIDA ARVELOS</t>
  </si>
  <si>
    <t>98798-0112 / 98646-5430</t>
  </si>
  <si>
    <t>P-A124</t>
  </si>
  <si>
    <t>DAIANA BAIÃO DE SOUZA</t>
  </si>
  <si>
    <t>99153-8344 / 3283-5295</t>
  </si>
  <si>
    <t>P-A125</t>
  </si>
  <si>
    <t>SANDRA DE OLIVEIRA VIEIRA</t>
  </si>
  <si>
    <t>98576-9968 / 98695-8361(ALEXSANDRA IRMÃ)</t>
  </si>
  <si>
    <t>P-A126</t>
  </si>
  <si>
    <t>CARLA MARIANA ALVES DA SILVEIRA</t>
  </si>
  <si>
    <t>99198-9787 / 99202-9781(MARCOS NOIVO)</t>
  </si>
  <si>
    <t>P-A127</t>
  </si>
  <si>
    <t>FERNANDA DE FÁTIMA MAGELA RODRIGUES</t>
  </si>
  <si>
    <t>99359-3371 / 99402-7622(BENVINDA MÃE)</t>
  </si>
  <si>
    <t>P-A128</t>
  </si>
  <si>
    <t>GUSTAVO MILTON MOURÃO</t>
  </si>
  <si>
    <t>99986-6338 / 99616-8710</t>
  </si>
  <si>
    <t>P-A129</t>
  </si>
  <si>
    <t>MARIA ALVES DOS SANTOS</t>
  </si>
  <si>
    <t>99178-5575 / 3468-6726</t>
  </si>
  <si>
    <t>24/09/20</t>
  </si>
  <si>
    <t>P-A130</t>
  </si>
  <si>
    <t>ZENILDA FRANCISCA MACEDO</t>
  </si>
  <si>
    <t>99779-5709 / 99765-1650</t>
  </si>
  <si>
    <t>P-A131</t>
  </si>
  <si>
    <t>JULIO CESAR DA SILVA PAULINO</t>
  </si>
  <si>
    <t>99616-6161</t>
  </si>
  <si>
    <t>P363</t>
  </si>
  <si>
    <t>P-A132</t>
  </si>
  <si>
    <t>CRISTIANO SOARES DA SILVA</t>
  </si>
  <si>
    <t>P-A133</t>
  </si>
  <si>
    <t>LARISSA DE OLIVEIRA DE AZEVEDO</t>
  </si>
  <si>
    <t>99230-3053 / 3245-7228</t>
  </si>
  <si>
    <t>P-A134</t>
  </si>
  <si>
    <t>LUCILEIA APOLONIA DE JESUS</t>
  </si>
  <si>
    <t>98255-1233</t>
  </si>
  <si>
    <t>P-A135</t>
  </si>
  <si>
    <t>MICHELLE GOMES ANDRADE DA ROCHA</t>
  </si>
  <si>
    <t>99234-60-34 / 99148-0661</t>
  </si>
  <si>
    <t>P-A136</t>
  </si>
  <si>
    <t>ISABELLA CRISTINA SILVA MOURA</t>
  </si>
  <si>
    <t>97159-3930 / 98379-3259</t>
  </si>
  <si>
    <t>P-A137</t>
  </si>
  <si>
    <t>LARISSA DE JESUS DOS SANTOS</t>
  </si>
  <si>
    <t>P-A138</t>
  </si>
  <si>
    <t>JULIANA MARTINS MOURA</t>
  </si>
  <si>
    <t>98642-4884</t>
  </si>
  <si>
    <t>P-A139</t>
  </si>
  <si>
    <t>CANDIDO RIBEIRO DA SILVA</t>
  </si>
  <si>
    <t>3483-1998 / 98392-8109(FILHO)</t>
  </si>
  <si>
    <t>P-A140</t>
  </si>
  <si>
    <t>CLAUDIA NIRVANA DE ARAUJO</t>
  </si>
  <si>
    <t>99830-8824 / 97170-5174(FILHA)</t>
  </si>
  <si>
    <t>25/09/20</t>
  </si>
  <si>
    <t>P-A141</t>
  </si>
  <si>
    <t>KARLA SILVA DE OLIVEIRA GONÇALVES</t>
  </si>
  <si>
    <t>98888-5911 / 98427-8175</t>
  </si>
  <si>
    <t>P-A142</t>
  </si>
  <si>
    <t>ANA LUIZA DIAS VIÇOSO</t>
  </si>
  <si>
    <t>99268-9716 / 99166-7857(ESPOSO)</t>
  </si>
  <si>
    <t>P-A143</t>
  </si>
  <si>
    <t>VANDA MARIA GUIOMAR LOURENÇO ROMUALDO</t>
  </si>
  <si>
    <t>99194-0468(FILHO) / 99923-4457(ESPOSO)</t>
  </si>
  <si>
    <t>P-A144</t>
  </si>
  <si>
    <t>MARIA SALOMÉ DE  MENEZES</t>
  </si>
  <si>
    <t>99812-8455 / 3624-0146</t>
  </si>
  <si>
    <t>P-A145</t>
  </si>
  <si>
    <t>RITA DE CÁSSIA FERNANDES DE VASCONCELOS</t>
  </si>
  <si>
    <t>97594-1563 / 3283-8283</t>
  </si>
  <si>
    <t>P-A146</t>
  </si>
  <si>
    <t>JOABIO DA SILVA COSTA</t>
  </si>
  <si>
    <t>SITUAÇÃO DE RUA / (84) 98761-7240(TATIANA IRMÃ)</t>
  </si>
  <si>
    <t>P365</t>
  </si>
  <si>
    <t>P-A147</t>
  </si>
  <si>
    <t>CLAUDIO ADÃO DE OLIVEIRA MOURA</t>
  </si>
  <si>
    <t>98977-6128</t>
  </si>
  <si>
    <t>P-A148</t>
  </si>
  <si>
    <t>AMANDA ALINE DA ROCHA OLIVEIRA</t>
  </si>
  <si>
    <t>98866-7882 / 3282-5139</t>
  </si>
  <si>
    <t>P-A149</t>
  </si>
  <si>
    <t>MATHEUS DONIZETE DE QUEIROZ</t>
  </si>
  <si>
    <t>99745-7804 / 2531-5867</t>
  </si>
  <si>
    <t>P-A150</t>
  </si>
  <si>
    <t>KAROLINE E SILVA PINTO</t>
  </si>
  <si>
    <t>98547-7715 / 99408-8326</t>
  </si>
  <si>
    <t>P-A151</t>
  </si>
  <si>
    <t>MARIA DE FÁTIMA MOREIRA</t>
  </si>
  <si>
    <t>98579-6302 / 98582-4169 / 99287-0102</t>
  </si>
  <si>
    <t>P-A152</t>
  </si>
  <si>
    <t>MARIA EDINA CIRINO DE CARVALHO</t>
  </si>
  <si>
    <t>98906-4679 / 3287-9518</t>
  </si>
  <si>
    <t>P-A153</t>
  </si>
  <si>
    <t>ALICIANE SILVA DOS ANJOS</t>
  </si>
  <si>
    <t>98707-4867 / 98574-5876(ESPOSO ANDERSON)</t>
  </si>
  <si>
    <t>28/09/20</t>
  </si>
  <si>
    <t>P-A154</t>
  </si>
  <si>
    <t>CAROLINE APARECIDA JANUÁRIO</t>
  </si>
  <si>
    <t>98846-8187 / 98722-1659</t>
  </si>
  <si>
    <t>P-A155</t>
  </si>
  <si>
    <t>GERALDO DAVINO DA SILVA</t>
  </si>
  <si>
    <t>99984-7822 / 3283-8222</t>
  </si>
  <si>
    <t>P368</t>
  </si>
  <si>
    <t>P-A156</t>
  </si>
  <si>
    <t>DANIEL PHELIPE MORAIS SILVA</t>
  </si>
  <si>
    <t>98673-4734 / 3283-822</t>
  </si>
  <si>
    <t>P-A157</t>
  </si>
  <si>
    <t>TATIANE PAULA DE AMORIM</t>
  </si>
  <si>
    <t>99193-2045 / 99289-6901</t>
  </si>
  <si>
    <t>P-A158</t>
  </si>
  <si>
    <t>CAMILA VITÓRIA RODRIGUES DA SILVA SANTOS</t>
  </si>
  <si>
    <t>99459-0978 / 99459-2836</t>
  </si>
  <si>
    <t>P-A159</t>
  </si>
  <si>
    <t>ANA LUIZA SILVA SANTOS</t>
  </si>
  <si>
    <t>98356-4721 / 99822-6441</t>
  </si>
  <si>
    <t>P-A160</t>
  </si>
  <si>
    <t>GERALDO NUNES GOMES</t>
  </si>
  <si>
    <t>99433-7076 / 98676-9606(FILHA RAQUEL)</t>
  </si>
  <si>
    <t>P-A161</t>
  </si>
  <si>
    <t>FLAVIANO ANTÔNIO DA SILVA</t>
  </si>
  <si>
    <t>97341-9096 / 99283-0219(ESPOSA)</t>
  </si>
  <si>
    <t>P-A162</t>
  </si>
  <si>
    <t>MARIA APARECIDA GONÇALVES DUARTE</t>
  </si>
  <si>
    <t>99198-6689 / 99343-2892</t>
  </si>
  <si>
    <t>P-A163</t>
  </si>
  <si>
    <t>CARMEN HELENA DE SOUZA</t>
  </si>
  <si>
    <t>98823-9157</t>
  </si>
  <si>
    <t>P-A164</t>
  </si>
  <si>
    <t>GIOVANNI AUGUSTO DOS SANTOS VITORIANO</t>
  </si>
  <si>
    <t>97562-6429 / 99117-6376(PRIMA)</t>
  </si>
  <si>
    <t>P-A165</t>
  </si>
  <si>
    <t>TEVIN GRACIANO GOMES FERREIRA</t>
  </si>
  <si>
    <t>99824 - 4046 / 3317-5499</t>
  </si>
  <si>
    <t>P-A166</t>
  </si>
  <si>
    <t>FELIPE PESSOA MARTINS</t>
  </si>
  <si>
    <t>99262-7912</t>
  </si>
  <si>
    <t>P-A167</t>
  </si>
  <si>
    <t>SABRINA MARCELINO GRIGORIO CANDIDO</t>
  </si>
  <si>
    <t>98975-5251</t>
  </si>
  <si>
    <t>P-A168</t>
  </si>
  <si>
    <t>PEDRO HENRIQUE ARAUJO AMATO MOREIRA</t>
  </si>
  <si>
    <t>97360-1897 / 99658-9437(JULIA)</t>
  </si>
  <si>
    <t>P-A169</t>
  </si>
  <si>
    <t>MARLY PEREIRA DOS SANTOS</t>
  </si>
  <si>
    <t>98528-7194 / 98773-9058(LETÍCIA FILHA)</t>
  </si>
  <si>
    <t>P-A170</t>
  </si>
  <si>
    <t>ANTÔNIO LEITE DE CARVALHO PRIMO</t>
  </si>
  <si>
    <t>99361-8888(ANTONIO CARVALHO FILHO)</t>
  </si>
  <si>
    <t>P369</t>
  </si>
  <si>
    <t>P-A171</t>
  </si>
  <si>
    <t>THAIS ROBERTA CORREIA DO CARMO</t>
  </si>
  <si>
    <t>99358-4996 / 3441-7964</t>
  </si>
  <si>
    <t>29/09/20</t>
  </si>
  <si>
    <t>P-A172</t>
  </si>
  <si>
    <t>MANOEL BRUNO PEREIRA LIMA</t>
  </si>
  <si>
    <t>99648-5971 / 98499-6251</t>
  </si>
  <si>
    <t>P-A173</t>
  </si>
  <si>
    <t>ALEXANDER AVILA</t>
  </si>
  <si>
    <t>99666-6469 / 98985-0589(PATRICIA)</t>
  </si>
  <si>
    <t>P-A174</t>
  </si>
  <si>
    <t>CARLOS PEDRO EVANGELISTA DIAS</t>
  </si>
  <si>
    <t>97174-4504</t>
  </si>
  <si>
    <t>P-A175</t>
  </si>
  <si>
    <t>JUVENAL ALVES DE OLIVEIRA</t>
  </si>
  <si>
    <t>98495-8067 / 98846-5614</t>
  </si>
  <si>
    <t>P-A176</t>
  </si>
  <si>
    <t>ROBSON GONÇALVES PEREIRA</t>
  </si>
  <si>
    <t>99545-1470 / 3277-1639</t>
  </si>
  <si>
    <t>P-A177</t>
  </si>
  <si>
    <t>EVERALDO BICALHO MARINHO</t>
  </si>
  <si>
    <t>P-A178</t>
  </si>
  <si>
    <t>DANIELA CAROLINA EL CORAB VASCONCELOS</t>
  </si>
  <si>
    <t>99616-8710</t>
  </si>
  <si>
    <t>P-A179</t>
  </si>
  <si>
    <t>ROBENILTON BARREIRO DOS SANTOS</t>
  </si>
  <si>
    <t>P-A180</t>
  </si>
  <si>
    <t>LUIS CLAUDIO DE SOUZA</t>
  </si>
  <si>
    <t>3297-4680</t>
  </si>
  <si>
    <t>P-A181</t>
  </si>
  <si>
    <t>ANDERSON ALVES DO NASCIMENTO</t>
  </si>
  <si>
    <t>98954-8119 / 3435-6166</t>
  </si>
  <si>
    <t>30/09/20</t>
  </si>
  <si>
    <t>P-A182</t>
  </si>
  <si>
    <t>EDENISIA APARECIDA FAGUNDES</t>
  </si>
  <si>
    <t>99663-3455 / 3622-0662</t>
  </si>
  <si>
    <t>P-A183</t>
  </si>
  <si>
    <t>EMANUEL ALVES ANASTACIO</t>
  </si>
  <si>
    <t>99584-6982 / 3432-9588</t>
  </si>
  <si>
    <t>P-A184</t>
  </si>
  <si>
    <t>MARCO AURÉLIO DA SILVA VIANA</t>
  </si>
  <si>
    <t>98724-8835 / 98804-1902(ESPOSA)</t>
  </si>
  <si>
    <t>P-A185</t>
  </si>
  <si>
    <t>BELKYS RODRIGUES BATISTA ANDRADE</t>
  </si>
  <si>
    <t>98774-3490 / 99201-9841</t>
  </si>
  <si>
    <t>P-A186</t>
  </si>
  <si>
    <t>ALCIDES NASCIMENTO DE LIMA</t>
  </si>
  <si>
    <t>99694-4686 / 98355-9247</t>
  </si>
  <si>
    <t>P-A187</t>
  </si>
  <si>
    <t>ROSANA CARVALHO DA SILVA</t>
  </si>
  <si>
    <t>97112-5989 / 99551-8159(ESPOSO)</t>
  </si>
  <si>
    <t>P-A188</t>
  </si>
  <si>
    <t>CAMILA MOREIRA DE OLIVEIRA</t>
  </si>
  <si>
    <t>99617-1925</t>
  </si>
  <si>
    <t>P-A189</t>
  </si>
  <si>
    <t>CARLOS HENRIQUE SILVA FERREIRA</t>
  </si>
  <si>
    <t>99437-0357 / 3140-2628</t>
  </si>
  <si>
    <t>P-A190</t>
  </si>
  <si>
    <t>JUNIO DO CARMO</t>
  </si>
  <si>
    <t>99302-3636 / 99814-5210(ORLANDO PAI)</t>
  </si>
  <si>
    <t>P-A191</t>
  </si>
  <si>
    <t>DÉCIO DINIZ CARVALHO</t>
  </si>
  <si>
    <t>98918-2680 / 99407-0920</t>
  </si>
  <si>
    <t>P372</t>
  </si>
  <si>
    <t>P-A192</t>
  </si>
  <si>
    <t>RUTE RODRIGUES BARBOSA</t>
  </si>
  <si>
    <t>3297-1771 / 98590-8640</t>
  </si>
  <si>
    <t>P-A193</t>
  </si>
  <si>
    <t>ANGELICA NOGUEIRA ANDRADE</t>
  </si>
  <si>
    <t>99395-3593 / 99140-0983</t>
  </si>
  <si>
    <t>P-A194</t>
  </si>
  <si>
    <t>AMANDA LEAL RIBEIRO FERREIRA DE ANDRADE</t>
  </si>
  <si>
    <t>99268-2402 / 98483-7340(ESPOSO)</t>
  </si>
  <si>
    <t>P374</t>
  </si>
  <si>
    <t>P-A195</t>
  </si>
  <si>
    <t>WALLISSON RAFAEL GOMES PEREIRA</t>
  </si>
  <si>
    <t>98808-6977 / 3387-9981</t>
  </si>
  <si>
    <t>P-A196</t>
  </si>
  <si>
    <t>DANILA GABRIELA MENDES SOARES</t>
  </si>
  <si>
    <t>98672-7470</t>
  </si>
  <si>
    <t>P-A197</t>
  </si>
  <si>
    <t>JOISIANE FERREIRA MATOS</t>
  </si>
  <si>
    <t>98727-8511</t>
  </si>
  <si>
    <t>P376</t>
  </si>
  <si>
    <t>P-A198</t>
  </si>
  <si>
    <t>DAVID DA SILVA LOPES</t>
  </si>
  <si>
    <t>99381-9218 / 99220-1944(ESPOSA)</t>
  </si>
  <si>
    <t>P-A199</t>
  </si>
  <si>
    <t>DALILA AMBROSIA</t>
  </si>
  <si>
    <t>P-A200</t>
  </si>
  <si>
    <t xml:space="preserve">CLEIDMAR CAMPOS DA SILVA </t>
  </si>
  <si>
    <t>(31)99265-4235 / 99418-6114(ESPOSO)</t>
  </si>
  <si>
    <t>P375</t>
  </si>
  <si>
    <t>P-A201</t>
  </si>
  <si>
    <t>FERNANDO JOSÉ</t>
  </si>
  <si>
    <t>99424-8491</t>
  </si>
  <si>
    <t>P-A202</t>
  </si>
  <si>
    <t>ILDO FERREIRA DE FREITAS</t>
  </si>
  <si>
    <t>98219-0485 / 98905-5221</t>
  </si>
  <si>
    <t>P-A203</t>
  </si>
  <si>
    <t>ELISANGELA SANTOS OLIVEIRA</t>
  </si>
  <si>
    <t>98528-0939</t>
  </si>
  <si>
    <t>P-A204</t>
  </si>
  <si>
    <t>ALESSANDRA FRANCISCO DA SILVA</t>
  </si>
  <si>
    <t>99410-9843 / 98833-1406(ESPOSO)</t>
  </si>
  <si>
    <t>P-A205</t>
  </si>
  <si>
    <t xml:space="preserve">NATHAN MENDES SOUZA </t>
  </si>
  <si>
    <t>99392-1915 / 99458-3355(ESPOSO)</t>
  </si>
  <si>
    <t>P-A206</t>
  </si>
  <si>
    <t>ANGELA DA CONCEIÇÃO BAZILIO</t>
  </si>
  <si>
    <t>98745-0292(ROSANA FILHA)</t>
  </si>
  <si>
    <t>P-A207</t>
  </si>
  <si>
    <t>ALEXSANDRO SANTOS RODRIGUES</t>
  </si>
  <si>
    <t>P-A208</t>
  </si>
  <si>
    <t>ANDREIA FERREIRA DA SILVA</t>
  </si>
  <si>
    <t>99812-0951</t>
  </si>
  <si>
    <t>P-A209</t>
  </si>
  <si>
    <t>PAOLA KARYNE TAVARES DOS SANTOS</t>
  </si>
  <si>
    <t>98769-5910 / 99560-2717</t>
  </si>
  <si>
    <t>P378</t>
  </si>
  <si>
    <t>P-A210</t>
  </si>
  <si>
    <t>ROBERTO DA SOUZA</t>
  </si>
  <si>
    <t>99988-6124 / 3428-5222(SÔNIA IRMÃ)</t>
  </si>
  <si>
    <t>P-A211</t>
  </si>
  <si>
    <t>CANDINA FIUZA CAMARGOS GUELBER DE BARROS VIEIRA</t>
  </si>
  <si>
    <t>99214-9810</t>
  </si>
  <si>
    <t>P-A212</t>
  </si>
  <si>
    <t>ANA PAULA DE AGUIAR SANTOS</t>
  </si>
  <si>
    <t>98270-4248 / 99640-7533</t>
  </si>
  <si>
    <t>P-A213</t>
  </si>
  <si>
    <t>JOEL DAMAZIO DA SILVA</t>
  </si>
  <si>
    <t>P-A214</t>
  </si>
  <si>
    <t>GUILHERME FRANÇA DE GUADALUPE VIEGA</t>
  </si>
  <si>
    <t>99302-5813 / 3488-4569</t>
  </si>
  <si>
    <t>P-A215</t>
  </si>
  <si>
    <t>MATHEUS GUSTAVO DOS SANTOS MOREIRA</t>
  </si>
  <si>
    <t>99138-3448 / 99210-6553(ESPOSA)</t>
  </si>
  <si>
    <t>P-A216</t>
  </si>
  <si>
    <t>MÁRCIA RODRIGUES DE SOUSA</t>
  </si>
  <si>
    <t>99686-1865 / 3378-2879</t>
  </si>
  <si>
    <t>P-A217</t>
  </si>
  <si>
    <t>JOSÉ GERALDO CONRADO</t>
  </si>
  <si>
    <t>P-A218</t>
  </si>
  <si>
    <t>SABRINA ALVES FERNANDES</t>
  </si>
  <si>
    <t>99160-0229</t>
  </si>
  <si>
    <t>P-A219</t>
  </si>
  <si>
    <t>LIDIA DA LUZ ALVES</t>
  </si>
  <si>
    <t>99210-9868(ALEXANDRE SOBRINHO)</t>
  </si>
  <si>
    <t>P-A220</t>
  </si>
  <si>
    <t>MATHEUS PEREIRA DO ESPIRITO SANTO</t>
  </si>
  <si>
    <t>99573-6601</t>
  </si>
  <si>
    <t>P-A221</t>
  </si>
  <si>
    <t>LUANA CRISTINA BARBOSA SILVA</t>
  </si>
  <si>
    <t>98304-0123</t>
  </si>
  <si>
    <t>P-A222</t>
  </si>
  <si>
    <t>MARCOS VINICIUS ALVES SAMORA</t>
  </si>
  <si>
    <t>(33)98890-0864 / (31)9556-7338(NAMORADA)</t>
  </si>
  <si>
    <t>P-A223</t>
  </si>
  <si>
    <t>MAICON ALEXSANDER ROMUALDO</t>
  </si>
  <si>
    <t>97140-6386 / 99345-2970(ESPOSA)</t>
  </si>
  <si>
    <t>P-A224</t>
  </si>
  <si>
    <t>PRISCILA SOUZA DE MELO</t>
  </si>
  <si>
    <t>99369-1637 / 99639-5227(PAI)</t>
  </si>
  <si>
    <t>P-A225</t>
  </si>
  <si>
    <t>STERANANI SILVA PEREIRA</t>
  </si>
  <si>
    <t>99999-1148</t>
  </si>
  <si>
    <t>P379</t>
  </si>
  <si>
    <t>P-A226</t>
  </si>
  <si>
    <t>CLAUDIA ANA DA SILVA</t>
  </si>
  <si>
    <t>99607-4567</t>
  </si>
  <si>
    <t>P-A227</t>
  </si>
  <si>
    <t>WEVERTON DA SILVA MACEDO</t>
  </si>
  <si>
    <t>(38)99727-5959</t>
  </si>
  <si>
    <t>P-A228</t>
  </si>
  <si>
    <t>WILLIAM SILVA COSTA</t>
  </si>
  <si>
    <t>98380-5097 / 98205-5410(ESPOSA)</t>
  </si>
  <si>
    <t>P-A229</t>
  </si>
  <si>
    <t>KARINA DE FÁTIMA DOS SANTOS</t>
  </si>
  <si>
    <t>98949-8874 / 98917-8077(ESPOSO)</t>
  </si>
  <si>
    <t>P-A230</t>
  </si>
  <si>
    <t>WASHINGTON RODRIGO DE OLIVEIRA SOUZA</t>
  </si>
  <si>
    <t>99831-2374 / 99498-5301</t>
  </si>
  <si>
    <t>P-A231</t>
  </si>
  <si>
    <t>GILMAR PEREIRA DOS SANTOS</t>
  </si>
  <si>
    <t>9913-33811</t>
  </si>
  <si>
    <t>P-A232</t>
  </si>
  <si>
    <t>MARIA JOSÉ DA SILVA CAIXITO</t>
  </si>
  <si>
    <t>99110-9469</t>
  </si>
  <si>
    <t>P-A233</t>
  </si>
  <si>
    <t>ANDERSON JOSÉ RIBEIRO DE SOUSA</t>
  </si>
  <si>
    <t>98100-2386 / 99604-4646(NAMORADA)</t>
  </si>
  <si>
    <t>P-A234</t>
  </si>
  <si>
    <t>LORRAINE AMARAL GONÇALVES</t>
  </si>
  <si>
    <t>98607-2912 / 99948-3503</t>
  </si>
  <si>
    <t>P-A235</t>
  </si>
  <si>
    <t>REINALDO VEIRA JUNIOR</t>
  </si>
  <si>
    <t>9758-10076 / 99172-0983</t>
  </si>
  <si>
    <t>P-A236</t>
  </si>
  <si>
    <t>MARILENE DOS SANTOS BORGES E PAIVA</t>
  </si>
  <si>
    <t>99885-6519 / 99641-0757</t>
  </si>
  <si>
    <t>P-A237</t>
  </si>
  <si>
    <t>JONAS FERREIRA DA CUNHA</t>
  </si>
  <si>
    <t>99425-8442 / 98838-0973(IRMÃO)</t>
  </si>
  <si>
    <t>P-A238</t>
  </si>
  <si>
    <t>MARIA EDUARDA FIGUEIREDO MOREIRA LEMOS</t>
  </si>
  <si>
    <t>99524-2627 / 99227-1098</t>
  </si>
  <si>
    <t>P-A239</t>
  </si>
  <si>
    <t>CLEUZIANE RODRIGUES DE SOUZA</t>
  </si>
  <si>
    <t>98375-3010 / 3624-9687</t>
  </si>
  <si>
    <t>P-A240</t>
  </si>
  <si>
    <t>VINICIUS FERREIRA DA SILVA FRAZÃO</t>
  </si>
  <si>
    <t>99441-1773</t>
  </si>
  <si>
    <t>P-A241</t>
  </si>
  <si>
    <t>ARIADNA CORDEIRO ALVES</t>
  </si>
  <si>
    <t>98573-8930 / 98549-5289</t>
  </si>
  <si>
    <t>P381</t>
  </si>
  <si>
    <t>P-A242</t>
  </si>
  <si>
    <t>CAROLINA DA SILVA DIAS</t>
  </si>
  <si>
    <t>97149-1750 / 99735-3295(BRUNA IRMÃO)</t>
  </si>
  <si>
    <t>P-A243</t>
  </si>
  <si>
    <t>KÉZIA ANGELINA DE ASSIS DA SILVA</t>
  </si>
  <si>
    <t>99483-1267</t>
  </si>
  <si>
    <t>P-A244</t>
  </si>
  <si>
    <t>LEONARDO ALEXANDRE DE SOUZA RIBEIRO</t>
  </si>
  <si>
    <t>98514-7790 / 99321-2252</t>
  </si>
  <si>
    <t>P-A245</t>
  </si>
  <si>
    <t>MARCELO ALVES DA SILVA</t>
  </si>
  <si>
    <t>9735-09417 / 98203-6882(ESPOSA)</t>
  </si>
  <si>
    <t>P-A246</t>
  </si>
  <si>
    <t>ANDRE BENJAMIM TEIXEIRA RIBEIRO</t>
  </si>
  <si>
    <t>99992-6313</t>
  </si>
  <si>
    <t>P-A247</t>
  </si>
  <si>
    <t>PALOMA FERREIRA DE SOUZA</t>
  </si>
  <si>
    <t>98808-4695</t>
  </si>
  <si>
    <t>P-A248</t>
  </si>
  <si>
    <t>LIBERATO BONIFÁCIO LOREDO</t>
  </si>
  <si>
    <t>99786-0177(ESPOSA)</t>
  </si>
  <si>
    <t>P-A249</t>
  </si>
  <si>
    <t>MARIA DA GLORIA MENDES</t>
  </si>
  <si>
    <t>98702-3271</t>
  </si>
  <si>
    <t>P384</t>
  </si>
  <si>
    <t>P385</t>
  </si>
  <si>
    <t>P-A250</t>
  </si>
  <si>
    <t>MARCIA BEATRIZ VIANA MORAES</t>
  </si>
  <si>
    <t>98842-3231 / 98711-0763</t>
  </si>
  <si>
    <t>P-A251</t>
  </si>
  <si>
    <t>MARCELO MORAIS PINTO</t>
  </si>
  <si>
    <t>98317-4888 / 98373-9915(ESPOSA)</t>
  </si>
  <si>
    <t>P-A252</t>
  </si>
  <si>
    <t>EDNILSON FELIX CORREIA CANDIDO</t>
  </si>
  <si>
    <t>99964-6147 / 98729-6314(NAMORADA)</t>
  </si>
  <si>
    <t>P-A253</t>
  </si>
  <si>
    <t>ALBA LUCIANA BARBOSA COELHO</t>
  </si>
  <si>
    <t>99938-9106 / 99760-7766</t>
  </si>
  <si>
    <t>P-A254</t>
  </si>
  <si>
    <t>OURIVALDO GERALDO VIEGAS JUNIOR</t>
  </si>
  <si>
    <t>98483-8050 / 97160-9009(ANGELO)</t>
  </si>
  <si>
    <t>P-A255</t>
  </si>
  <si>
    <t>FABRICIA CRISTINA SILVA AMARAL</t>
  </si>
  <si>
    <t>99795-7854 / 2515-7192</t>
  </si>
  <si>
    <t>P-A256</t>
  </si>
  <si>
    <t>MARCOS ADRIANO RODRIGUES PEREIRA</t>
  </si>
  <si>
    <t>99955-5849</t>
  </si>
  <si>
    <t>P-A257</t>
  </si>
  <si>
    <t>HAGDA ALVES MORAES</t>
  </si>
  <si>
    <t>99244-9304</t>
  </si>
  <si>
    <t>P-A258</t>
  </si>
  <si>
    <t>ALINE DE SOUZA MARQUES</t>
  </si>
  <si>
    <t>98698-9948 / 99635-9024</t>
  </si>
  <si>
    <t>P-A259</t>
  </si>
  <si>
    <t>JOYCE FERNANDA DA SILVA LOURENÇO</t>
  </si>
  <si>
    <t>99871-4465 / 98951-6693</t>
  </si>
  <si>
    <t>P-A260</t>
  </si>
  <si>
    <t>DIOGO RAFAEL PEREIRA SILVA</t>
  </si>
  <si>
    <t>P-A261</t>
  </si>
  <si>
    <t>HUDSON OLIVEIRA CARDOSO</t>
  </si>
  <si>
    <t>99405-6504 / 97113-7897(IRMÃO)</t>
  </si>
  <si>
    <t>P-A262</t>
  </si>
  <si>
    <t>FERNANDA MÁRCIA DA CRUZ</t>
  </si>
  <si>
    <t>98841-2824 / 98957-5065(ESPOSO)</t>
  </si>
  <si>
    <t>P-A263</t>
  </si>
  <si>
    <t>ELCIO GERALDO RIBEIRO</t>
  </si>
  <si>
    <t>99519-0518 / 98745-0424(GISLENE IRMÃ)</t>
  </si>
  <si>
    <t>P-A264</t>
  </si>
  <si>
    <t>CLARA NABUR TANNURE</t>
  </si>
  <si>
    <t>99315-0024</t>
  </si>
  <si>
    <t>P-A265</t>
  </si>
  <si>
    <t>LEANDRO EUSTAQUIO NASCIMENTO</t>
  </si>
  <si>
    <t>99139-0503</t>
  </si>
  <si>
    <t>P-A266</t>
  </si>
  <si>
    <t>DANIELA CRISTINA PIASSI</t>
  </si>
  <si>
    <t>98643-2890(SHEILA IRMÃ)</t>
  </si>
  <si>
    <t>P-A267</t>
  </si>
  <si>
    <t>GERALDO MENDES OLIVEIRA</t>
  </si>
  <si>
    <t>99589-8529(MARCELI FILHA)</t>
  </si>
  <si>
    <t>P-A268</t>
  </si>
  <si>
    <t>NATANAEL ALVES BRITO DE OLIVEIRA</t>
  </si>
  <si>
    <t>P-A269</t>
  </si>
  <si>
    <t>MAYCON SOUSMICKAT SOARES</t>
  </si>
  <si>
    <t>98950-1978 / 98262-1963</t>
  </si>
  <si>
    <t>P386</t>
  </si>
  <si>
    <t>P388</t>
  </si>
  <si>
    <t>P-A270</t>
  </si>
  <si>
    <t>TÂNIA DA CONCEIÇÃO MESSIAS DA SILVA</t>
  </si>
  <si>
    <t>98118-3630 / 3488-7307</t>
  </si>
  <si>
    <t>P-A271</t>
  </si>
  <si>
    <t>13/10/20</t>
  </si>
  <si>
    <t>P-A272</t>
  </si>
  <si>
    <t>P-A273</t>
  </si>
  <si>
    <t>P-A274</t>
  </si>
  <si>
    <t>P-A275</t>
  </si>
  <si>
    <t>P-A276</t>
  </si>
  <si>
    <t>P-A277</t>
  </si>
  <si>
    <t>P-A278</t>
  </si>
  <si>
    <t>P-A279</t>
  </si>
  <si>
    <t>P-A280</t>
  </si>
  <si>
    <t>P-A281</t>
  </si>
  <si>
    <t>P-A282</t>
  </si>
  <si>
    <t>P-A283</t>
  </si>
  <si>
    <t>14/10/20</t>
  </si>
  <si>
    <t>P-A284</t>
  </si>
  <si>
    <t>P-A285</t>
  </si>
  <si>
    <t>P-A286</t>
  </si>
  <si>
    <t>P-A287</t>
  </si>
  <si>
    <t>P-A288</t>
  </si>
  <si>
    <t>P-A289</t>
  </si>
  <si>
    <t>P391</t>
  </si>
  <si>
    <t>P-A290</t>
  </si>
  <si>
    <t>P-A291</t>
  </si>
  <si>
    <t>P-A292</t>
  </si>
  <si>
    <t>P-A293</t>
  </si>
  <si>
    <t>P-A294</t>
  </si>
  <si>
    <t>P-A295</t>
  </si>
  <si>
    <t>15/10/20</t>
  </si>
  <si>
    <t>P-A296</t>
  </si>
  <si>
    <t>P-A297</t>
  </si>
  <si>
    <t>P394</t>
  </si>
  <si>
    <t>P-A298</t>
  </si>
  <si>
    <t>P-A299</t>
  </si>
  <si>
    <t>ind.</t>
  </si>
  <si>
    <t>P-A300</t>
  </si>
  <si>
    <t>P-A301</t>
  </si>
  <si>
    <t>P-A302</t>
  </si>
  <si>
    <t>P-A303</t>
  </si>
  <si>
    <t>16/10/20</t>
  </si>
  <si>
    <t>P-A304</t>
  </si>
  <si>
    <t>P-A305</t>
  </si>
  <si>
    <t>P-A306</t>
  </si>
  <si>
    <t>P-A307</t>
  </si>
  <si>
    <t>P-A308</t>
  </si>
  <si>
    <t>P-A309</t>
  </si>
  <si>
    <t>P-A310</t>
  </si>
  <si>
    <t>P-A311</t>
  </si>
  <si>
    <t>P-A312</t>
  </si>
  <si>
    <t>P-A313</t>
  </si>
  <si>
    <t>P396</t>
  </si>
  <si>
    <t>P-A314</t>
  </si>
  <si>
    <t>19/10/20</t>
  </si>
  <si>
    <t>P-A315</t>
  </si>
  <si>
    <t>P-A325</t>
  </si>
  <si>
    <t>P-A326</t>
  </si>
  <si>
    <t>P-A327</t>
  </si>
  <si>
    <t>P-A316</t>
  </si>
  <si>
    <t>P398</t>
  </si>
  <si>
    <t>P-A317</t>
  </si>
  <si>
    <t>P-A318</t>
  </si>
  <si>
    <t>P-A319</t>
  </si>
  <si>
    <t>P-A320</t>
  </si>
  <si>
    <t>P-A321</t>
  </si>
  <si>
    <t>P-A322</t>
  </si>
  <si>
    <t>P-A323</t>
  </si>
  <si>
    <t>P-A324</t>
  </si>
  <si>
    <t>P-A328</t>
  </si>
  <si>
    <t>P399</t>
  </si>
  <si>
    <t>P-A329</t>
  </si>
  <si>
    <t>20/10/20</t>
  </si>
  <si>
    <t>P-A330</t>
  </si>
  <si>
    <t>P-A331</t>
  </si>
  <si>
    <t>P-A332</t>
  </si>
  <si>
    <t>P-A333</t>
  </si>
  <si>
    <t>P-A334</t>
  </si>
  <si>
    <t>P-A335</t>
  </si>
  <si>
    <t>P-A336</t>
  </si>
  <si>
    <t>P-A337</t>
  </si>
  <si>
    <t>P-A338</t>
  </si>
  <si>
    <t>P-A339</t>
  </si>
  <si>
    <t>P-A340</t>
  </si>
  <si>
    <t>21/10/20</t>
  </si>
  <si>
    <t>P-A341</t>
  </si>
  <si>
    <t>P-A342</t>
  </si>
  <si>
    <t>P-A343</t>
  </si>
  <si>
    <t>P-A344</t>
  </si>
  <si>
    <t>P-A345</t>
  </si>
  <si>
    <t>P-A346</t>
  </si>
  <si>
    <t>P-A347</t>
  </si>
  <si>
    <t>P-A348</t>
  </si>
  <si>
    <t>P-A349</t>
  </si>
  <si>
    <t>P-A350</t>
  </si>
  <si>
    <t>P-A351</t>
  </si>
  <si>
    <t>P-A352</t>
  </si>
  <si>
    <t>P-A353</t>
  </si>
  <si>
    <t>P-A354</t>
  </si>
  <si>
    <t>P-A355</t>
  </si>
  <si>
    <t>P400</t>
  </si>
  <si>
    <t>P405</t>
  </si>
  <si>
    <t>P-A356</t>
  </si>
  <si>
    <t>22/10/20</t>
  </si>
  <si>
    <t>P-A357</t>
  </si>
  <si>
    <t>P-A358</t>
  </si>
  <si>
    <t>P-A359</t>
  </si>
  <si>
    <t>P-A360</t>
  </si>
  <si>
    <t>23/10/20</t>
  </si>
  <si>
    <t>P-A361</t>
  </si>
  <si>
    <t>P-A362</t>
  </si>
  <si>
    <t>P-A363</t>
  </si>
  <si>
    <t>P-A364</t>
  </si>
  <si>
    <t>P-A365</t>
  </si>
  <si>
    <t>P-A366</t>
  </si>
  <si>
    <t>P-A367</t>
  </si>
  <si>
    <t>P-A368</t>
  </si>
  <si>
    <t>P-A369</t>
  </si>
  <si>
    <t>P-A370</t>
  </si>
  <si>
    <t>P406</t>
  </si>
  <si>
    <t>P-A371</t>
  </si>
  <si>
    <t>26/10/20</t>
  </si>
  <si>
    <t>P-A372</t>
  </si>
  <si>
    <t>P-A373</t>
  </si>
  <si>
    <t>P-A374</t>
  </si>
  <si>
    <t>P-A375</t>
  </si>
  <si>
    <t>P-A376</t>
  </si>
  <si>
    <t>P-A377</t>
  </si>
  <si>
    <t>P-A378</t>
  </si>
  <si>
    <t>P-A379</t>
  </si>
  <si>
    <t>27/10/20</t>
  </si>
  <si>
    <t>P409</t>
  </si>
  <si>
    <t>P412</t>
  </si>
  <si>
    <t>P-A380</t>
  </si>
  <si>
    <t>P-A381</t>
  </si>
  <si>
    <t>P-A382</t>
  </si>
  <si>
    <t>P-A383</t>
  </si>
  <si>
    <t>P-A384</t>
  </si>
  <si>
    <t>P-A385</t>
  </si>
  <si>
    <t>P413</t>
  </si>
  <si>
    <t>P-A386</t>
  </si>
  <si>
    <t>P-A387</t>
  </si>
  <si>
    <t>28/10/20</t>
  </si>
  <si>
    <t>P-A388</t>
  </si>
  <si>
    <t>P-A389</t>
  </si>
  <si>
    <t>P-A390</t>
  </si>
  <si>
    <t>P-A391</t>
  </si>
  <si>
    <t>P415</t>
  </si>
  <si>
    <t>P-A392</t>
  </si>
  <si>
    <t>P-A393</t>
  </si>
  <si>
    <t>P-A394</t>
  </si>
  <si>
    <t>P-A395</t>
  </si>
  <si>
    <t>P-A396</t>
  </si>
  <si>
    <t>P-A397</t>
  </si>
  <si>
    <t>P-A398</t>
  </si>
  <si>
    <t>P-A399</t>
  </si>
  <si>
    <t>P-A400</t>
  </si>
  <si>
    <t>29/10/20</t>
  </si>
  <si>
    <t>P-A401</t>
  </si>
  <si>
    <t>P-A402</t>
  </si>
  <si>
    <t>P-A403</t>
  </si>
  <si>
    <t>P-A404</t>
  </si>
  <si>
    <t>P-A405</t>
  </si>
  <si>
    <t>P-A406</t>
  </si>
  <si>
    <t>P-A407</t>
  </si>
  <si>
    <t>30/10/20</t>
  </si>
  <si>
    <t>P-A408</t>
  </si>
  <si>
    <t>P-A409</t>
  </si>
  <si>
    <t>P-A410</t>
  </si>
  <si>
    <t>P-A411</t>
  </si>
  <si>
    <t>P-A412</t>
  </si>
  <si>
    <t>P-A413</t>
  </si>
  <si>
    <t>P417</t>
  </si>
  <si>
    <t>P-A414</t>
  </si>
  <si>
    <t>P-A415</t>
  </si>
  <si>
    <t>P-A416</t>
  </si>
  <si>
    <t>P-A417</t>
  </si>
  <si>
    <t>P-A418</t>
  </si>
  <si>
    <t>P-A419</t>
  </si>
  <si>
    <t>P-A420</t>
  </si>
  <si>
    <t>P-A421</t>
  </si>
  <si>
    <t>P420</t>
  </si>
  <si>
    <t>P-A422</t>
  </si>
  <si>
    <t>P-A423</t>
  </si>
  <si>
    <t>P-A424</t>
  </si>
  <si>
    <t>P422</t>
  </si>
  <si>
    <t>P-A425</t>
  </si>
  <si>
    <t>P-A426</t>
  </si>
  <si>
    <t>P-A427</t>
  </si>
  <si>
    <t>P-A428</t>
  </si>
  <si>
    <t>P-A429</t>
  </si>
  <si>
    <t>P-A430</t>
  </si>
  <si>
    <t>P-A431</t>
  </si>
  <si>
    <t>P-A432</t>
  </si>
  <si>
    <t>P-A433</t>
  </si>
  <si>
    <t>P-A434</t>
  </si>
  <si>
    <t>P-A435</t>
  </si>
  <si>
    <t>P-A436</t>
  </si>
  <si>
    <t>P427</t>
  </si>
  <si>
    <t>P-A437</t>
  </si>
  <si>
    <t>P-A438</t>
  </si>
  <si>
    <t>P-A439</t>
  </si>
  <si>
    <t>P-A440</t>
  </si>
  <si>
    <t>P-A441</t>
  </si>
  <si>
    <t>P-A442</t>
  </si>
  <si>
    <t>P428</t>
  </si>
  <si>
    <t>P-A443</t>
  </si>
  <si>
    <t>P-A444</t>
  </si>
  <si>
    <t>P-A445</t>
  </si>
  <si>
    <t>P-A446</t>
  </si>
  <si>
    <t>P-A447</t>
  </si>
  <si>
    <t>P-A448</t>
  </si>
  <si>
    <t>P-A449</t>
  </si>
  <si>
    <t>P-A450</t>
  </si>
  <si>
    <t>P-A451</t>
  </si>
  <si>
    <t>P-A452</t>
  </si>
  <si>
    <t>P430</t>
  </si>
  <si>
    <t>P-A453</t>
  </si>
  <si>
    <t>P-A454</t>
  </si>
  <si>
    <t>P-A455</t>
  </si>
  <si>
    <t>P-A456</t>
  </si>
  <si>
    <t>P-A457</t>
  </si>
  <si>
    <t>P-A458</t>
  </si>
  <si>
    <t>P-A459</t>
  </si>
  <si>
    <t>P-A460</t>
  </si>
  <si>
    <t>P-A461</t>
  </si>
  <si>
    <t>P-A462</t>
  </si>
  <si>
    <t>P-A463</t>
  </si>
  <si>
    <t>P-A464</t>
  </si>
  <si>
    <t>P-A465</t>
  </si>
  <si>
    <t>P-A466</t>
  </si>
  <si>
    <t>P-A467</t>
  </si>
  <si>
    <t>P-A468</t>
  </si>
  <si>
    <t>P-A469</t>
  </si>
  <si>
    <t>P-A470</t>
  </si>
  <si>
    <t>P435</t>
  </si>
  <si>
    <t>P-A471</t>
  </si>
  <si>
    <t>P-A472</t>
  </si>
  <si>
    <t>P-A473</t>
  </si>
  <si>
    <t>P-A474</t>
  </si>
  <si>
    <t>P-A475</t>
  </si>
  <si>
    <t>P-A476</t>
  </si>
  <si>
    <t>P-A477</t>
  </si>
  <si>
    <t>P-A478</t>
  </si>
  <si>
    <t>P-A479</t>
  </si>
  <si>
    <t>P-A480</t>
  </si>
  <si>
    <t>P-A481</t>
  </si>
  <si>
    <t>P-A482</t>
  </si>
  <si>
    <t>P-A483</t>
  </si>
  <si>
    <t>P-A484</t>
  </si>
  <si>
    <t>P-A485</t>
  </si>
  <si>
    <t>P437</t>
  </si>
  <si>
    <t>P-A486</t>
  </si>
  <si>
    <t>P-A487</t>
  </si>
  <si>
    <t>P-A488</t>
  </si>
  <si>
    <t>P438</t>
  </si>
  <si>
    <t>P-A489</t>
  </si>
  <si>
    <t>P-A490</t>
  </si>
  <si>
    <t>P-A491</t>
  </si>
  <si>
    <t>P-A492</t>
  </si>
  <si>
    <t>P-A493</t>
  </si>
  <si>
    <t>P-A494</t>
  </si>
  <si>
    <t>P-A495</t>
  </si>
  <si>
    <t>P-A496</t>
  </si>
  <si>
    <t>P-A497</t>
  </si>
  <si>
    <t>P-A498</t>
  </si>
  <si>
    <t>P-A499</t>
  </si>
  <si>
    <t>P-A500</t>
  </si>
  <si>
    <t>P-A501</t>
  </si>
  <si>
    <t>13/11/2020</t>
  </si>
  <si>
    <t>P-A502</t>
  </si>
  <si>
    <t>P-A503</t>
  </si>
  <si>
    <t>P-A504</t>
  </si>
  <si>
    <t>P-A505</t>
  </si>
  <si>
    <t>P-A506</t>
  </si>
  <si>
    <t>P442</t>
  </si>
  <si>
    <t>P-A507</t>
  </si>
  <si>
    <t>P-A508</t>
  </si>
  <si>
    <t>16/11/20</t>
  </si>
  <si>
    <t>P-A509</t>
  </si>
  <si>
    <t>P445</t>
  </si>
  <si>
    <t>P-A510</t>
  </si>
  <si>
    <t>P-A511</t>
  </si>
  <si>
    <t>P-A512</t>
  </si>
  <si>
    <t>P-A513</t>
  </si>
  <si>
    <t>P-A514</t>
  </si>
  <si>
    <t>P-A515</t>
  </si>
  <si>
    <t>P-A516</t>
  </si>
  <si>
    <t>P-A517</t>
  </si>
  <si>
    <t>P-A518</t>
  </si>
  <si>
    <t>P-A519</t>
  </si>
  <si>
    <t>P-A520</t>
  </si>
  <si>
    <t>P-A521</t>
  </si>
  <si>
    <t>P-A522</t>
  </si>
  <si>
    <t>P-A523</t>
  </si>
  <si>
    <t>P-A524</t>
  </si>
  <si>
    <t>P-A525</t>
  </si>
  <si>
    <t>P-A526</t>
  </si>
  <si>
    <t>P-A527</t>
  </si>
  <si>
    <t>P-A528</t>
  </si>
  <si>
    <t>P-A529</t>
  </si>
  <si>
    <t>P-A530</t>
  </si>
  <si>
    <t>17/11/20</t>
  </si>
  <si>
    <t>P-A531</t>
  </si>
  <si>
    <t>P-A532</t>
  </si>
  <si>
    <t>P-A533</t>
  </si>
  <si>
    <t>P447</t>
  </si>
  <si>
    <t>P-A534</t>
  </si>
  <si>
    <t>P-A535</t>
  </si>
  <si>
    <t>P-A536</t>
  </si>
  <si>
    <t>P-A537</t>
  </si>
  <si>
    <t>P-A538</t>
  </si>
  <si>
    <t>P-A539</t>
  </si>
  <si>
    <t>P-A540</t>
  </si>
  <si>
    <t>P-A541</t>
  </si>
  <si>
    <t>P-A542</t>
  </si>
  <si>
    <t>P454</t>
  </si>
  <si>
    <t>P-A543</t>
  </si>
  <si>
    <t>P-A544</t>
  </si>
  <si>
    <t>18/11/20</t>
  </si>
  <si>
    <t>P-A545</t>
  </si>
  <si>
    <t>P-A546</t>
  </si>
  <si>
    <t>P-A547</t>
  </si>
  <si>
    <t>P-A548</t>
  </si>
  <si>
    <t>P-A549</t>
  </si>
  <si>
    <t>P-A550</t>
  </si>
  <si>
    <t>P-A551</t>
  </si>
  <si>
    <t>P-A552</t>
  </si>
  <si>
    <t>P-A553</t>
  </si>
  <si>
    <t>P-A554</t>
  </si>
  <si>
    <t>P-A555</t>
  </si>
  <si>
    <t>P-A556</t>
  </si>
  <si>
    <t>P-A557</t>
  </si>
  <si>
    <t>P455</t>
  </si>
  <si>
    <t>P-A558</t>
  </si>
  <si>
    <t>P-A559</t>
  </si>
  <si>
    <t>19/11/20</t>
  </si>
  <si>
    <t>P-A560</t>
  </si>
  <si>
    <t>P-A561</t>
  </si>
  <si>
    <t>P-A562</t>
  </si>
  <si>
    <t>P-A563</t>
  </si>
  <si>
    <t>P-A564</t>
  </si>
  <si>
    <t>P-A565</t>
  </si>
  <si>
    <t>P-A566</t>
  </si>
  <si>
    <t>P-A567</t>
  </si>
  <si>
    <t>P-A568</t>
  </si>
  <si>
    <t>P-A569</t>
  </si>
  <si>
    <t>P459</t>
  </si>
  <si>
    <t>P-A570</t>
  </si>
  <si>
    <t>P-A571</t>
  </si>
  <si>
    <t>P-A572</t>
  </si>
  <si>
    <t>P-A573</t>
  </si>
  <si>
    <t>P-A574</t>
  </si>
  <si>
    <t>P-A575</t>
  </si>
  <si>
    <t>P-A576</t>
  </si>
  <si>
    <t>P-A577</t>
  </si>
  <si>
    <t>P-A578</t>
  </si>
  <si>
    <t>P-A579</t>
  </si>
  <si>
    <t>P-A580</t>
  </si>
  <si>
    <t>20/11/2020</t>
  </si>
  <si>
    <t>P-A581</t>
  </si>
  <si>
    <t>P-A582</t>
  </si>
  <si>
    <t>P-A583</t>
  </si>
  <si>
    <t>P-A584</t>
  </si>
  <si>
    <t>P-A585</t>
  </si>
  <si>
    <t>P-A586</t>
  </si>
  <si>
    <t>P-A587</t>
  </si>
  <si>
    <t>P-A588</t>
  </si>
  <si>
    <t>P-A589</t>
  </si>
  <si>
    <t>P-A590</t>
  </si>
  <si>
    <t>P-A591</t>
  </si>
  <si>
    <t>P-A592</t>
  </si>
  <si>
    <t>P-A593</t>
  </si>
  <si>
    <t>P-A594</t>
  </si>
  <si>
    <t>P-A595</t>
  </si>
  <si>
    <t>P-A596</t>
  </si>
  <si>
    <t>P462</t>
  </si>
  <si>
    <t>P-A597</t>
  </si>
  <si>
    <t>P-A598</t>
  </si>
  <si>
    <t>P-A599</t>
  </si>
  <si>
    <t>P-A600</t>
  </si>
  <si>
    <t>P-A601</t>
  </si>
  <si>
    <t>P-A602</t>
  </si>
  <si>
    <t>P-A603</t>
  </si>
  <si>
    <t>P-A604</t>
  </si>
  <si>
    <t>23/11/2020</t>
  </si>
  <si>
    <t>P-A605</t>
  </si>
  <si>
    <t>P-A606</t>
  </si>
  <si>
    <t>P-A607</t>
  </si>
  <si>
    <t>P-A608</t>
  </si>
  <si>
    <t>P-A609</t>
  </si>
  <si>
    <t>P-A610</t>
  </si>
  <si>
    <t>P-A611</t>
  </si>
  <si>
    <t>P464</t>
  </si>
  <si>
    <t>P-A612</t>
  </si>
  <si>
    <t>P-A613</t>
  </si>
  <si>
    <t>P-A614</t>
  </si>
  <si>
    <t>P-A615</t>
  </si>
  <si>
    <t>P-A616</t>
  </si>
  <si>
    <t>P-A617</t>
  </si>
  <si>
    <t>P-A618</t>
  </si>
  <si>
    <t>P-A619</t>
  </si>
  <si>
    <t>P-A620</t>
  </si>
  <si>
    <t>P-A621</t>
  </si>
  <si>
    <t>P-A622</t>
  </si>
  <si>
    <t>P-A623</t>
  </si>
  <si>
    <t>ind</t>
  </si>
  <si>
    <t>P-A624</t>
  </si>
  <si>
    <t>P-A625</t>
  </si>
  <si>
    <t>24/11/2020</t>
  </si>
  <si>
    <t>P-A626</t>
  </si>
  <si>
    <t>P463</t>
  </si>
  <si>
    <t>P-A627</t>
  </si>
  <si>
    <t>P-A628</t>
  </si>
  <si>
    <t>P-A629</t>
  </si>
  <si>
    <t>P-A630</t>
  </si>
  <si>
    <t>P-A631</t>
  </si>
  <si>
    <t>P-A632</t>
  </si>
  <si>
    <t>P-A633</t>
  </si>
  <si>
    <t>P-A634</t>
  </si>
  <si>
    <t>P-A635</t>
  </si>
  <si>
    <t>P-A636</t>
  </si>
  <si>
    <t>P-A637</t>
  </si>
  <si>
    <t>P-A638</t>
  </si>
  <si>
    <t>P-A639</t>
  </si>
  <si>
    <t>P-A640</t>
  </si>
  <si>
    <t>P-A641</t>
  </si>
  <si>
    <t>P-A642</t>
  </si>
  <si>
    <t>P-A643</t>
  </si>
  <si>
    <t>P-A644</t>
  </si>
  <si>
    <t>26/11/2020</t>
  </si>
  <si>
    <t>P465</t>
  </si>
  <si>
    <t>P-A645</t>
  </si>
  <si>
    <t>P-A646</t>
  </si>
  <si>
    <t>P-A647</t>
  </si>
  <si>
    <t>P-A648</t>
  </si>
  <si>
    <t>P-A649</t>
  </si>
  <si>
    <t>P-A650</t>
  </si>
  <si>
    <t>P-A651</t>
  </si>
  <si>
    <t>P-A652</t>
  </si>
  <si>
    <t>P-A653</t>
  </si>
  <si>
    <t>P468</t>
  </si>
  <si>
    <t>P-A654</t>
  </si>
  <si>
    <t>P-A655</t>
  </si>
  <si>
    <t>27/11/2020</t>
  </si>
  <si>
    <t>P-A656</t>
  </si>
  <si>
    <t>P-A657</t>
  </si>
  <si>
    <t>P-A658</t>
  </si>
  <si>
    <t>P-A659</t>
  </si>
  <si>
    <t>P-A660</t>
  </si>
  <si>
    <t>P-A661</t>
  </si>
  <si>
    <t>P-A662</t>
  </si>
  <si>
    <t>P-A663</t>
  </si>
  <si>
    <t>P-A664</t>
  </si>
  <si>
    <t>P-A665</t>
  </si>
  <si>
    <t>P-A666</t>
  </si>
  <si>
    <t>P-A667</t>
  </si>
  <si>
    <t>P-A668</t>
  </si>
  <si>
    <t xml:space="preserve">M </t>
  </si>
  <si>
    <t>P-A669</t>
  </si>
  <si>
    <t>P-A670</t>
  </si>
  <si>
    <t>P-A671</t>
  </si>
  <si>
    <t>P-A672</t>
  </si>
  <si>
    <t>P-A673</t>
  </si>
  <si>
    <t>30/11/20</t>
  </si>
  <si>
    <t>P-A674</t>
  </si>
  <si>
    <t>P470</t>
  </si>
  <si>
    <t>P-A675</t>
  </si>
  <si>
    <t>P-A676</t>
  </si>
  <si>
    <t>P-A677</t>
  </si>
  <si>
    <t>P-A678</t>
  </si>
  <si>
    <t>P-A679</t>
  </si>
  <si>
    <t>P-A680</t>
  </si>
  <si>
    <t>P-A681</t>
  </si>
  <si>
    <t>P-A682</t>
  </si>
  <si>
    <t>P-A683</t>
  </si>
  <si>
    <t>P-A684</t>
  </si>
  <si>
    <t>P-A685</t>
  </si>
  <si>
    <t>P-A686</t>
  </si>
  <si>
    <t>P-A687</t>
  </si>
  <si>
    <t>P-A688</t>
  </si>
  <si>
    <t>P-A689</t>
  </si>
  <si>
    <t>P-A690</t>
  </si>
  <si>
    <t>P-A691</t>
  </si>
  <si>
    <t>P-A692</t>
  </si>
  <si>
    <t>P-A693</t>
  </si>
  <si>
    <t>P-A694</t>
  </si>
  <si>
    <t>P-A695</t>
  </si>
  <si>
    <t>P-A696</t>
  </si>
  <si>
    <t>P-A697</t>
  </si>
  <si>
    <t>P-A698</t>
  </si>
  <si>
    <t>P-A699</t>
  </si>
  <si>
    <t>P-A700</t>
  </si>
  <si>
    <t>P-A701</t>
  </si>
  <si>
    <t>P474</t>
  </si>
  <si>
    <t>P-A702</t>
  </si>
  <si>
    <t>P-A703</t>
  </si>
  <si>
    <t>P-A704</t>
  </si>
  <si>
    <t>P-A705</t>
  </si>
  <si>
    <t>P-A706</t>
  </si>
  <si>
    <t>P-A707</t>
  </si>
  <si>
    <t>P-A708</t>
  </si>
  <si>
    <t>P-A709</t>
  </si>
  <si>
    <t>P-A710</t>
  </si>
  <si>
    <t>P-A711</t>
  </si>
  <si>
    <t>P-A712</t>
  </si>
  <si>
    <t>P-A713</t>
  </si>
  <si>
    <t>P-A714</t>
  </si>
  <si>
    <t>P-A715</t>
  </si>
  <si>
    <t>P-A716</t>
  </si>
  <si>
    <t>P-A717</t>
  </si>
  <si>
    <t>P-A718</t>
  </si>
  <si>
    <t>P-A719</t>
  </si>
  <si>
    <t>P475</t>
  </si>
  <si>
    <t>P-A720</t>
  </si>
  <si>
    <t>P-A721</t>
  </si>
  <si>
    <t>P-A722</t>
  </si>
  <si>
    <t>P-A723</t>
  </si>
  <si>
    <t>P-A724</t>
  </si>
  <si>
    <t>P-A725</t>
  </si>
  <si>
    <t>P-A726</t>
  </si>
  <si>
    <t>P-A727</t>
  </si>
  <si>
    <t>P-A728</t>
  </si>
  <si>
    <t>P-A729</t>
  </si>
  <si>
    <t>P-A730</t>
  </si>
  <si>
    <t>P-A731</t>
  </si>
  <si>
    <t>P-A732</t>
  </si>
  <si>
    <t>P-A733</t>
  </si>
  <si>
    <t>P-A734</t>
  </si>
  <si>
    <t>P-A735</t>
  </si>
  <si>
    <t>P-A736</t>
  </si>
  <si>
    <t>P-A737</t>
  </si>
  <si>
    <t>P-A738</t>
  </si>
  <si>
    <t>P-A739</t>
  </si>
  <si>
    <t>P-A740</t>
  </si>
  <si>
    <t>P-A741</t>
  </si>
  <si>
    <t>P-A742</t>
  </si>
  <si>
    <t>P-A743</t>
  </si>
  <si>
    <t>P-A744</t>
  </si>
  <si>
    <t>P-A745</t>
  </si>
  <si>
    <t>P-A746</t>
  </si>
  <si>
    <t>P-A747</t>
  </si>
  <si>
    <t>P-A748</t>
  </si>
  <si>
    <t>P-A749</t>
  </si>
  <si>
    <t>P-A750</t>
  </si>
  <si>
    <t>P-A751</t>
  </si>
  <si>
    <t>P-A752</t>
  </si>
  <si>
    <t>P-A753</t>
  </si>
  <si>
    <t>P476</t>
  </si>
  <si>
    <t>P-A754</t>
  </si>
  <si>
    <t>P-A755</t>
  </si>
  <si>
    <t>P-A756</t>
  </si>
  <si>
    <t>P-A757</t>
  </si>
  <si>
    <t>P-A758</t>
  </si>
  <si>
    <t>P-A759</t>
  </si>
  <si>
    <t>P-A760</t>
  </si>
  <si>
    <t>P-A761</t>
  </si>
  <si>
    <t>P-A762</t>
  </si>
  <si>
    <t>P-A763</t>
  </si>
  <si>
    <t>P-A764</t>
  </si>
  <si>
    <t>P-A765</t>
  </si>
  <si>
    <t>P-A766</t>
  </si>
  <si>
    <t>P-A767</t>
  </si>
  <si>
    <t>P-A768</t>
  </si>
  <si>
    <t>P-A769</t>
  </si>
  <si>
    <t>P-A770</t>
  </si>
  <si>
    <t>P-A771</t>
  </si>
  <si>
    <t>P-A772</t>
  </si>
  <si>
    <t>P-A773</t>
  </si>
  <si>
    <t>P477</t>
  </si>
  <si>
    <t>P-A774</t>
  </si>
  <si>
    <t>P-A775</t>
  </si>
  <si>
    <t>P-A776</t>
  </si>
  <si>
    <t>P-A777</t>
  </si>
  <si>
    <t>P-A778</t>
  </si>
  <si>
    <t>P-A779</t>
  </si>
  <si>
    <t>P-A780</t>
  </si>
  <si>
    <t>P-A781</t>
  </si>
  <si>
    <t>P-A782</t>
  </si>
  <si>
    <t>P480</t>
  </si>
  <si>
    <t>P-A783</t>
  </si>
  <si>
    <t>P-A784</t>
  </si>
  <si>
    <t>P-A785</t>
  </si>
  <si>
    <t>P-A786</t>
  </si>
  <si>
    <t>P-A787</t>
  </si>
  <si>
    <t>P-A788</t>
  </si>
  <si>
    <t>P-A789</t>
  </si>
  <si>
    <t>P-A790</t>
  </si>
  <si>
    <t>P-A791</t>
  </si>
  <si>
    <t>P-A792</t>
  </si>
  <si>
    <t>P-A793</t>
  </si>
  <si>
    <t>P-A794</t>
  </si>
  <si>
    <t>P-A795</t>
  </si>
  <si>
    <t>P-A796</t>
  </si>
  <si>
    <t>P-A797</t>
  </si>
  <si>
    <t>P-A798</t>
  </si>
  <si>
    <t>P-A799</t>
  </si>
  <si>
    <t>P-A800</t>
  </si>
  <si>
    <t>P482</t>
  </si>
  <si>
    <t>P-A801</t>
  </si>
  <si>
    <t>P-A802</t>
  </si>
  <si>
    <t>P-A803</t>
  </si>
  <si>
    <t>P-A804</t>
  </si>
  <si>
    <t>P-A805</t>
  </si>
  <si>
    <t>P-A806</t>
  </si>
  <si>
    <t>P-A807</t>
  </si>
  <si>
    <t>P-A808</t>
  </si>
  <si>
    <t>P-A809</t>
  </si>
  <si>
    <t>P-A810</t>
  </si>
  <si>
    <t>P-A811</t>
  </si>
  <si>
    <t>P-A812</t>
  </si>
  <si>
    <t>P-A813</t>
  </si>
  <si>
    <t>P-A814</t>
  </si>
  <si>
    <t>P-A815</t>
  </si>
  <si>
    <t>P-A816</t>
  </si>
  <si>
    <t>P-A817</t>
  </si>
  <si>
    <t>P-A818</t>
  </si>
  <si>
    <t>P484</t>
  </si>
  <si>
    <t>P-A819</t>
  </si>
  <si>
    <t>P-A820</t>
  </si>
  <si>
    <t>P-A821</t>
  </si>
  <si>
    <t>P-A822</t>
  </si>
  <si>
    <t>P-A823</t>
  </si>
  <si>
    <t>P-A824</t>
  </si>
  <si>
    <t>P-A825</t>
  </si>
  <si>
    <t>P-A826</t>
  </si>
  <si>
    <t>P-A827</t>
  </si>
  <si>
    <t>P-A828</t>
  </si>
  <si>
    <t>P-A829</t>
  </si>
  <si>
    <t>P-A830</t>
  </si>
  <si>
    <t>P-A831</t>
  </si>
  <si>
    <t>P-A832</t>
  </si>
  <si>
    <t>P-A833</t>
  </si>
  <si>
    <t>P-A834</t>
  </si>
  <si>
    <t>P-A835</t>
  </si>
  <si>
    <t>P-A836</t>
  </si>
  <si>
    <t>P-A837</t>
  </si>
  <si>
    <t>P-A838</t>
  </si>
  <si>
    <t>P-A839</t>
  </si>
  <si>
    <t>P-A840</t>
  </si>
  <si>
    <t>P-A841</t>
  </si>
  <si>
    <t>P-A842</t>
  </si>
  <si>
    <t>P485</t>
  </si>
  <si>
    <t>P-A843</t>
  </si>
  <si>
    <t>P-A844</t>
  </si>
  <si>
    <t>P-A845</t>
  </si>
  <si>
    <t>P-A846</t>
  </si>
  <si>
    <t>P-A847</t>
  </si>
  <si>
    <t>P-A848</t>
  </si>
  <si>
    <t>P-A849</t>
  </si>
  <si>
    <t>P-A850</t>
  </si>
  <si>
    <t>P-A851</t>
  </si>
  <si>
    <t>P-A852</t>
  </si>
  <si>
    <t>P-A853</t>
  </si>
  <si>
    <t>P-A854</t>
  </si>
  <si>
    <t>P-A855</t>
  </si>
  <si>
    <t>P-A856</t>
  </si>
  <si>
    <t>P-A857</t>
  </si>
  <si>
    <t xml:space="preserve">F </t>
  </si>
  <si>
    <t>P486</t>
  </si>
  <si>
    <t>P-A858</t>
  </si>
  <si>
    <t>P-A862</t>
  </si>
  <si>
    <t>14/12/20</t>
  </si>
  <si>
    <t>P-A861</t>
  </si>
  <si>
    <t>P-A859</t>
  </si>
  <si>
    <t>P-A860</t>
  </si>
  <si>
    <t>P-A863</t>
  </si>
  <si>
    <t>P-A864</t>
  </si>
  <si>
    <t>P-A865</t>
  </si>
  <si>
    <t>P-A866</t>
  </si>
  <si>
    <t>P-A867</t>
  </si>
  <si>
    <t>P-A868</t>
  </si>
  <si>
    <t>P-A869</t>
  </si>
  <si>
    <t>P-A870</t>
  </si>
  <si>
    <t>P-A871</t>
  </si>
  <si>
    <t>P-A872</t>
  </si>
  <si>
    <t>P-A873</t>
  </si>
  <si>
    <t>P-A874</t>
  </si>
  <si>
    <t>P-A875</t>
  </si>
  <si>
    <t>P-A876</t>
  </si>
  <si>
    <t>P-A877</t>
  </si>
  <si>
    <t>P-A878</t>
  </si>
  <si>
    <t>P-A879</t>
  </si>
  <si>
    <t>P-A880</t>
  </si>
  <si>
    <t>P-A881</t>
  </si>
  <si>
    <t>P489</t>
  </si>
  <si>
    <t>P-A882</t>
  </si>
  <si>
    <t>P-A883</t>
  </si>
  <si>
    <t>P-A884</t>
  </si>
  <si>
    <t>P-A885</t>
  </si>
  <si>
    <t>P-A886</t>
  </si>
  <si>
    <t>P-A887</t>
  </si>
  <si>
    <t>P-A888</t>
  </si>
  <si>
    <t>P-A889</t>
  </si>
  <si>
    <t>15/12/20</t>
  </si>
  <si>
    <t>P-A890</t>
  </si>
  <si>
    <t>P-A891</t>
  </si>
  <si>
    <t>P-A892</t>
  </si>
  <si>
    <t>P-A893</t>
  </si>
  <si>
    <t>P-A894</t>
  </si>
  <si>
    <t>P-A895</t>
  </si>
  <si>
    <t>P-A896</t>
  </si>
  <si>
    <t>P-A897</t>
  </si>
  <si>
    <t>P-A898</t>
  </si>
  <si>
    <t>P-A899</t>
  </si>
  <si>
    <t>P-A900</t>
  </si>
  <si>
    <t>P-A901</t>
  </si>
  <si>
    <t>P-A902</t>
  </si>
  <si>
    <t>P-A903</t>
  </si>
  <si>
    <t>P-A904</t>
  </si>
  <si>
    <t>P-A905</t>
  </si>
  <si>
    <t>P-A906</t>
  </si>
  <si>
    <t>P-A907</t>
  </si>
  <si>
    <t>P-A908</t>
  </si>
  <si>
    <t>P-A909</t>
  </si>
  <si>
    <t>P-A910</t>
  </si>
  <si>
    <t>P-A911</t>
  </si>
  <si>
    <t>P-A912</t>
  </si>
  <si>
    <t>P-A913</t>
  </si>
  <si>
    <t>P-A914</t>
  </si>
  <si>
    <t>16/12/20</t>
  </si>
  <si>
    <t>P490</t>
  </si>
  <si>
    <t>P-A915</t>
  </si>
  <si>
    <t>P-A916</t>
  </si>
  <si>
    <t>P-A917</t>
  </si>
  <si>
    <t>P-A918</t>
  </si>
  <si>
    <t>P-A919</t>
  </si>
  <si>
    <t>P-A920</t>
  </si>
  <si>
    <t>P-A921</t>
  </si>
  <si>
    <t>P-A922</t>
  </si>
  <si>
    <t>P-A923</t>
  </si>
  <si>
    <t>P-A924</t>
  </si>
  <si>
    <t>P-A925</t>
  </si>
  <si>
    <t>P-A926</t>
  </si>
  <si>
    <t>P-A927</t>
  </si>
  <si>
    <t>P-A928</t>
  </si>
  <si>
    <t>P-A929</t>
  </si>
  <si>
    <t>P-A930</t>
  </si>
  <si>
    <t>P-A931</t>
  </si>
  <si>
    <t>P-A932</t>
  </si>
  <si>
    <t>P-A933</t>
  </si>
  <si>
    <t>P-A934</t>
  </si>
  <si>
    <t>P-A935</t>
  </si>
  <si>
    <t>P-A936</t>
  </si>
  <si>
    <t>P-A937</t>
  </si>
  <si>
    <t>P-A938</t>
  </si>
  <si>
    <t>P-A939</t>
  </si>
  <si>
    <t>P-A940</t>
  </si>
  <si>
    <t>P-A941</t>
  </si>
  <si>
    <t>17/12/20</t>
  </si>
  <si>
    <t>P492</t>
  </si>
  <si>
    <t>P-A942</t>
  </si>
  <si>
    <t>P-A943</t>
  </si>
  <si>
    <t>P-A944</t>
  </si>
  <si>
    <t>P-A945</t>
  </si>
  <si>
    <t>P-A946</t>
  </si>
  <si>
    <t>P-A947</t>
  </si>
  <si>
    <t>P-A948</t>
  </si>
  <si>
    <t>P-A949</t>
  </si>
  <si>
    <t>P-A950</t>
  </si>
  <si>
    <t>P-A951</t>
  </si>
  <si>
    <t>P-A952</t>
  </si>
  <si>
    <t>P-A953</t>
  </si>
  <si>
    <t>P-A954</t>
  </si>
  <si>
    <t>P-A955</t>
  </si>
  <si>
    <t>P-A956</t>
  </si>
  <si>
    <t>P-A957</t>
  </si>
  <si>
    <t>P-A958</t>
  </si>
  <si>
    <t>P-A959</t>
  </si>
  <si>
    <t>P-A960</t>
  </si>
  <si>
    <t>P-A961</t>
  </si>
  <si>
    <t>P-A962</t>
  </si>
  <si>
    <t>P-A963</t>
  </si>
  <si>
    <t>P-A964</t>
  </si>
  <si>
    <t>P-A965</t>
  </si>
  <si>
    <t>P-A966</t>
  </si>
  <si>
    <t>P-A967</t>
  </si>
  <si>
    <t>P-A968</t>
  </si>
  <si>
    <t>P495</t>
  </si>
  <si>
    <t>P496</t>
  </si>
  <si>
    <t>P-A969</t>
  </si>
  <si>
    <t>P-A970</t>
  </si>
  <si>
    <t>P-A971</t>
  </si>
  <si>
    <t>P-A972</t>
  </si>
  <si>
    <t>P-A973</t>
  </si>
  <si>
    <t>P-A974</t>
  </si>
  <si>
    <t>P-A975</t>
  </si>
  <si>
    <t>P-A976</t>
  </si>
  <si>
    <t>P-A977</t>
  </si>
  <si>
    <t>P497</t>
  </si>
  <si>
    <t>P498</t>
  </si>
  <si>
    <t>P-A978</t>
  </si>
  <si>
    <t>P-A979</t>
  </si>
  <si>
    <t>P-A980</t>
  </si>
  <si>
    <t>P-A981</t>
  </si>
  <si>
    <t>P-A982</t>
  </si>
  <si>
    <t>P-A983</t>
  </si>
  <si>
    <t>P-A984</t>
  </si>
  <si>
    <t>P-A985</t>
  </si>
  <si>
    <t>P-A986</t>
  </si>
  <si>
    <t>P-A987</t>
  </si>
  <si>
    <t>P-A988</t>
  </si>
  <si>
    <t>P-A989</t>
  </si>
  <si>
    <t>P-A990</t>
  </si>
  <si>
    <t>P-A991</t>
  </si>
  <si>
    <t>P-A992</t>
  </si>
  <si>
    <t>P-A993</t>
  </si>
  <si>
    <t>P-A994</t>
  </si>
  <si>
    <t>P-A995</t>
  </si>
  <si>
    <t>P-A996</t>
  </si>
  <si>
    <t>P-A997</t>
  </si>
  <si>
    <t>P-A998</t>
  </si>
  <si>
    <t>P500</t>
  </si>
  <si>
    <t>P-A999</t>
  </si>
  <si>
    <t>P499</t>
  </si>
  <si>
    <t>P-A1000</t>
  </si>
  <si>
    <t>P-A1001</t>
  </si>
  <si>
    <t>P-A1002</t>
  </si>
  <si>
    <t>P-A1003</t>
  </si>
  <si>
    <t>P-A1004</t>
  </si>
  <si>
    <t>P-A1005</t>
  </si>
  <si>
    <t>P-A1006</t>
  </si>
  <si>
    <t>P-A1007</t>
  </si>
  <si>
    <t>P-A1008</t>
  </si>
  <si>
    <t>P-A1009</t>
  </si>
  <si>
    <t>P-A1010</t>
  </si>
  <si>
    <t>P-A1011</t>
  </si>
  <si>
    <t>P-A1012</t>
  </si>
  <si>
    <t>P-A1013</t>
  </si>
  <si>
    <t>P-A1014</t>
  </si>
  <si>
    <t>P-A1015</t>
  </si>
  <si>
    <t>P-A1016</t>
  </si>
  <si>
    <t>P-A1017</t>
  </si>
  <si>
    <t>P-A1018</t>
  </si>
  <si>
    <t>P-A1019</t>
  </si>
  <si>
    <t>P-A1020</t>
  </si>
  <si>
    <t>P-A1021</t>
  </si>
  <si>
    <t>P-A1022</t>
  </si>
  <si>
    <t>P-A1023</t>
  </si>
  <si>
    <t>P-A1024</t>
  </si>
  <si>
    <t>P-A1025</t>
  </si>
  <si>
    <t>P-A1026</t>
  </si>
  <si>
    <t>P-A1027</t>
  </si>
  <si>
    <t>P-A1028</t>
  </si>
  <si>
    <t>P-A1029</t>
  </si>
  <si>
    <t xml:space="preserve"> Detectável</t>
  </si>
  <si>
    <t>P-A1030</t>
  </si>
  <si>
    <t>P-A1031</t>
  </si>
  <si>
    <t>P-A1032</t>
  </si>
  <si>
    <t>P-A1033</t>
  </si>
  <si>
    <t>P-A1034</t>
  </si>
  <si>
    <t>P-A1035</t>
  </si>
  <si>
    <t>P-A1036</t>
  </si>
  <si>
    <t>P-A1037</t>
  </si>
  <si>
    <t>P-A1038</t>
  </si>
  <si>
    <t>P-A1039</t>
  </si>
  <si>
    <t>P-A1040</t>
  </si>
  <si>
    <t>P501</t>
  </si>
  <si>
    <t>P502</t>
  </si>
  <si>
    <t>P-A1041</t>
  </si>
  <si>
    <t>P-A1042</t>
  </si>
  <si>
    <t>P-A1043</t>
  </si>
  <si>
    <t xml:space="preserve"> - </t>
  </si>
  <si>
    <t>P-A1044</t>
  </si>
  <si>
    <t>P-A1045</t>
  </si>
  <si>
    <t>P-A1046</t>
  </si>
  <si>
    <t>P-A1047</t>
  </si>
  <si>
    <t>P-A1048</t>
  </si>
  <si>
    <t>P-A1049</t>
  </si>
  <si>
    <t>P-A1050</t>
  </si>
  <si>
    <t>P-A1051</t>
  </si>
  <si>
    <t>P-A1052</t>
  </si>
  <si>
    <t>P504</t>
  </si>
  <si>
    <t>P505</t>
  </si>
  <si>
    <t>P-A1053</t>
  </si>
  <si>
    <t>P-A1054</t>
  </si>
  <si>
    <t>P-A1055</t>
  </si>
  <si>
    <t>P-A1056</t>
  </si>
  <si>
    <t>P-A1057</t>
  </si>
  <si>
    <t>P-A1058</t>
  </si>
  <si>
    <t>P-A1059</t>
  </si>
  <si>
    <t>P-A1060</t>
  </si>
  <si>
    <t>P-A1061</t>
  </si>
  <si>
    <t>P-A1062</t>
  </si>
  <si>
    <t>P-A1063</t>
  </si>
  <si>
    <t>P-A1064</t>
  </si>
  <si>
    <t>P-A1065</t>
  </si>
  <si>
    <t>P-A1066</t>
  </si>
  <si>
    <t>P-A1067</t>
  </si>
  <si>
    <t>P506</t>
  </si>
  <si>
    <t>P508</t>
  </si>
  <si>
    <t>P-A1068</t>
  </si>
  <si>
    <t>P-A1069</t>
  </si>
  <si>
    <t>P-A1070</t>
  </si>
  <si>
    <t>P-A1071</t>
  </si>
  <si>
    <t>P-A1072</t>
  </si>
  <si>
    <t>P-A1073</t>
  </si>
  <si>
    <t>P-A1074</t>
  </si>
  <si>
    <t>P-A1075</t>
  </si>
  <si>
    <t>P-A1076</t>
  </si>
  <si>
    <t>P-A1077</t>
  </si>
  <si>
    <t>P-A1078</t>
  </si>
  <si>
    <t>P-A1079</t>
  </si>
  <si>
    <t>P510</t>
  </si>
  <si>
    <t>P-A1080</t>
  </si>
  <si>
    <t>P-A1081</t>
  </si>
  <si>
    <t>P-A1082</t>
  </si>
  <si>
    <t>P-A1083</t>
  </si>
  <si>
    <t>P-A1084</t>
  </si>
  <si>
    <t>P-A1085</t>
  </si>
  <si>
    <t>P-A1086</t>
  </si>
  <si>
    <t>P-A1087</t>
  </si>
  <si>
    <t>P511</t>
  </si>
  <si>
    <t>P-A1088</t>
  </si>
  <si>
    <t>P-A1089</t>
  </si>
  <si>
    <t>P-A1090</t>
  </si>
  <si>
    <t>P-A1091</t>
  </si>
  <si>
    <t>P513</t>
  </si>
  <si>
    <t>P-A1092</t>
  </si>
  <si>
    <t>14/01/2021</t>
  </si>
  <si>
    <t>P-A1093</t>
  </si>
  <si>
    <t>P-A1094</t>
  </si>
  <si>
    <t>P-A1095</t>
  </si>
  <si>
    <t>P-A1096</t>
  </si>
  <si>
    <t>P-A1097</t>
  </si>
  <si>
    <t>P514</t>
  </si>
  <si>
    <t>P-A1098</t>
  </si>
  <si>
    <t>P-A1099</t>
  </si>
  <si>
    <t>P-A1100</t>
  </si>
  <si>
    <t>P-A1101</t>
  </si>
  <si>
    <t>P-A1102</t>
  </si>
  <si>
    <t>P-A1103</t>
  </si>
  <si>
    <t>15/01/2021</t>
  </si>
  <si>
    <t>P-A1104</t>
  </si>
  <si>
    <t>P-A1105</t>
  </si>
  <si>
    <t>P-A1106</t>
  </si>
  <si>
    <t>P-A1107</t>
  </si>
  <si>
    <t>P-A1108</t>
  </si>
  <si>
    <t>P-A1109</t>
  </si>
  <si>
    <t>P-A1110</t>
  </si>
  <si>
    <t>P-A1111</t>
  </si>
  <si>
    <t>P-A1112</t>
  </si>
  <si>
    <t>P-A1113</t>
  </si>
  <si>
    <t>P-A1114</t>
  </si>
  <si>
    <t>P-A1115</t>
  </si>
  <si>
    <t>P-A1116</t>
  </si>
  <si>
    <t>P-A1117</t>
  </si>
  <si>
    <t>P-A1118</t>
  </si>
  <si>
    <t>18/01/2021</t>
  </si>
  <si>
    <t>P515</t>
  </si>
  <si>
    <t>P-A1119</t>
  </si>
  <si>
    <t>P-A1120</t>
  </si>
  <si>
    <t>P-A1121</t>
  </si>
  <si>
    <t>P516</t>
  </si>
  <si>
    <t>P-A1122</t>
  </si>
  <si>
    <t>P-A1123</t>
  </si>
  <si>
    <t>P-A1124</t>
  </si>
  <si>
    <t>P-A1125</t>
  </si>
  <si>
    <t>P-A1126</t>
  </si>
  <si>
    <t>P-A1127</t>
  </si>
  <si>
    <t>P517</t>
  </si>
  <si>
    <t>P-A1128</t>
  </si>
  <si>
    <t>P-A1129</t>
  </si>
  <si>
    <t>P-A1130</t>
  </si>
  <si>
    <t>P-A1131</t>
  </si>
  <si>
    <t>P-A1132</t>
  </si>
  <si>
    <t>P-A1133</t>
  </si>
  <si>
    <t>P-A1134</t>
  </si>
  <si>
    <t>P-A1135</t>
  </si>
  <si>
    <t>P-A1136</t>
  </si>
  <si>
    <t>P-A1137</t>
  </si>
  <si>
    <t>P-A1138</t>
  </si>
  <si>
    <t>P-A1139</t>
  </si>
  <si>
    <t>P-A1140</t>
  </si>
  <si>
    <t>P-A1141</t>
  </si>
  <si>
    <t>P-A1142</t>
  </si>
  <si>
    <t>P518</t>
  </si>
  <si>
    <t>P519</t>
  </si>
  <si>
    <t>P-A1143</t>
  </si>
  <si>
    <t>P-A1144</t>
  </si>
  <si>
    <t>20/01/2021</t>
  </si>
  <si>
    <t>P-A1145</t>
  </si>
  <si>
    <t>P-A1146</t>
  </si>
  <si>
    <t>P-A1147</t>
  </si>
  <si>
    <t>P-A1148</t>
  </si>
  <si>
    <t>P-A1149</t>
  </si>
  <si>
    <t>P-A1150</t>
  </si>
  <si>
    <t>P-A1151</t>
  </si>
  <si>
    <t>P-A1152</t>
  </si>
  <si>
    <t>P-A1153</t>
  </si>
  <si>
    <t>P-A1154</t>
  </si>
  <si>
    <t>P-A1155</t>
  </si>
  <si>
    <t>P-A1156</t>
  </si>
  <si>
    <t>P-A1157</t>
  </si>
  <si>
    <t>P-A1158</t>
  </si>
  <si>
    <t>P-A1159</t>
  </si>
  <si>
    <t>P-A1160</t>
  </si>
  <si>
    <t>P-A1161</t>
  </si>
  <si>
    <t>P-A1162</t>
  </si>
  <si>
    <t>P-A1163</t>
  </si>
  <si>
    <t>P520</t>
  </si>
  <si>
    <t>P521</t>
  </si>
  <si>
    <t>P-A1164</t>
  </si>
  <si>
    <t>P-A1165</t>
  </si>
  <si>
    <t>P-A1166</t>
  </si>
  <si>
    <t>P-A1167</t>
  </si>
  <si>
    <t>P-A1168</t>
  </si>
  <si>
    <t>P-A1169</t>
  </si>
  <si>
    <t>P-A1170</t>
  </si>
  <si>
    <t>P-A1171</t>
  </si>
  <si>
    <t>P-A1172</t>
  </si>
  <si>
    <t>P-A1173</t>
  </si>
  <si>
    <t>P-A1174</t>
  </si>
  <si>
    <t>P-A1175</t>
  </si>
  <si>
    <t>P522</t>
  </si>
  <si>
    <t>P-A1176</t>
  </si>
  <si>
    <t>P-A1177</t>
  </si>
  <si>
    <t>22/01/2021</t>
  </si>
  <si>
    <t>P-A1178</t>
  </si>
  <si>
    <t>P-A1179</t>
  </si>
  <si>
    <t>P-A1180</t>
  </si>
  <si>
    <t>P-A1181</t>
  </si>
  <si>
    <t>P-A1182</t>
  </si>
  <si>
    <t>P-A1183</t>
  </si>
  <si>
    <t>P-A1184</t>
  </si>
  <si>
    <t>P-A1185</t>
  </si>
  <si>
    <t>P-A1186</t>
  </si>
  <si>
    <t>P-A1187</t>
  </si>
  <si>
    <t>P-A1188</t>
  </si>
  <si>
    <t>P-A1189</t>
  </si>
  <si>
    <t>P-A1190</t>
  </si>
  <si>
    <t>P-A1191</t>
  </si>
  <si>
    <t>P-A1192</t>
  </si>
  <si>
    <t>P-A1193</t>
  </si>
  <si>
    <t>P-A1194</t>
  </si>
  <si>
    <t>P-A1195</t>
  </si>
  <si>
    <t>P-A1196</t>
  </si>
  <si>
    <t>P523</t>
  </si>
  <si>
    <t>P-A1197</t>
  </si>
  <si>
    <t>P-A1198</t>
  </si>
  <si>
    <t>P-A1199</t>
  </si>
  <si>
    <t>P-A1200</t>
  </si>
  <si>
    <t>P-A1201</t>
  </si>
  <si>
    <t>P-A1202</t>
  </si>
  <si>
    <t>P-A1203</t>
  </si>
  <si>
    <t>P-A1204</t>
  </si>
  <si>
    <t>P-A1205</t>
  </si>
  <si>
    <t>P-A1206</t>
  </si>
  <si>
    <t>P-A1207</t>
  </si>
  <si>
    <t>P-A1208</t>
  </si>
  <si>
    <t>P-A1209</t>
  </si>
  <si>
    <t>26/01/2021</t>
  </si>
  <si>
    <t>P-A1210</t>
  </si>
  <si>
    <t>P-A1211</t>
  </si>
  <si>
    <t>P-A1212</t>
  </si>
  <si>
    <t>P-A1213</t>
  </si>
  <si>
    <t>P-A1214</t>
  </si>
  <si>
    <t>P524</t>
  </si>
  <si>
    <t>P-A1215</t>
  </si>
  <si>
    <t>P-A1216</t>
  </si>
  <si>
    <t>P-A1217</t>
  </si>
  <si>
    <t>P-A1218</t>
  </si>
  <si>
    <t>P-A1219</t>
  </si>
  <si>
    <t>P-A1220</t>
  </si>
  <si>
    <t>P-A1221</t>
  </si>
  <si>
    <t>P-A1222</t>
  </si>
  <si>
    <t>P-A1223</t>
  </si>
  <si>
    <t>P525</t>
  </si>
  <si>
    <t>P-A1224</t>
  </si>
  <si>
    <t>P-A1225</t>
  </si>
  <si>
    <t>27/01/2021</t>
  </si>
  <si>
    <t>P-A1226</t>
  </si>
  <si>
    <t>P-A1227</t>
  </si>
  <si>
    <t>P-A1228</t>
  </si>
  <si>
    <t>P-A1229</t>
  </si>
  <si>
    <t>P-A1230</t>
  </si>
  <si>
    <t>P-A1231</t>
  </si>
  <si>
    <t>P-A1232</t>
  </si>
  <si>
    <t>P526</t>
  </si>
  <si>
    <t>P-A1233</t>
  </si>
  <si>
    <t>P-A1234</t>
  </si>
  <si>
    <t>P-A1235</t>
  </si>
  <si>
    <t>P-A1236</t>
  </si>
  <si>
    <t>P-A1237</t>
  </si>
  <si>
    <t>P-A1238</t>
  </si>
  <si>
    <t>P-A1239</t>
  </si>
  <si>
    <t>P-A1240</t>
  </si>
  <si>
    <t>P-A1241</t>
  </si>
  <si>
    <t>P-A1242</t>
  </si>
  <si>
    <t>P-A1243</t>
  </si>
  <si>
    <t>P-A1244</t>
  </si>
  <si>
    <t>P-A1245</t>
  </si>
  <si>
    <t>P-A1246</t>
  </si>
  <si>
    <t>28/01/2021</t>
  </si>
  <si>
    <t>P-A1247</t>
  </si>
  <si>
    <t>P527</t>
  </si>
  <si>
    <t>P-A1248</t>
  </si>
  <si>
    <t>P-A1249</t>
  </si>
  <si>
    <t>P-A1250</t>
  </si>
  <si>
    <t>P-A1251</t>
  </si>
  <si>
    <t>P-A1252</t>
  </si>
  <si>
    <t>P-A1253</t>
  </si>
  <si>
    <t>P-A1254</t>
  </si>
  <si>
    <t>P-A1255</t>
  </si>
  <si>
    <t>P-A1256</t>
  </si>
  <si>
    <t>P-A1257</t>
  </si>
  <si>
    <t>P-A1258</t>
  </si>
  <si>
    <t>P-A1259</t>
  </si>
  <si>
    <t>P528</t>
  </si>
  <si>
    <t>P-A1260</t>
  </si>
  <si>
    <t>P-A1261</t>
  </si>
  <si>
    <t>29/01/2021</t>
  </si>
  <si>
    <t>P-A1262</t>
  </si>
  <si>
    <t>P-A1263</t>
  </si>
  <si>
    <t>P-A1264</t>
  </si>
  <si>
    <t>P-A1265</t>
  </si>
  <si>
    <t>P-A1266</t>
  </si>
  <si>
    <t>P-A1267</t>
  </si>
  <si>
    <t>P-A1268</t>
  </si>
  <si>
    <t>P-A1269</t>
  </si>
  <si>
    <t>P-A1270</t>
  </si>
  <si>
    <t>P-A1271</t>
  </si>
  <si>
    <t>P-A1272</t>
  </si>
  <si>
    <t>P-A1273</t>
  </si>
  <si>
    <t>P-A1274</t>
  </si>
  <si>
    <t>P-A1275</t>
  </si>
  <si>
    <t>P-A1276</t>
  </si>
  <si>
    <t>P-A1277</t>
  </si>
  <si>
    <t>P-A1278</t>
  </si>
  <si>
    <t>P-A1279</t>
  </si>
  <si>
    <t>P-A1280</t>
  </si>
  <si>
    <t>P529</t>
  </si>
  <si>
    <t>P-A1281</t>
  </si>
  <si>
    <t>P-A1282</t>
  </si>
  <si>
    <t>P-A1283</t>
  </si>
  <si>
    <t>P530</t>
  </si>
  <si>
    <t>P-A1284</t>
  </si>
  <si>
    <t>P-A1285</t>
  </si>
  <si>
    <t>P-A1286</t>
  </si>
  <si>
    <t>P-A1287</t>
  </si>
  <si>
    <t>P-A1288</t>
  </si>
  <si>
    <t>P-A1289</t>
  </si>
  <si>
    <t>P531</t>
  </si>
  <si>
    <t>P-A1290</t>
  </si>
  <si>
    <t>P-A1291</t>
  </si>
  <si>
    <t>P-A1292</t>
  </si>
  <si>
    <t>P532</t>
  </si>
  <si>
    <t>P-A1293</t>
  </si>
  <si>
    <t>P-A1294</t>
  </si>
  <si>
    <t>P-A1295</t>
  </si>
  <si>
    <t>P-A1296</t>
  </si>
  <si>
    <t>P-A1297</t>
  </si>
  <si>
    <t>P-A1298</t>
  </si>
  <si>
    <t>P-A1299</t>
  </si>
  <si>
    <t>P-A1300</t>
  </si>
  <si>
    <t>P-A1301</t>
  </si>
  <si>
    <t>P-A1302</t>
  </si>
  <si>
    <t>P-A1303</t>
  </si>
  <si>
    <t>P-A1304</t>
  </si>
  <si>
    <t>P-A1305</t>
  </si>
  <si>
    <t>P-A1306</t>
  </si>
  <si>
    <t>P-A1307</t>
  </si>
  <si>
    <t>P533</t>
  </si>
  <si>
    <t>P-A1308</t>
  </si>
  <si>
    <t>P-A1309</t>
  </si>
  <si>
    <t>P-A1310</t>
  </si>
  <si>
    <t>P-A1311</t>
  </si>
  <si>
    <t>P-A1312</t>
  </si>
  <si>
    <t>P-A1313</t>
  </si>
  <si>
    <t>P-A1314</t>
  </si>
  <si>
    <t>P-A1315</t>
  </si>
  <si>
    <t>P-A1316</t>
  </si>
  <si>
    <t>P-A1317</t>
  </si>
  <si>
    <t>P-A1318</t>
  </si>
  <si>
    <t>P-A1319</t>
  </si>
  <si>
    <t>P-A1320</t>
  </si>
  <si>
    <t>P-A1321</t>
  </si>
  <si>
    <t>P-A1322</t>
  </si>
  <si>
    <t>P-A1323</t>
  </si>
  <si>
    <t>P-A1324</t>
  </si>
  <si>
    <t>P-A1325</t>
  </si>
  <si>
    <t>P-A1326</t>
  </si>
  <si>
    <t>P-A1327</t>
  </si>
  <si>
    <t>P-A1328</t>
  </si>
  <si>
    <t>P536</t>
  </si>
  <si>
    <t>P-A1329</t>
  </si>
  <si>
    <t>P-A1330</t>
  </si>
  <si>
    <t>P-A1331</t>
  </si>
  <si>
    <t>P-A1332</t>
  </si>
  <si>
    <t>P-A1333</t>
  </si>
  <si>
    <t>P-A1334</t>
  </si>
  <si>
    <t>P-A1335</t>
  </si>
  <si>
    <t>P-A1336</t>
  </si>
  <si>
    <t>P-A1337</t>
  </si>
  <si>
    <t>P539</t>
  </si>
  <si>
    <t>P-A1338</t>
  </si>
  <si>
    <t>P-A1339</t>
  </si>
  <si>
    <t>P-A1340</t>
  </si>
  <si>
    <t>P540</t>
  </si>
  <si>
    <t>P-A1341</t>
  </si>
  <si>
    <t>P-A1342</t>
  </si>
  <si>
    <t>P-A1343</t>
  </si>
  <si>
    <t>P-A1344</t>
  </si>
  <si>
    <t>P-A1345</t>
  </si>
  <si>
    <t>f</t>
  </si>
  <si>
    <t>P-A1346</t>
  </si>
  <si>
    <t>P-A1347</t>
  </si>
  <si>
    <t>P-A1348</t>
  </si>
  <si>
    <t>P-A1349</t>
  </si>
  <si>
    <t>P541</t>
  </si>
  <si>
    <t>P-A1350</t>
  </si>
  <si>
    <t>P-A1351</t>
  </si>
  <si>
    <t>P-A1352</t>
  </si>
  <si>
    <t>P-A1353</t>
  </si>
  <si>
    <t>P-A1354</t>
  </si>
  <si>
    <t>P-A1355</t>
  </si>
  <si>
    <t>P-A1356</t>
  </si>
  <si>
    <t>P-A1357</t>
  </si>
  <si>
    <t>P-A1358</t>
  </si>
  <si>
    <t>P-A1359</t>
  </si>
  <si>
    <t>P-A1360</t>
  </si>
  <si>
    <t>P-A1361</t>
  </si>
  <si>
    <t>P-A1362</t>
  </si>
  <si>
    <t>P-A1363</t>
  </si>
  <si>
    <t>P-A1364</t>
  </si>
  <si>
    <t>P-A1365</t>
  </si>
  <si>
    <t>P-A1366</t>
  </si>
  <si>
    <t>P-A1367</t>
  </si>
  <si>
    <t>P542</t>
  </si>
  <si>
    <t>P-A1368</t>
  </si>
  <si>
    <t>P-A1369</t>
  </si>
  <si>
    <t>P-A1370</t>
  </si>
  <si>
    <t>P-A1371</t>
  </si>
  <si>
    <t>P-A1372</t>
  </si>
  <si>
    <t>P-A1373</t>
  </si>
  <si>
    <t>P-A1374</t>
  </si>
  <si>
    <t>P-A1375</t>
  </si>
  <si>
    <t>P-A1376</t>
  </si>
  <si>
    <t>P543</t>
  </si>
  <si>
    <t>P544</t>
  </si>
  <si>
    <t>P-A1377</t>
  </si>
  <si>
    <t>P-A1378</t>
  </si>
  <si>
    <t>P-A1379</t>
  </si>
  <si>
    <t>P-A1380</t>
  </si>
  <si>
    <t>P-A1381</t>
  </si>
  <si>
    <t>P-A1382</t>
  </si>
  <si>
    <t>P-A1383</t>
  </si>
  <si>
    <t>P-A1384</t>
  </si>
  <si>
    <t>P-A1385</t>
  </si>
  <si>
    <t>17/02/2021</t>
  </si>
  <si>
    <t>P545</t>
  </si>
  <si>
    <t>P546</t>
  </si>
  <si>
    <t>P-A1386</t>
  </si>
  <si>
    <t>P-A1387</t>
  </si>
  <si>
    <t>P-A1388</t>
  </si>
  <si>
    <t>P-A1389</t>
  </si>
  <si>
    <t>P-A1390</t>
  </si>
  <si>
    <t>P-A1391</t>
  </si>
  <si>
    <t>P547</t>
  </si>
  <si>
    <t>P-A1392</t>
  </si>
  <si>
    <t>P-A1393</t>
  </si>
  <si>
    <t>P-A1394</t>
  </si>
  <si>
    <t>18/02/2021</t>
  </si>
  <si>
    <t>P548</t>
  </si>
  <si>
    <t>P-A1395</t>
  </si>
  <si>
    <t>P-A1396</t>
  </si>
  <si>
    <t>P-A1397</t>
  </si>
  <si>
    <t>P-A1398</t>
  </si>
  <si>
    <t>P-A1399</t>
  </si>
  <si>
    <t>P-A1400</t>
  </si>
  <si>
    <t>P550</t>
  </si>
  <si>
    <t>P551</t>
  </si>
  <si>
    <t>P-A1401</t>
  </si>
  <si>
    <t>P-A1402</t>
  </si>
  <si>
    <t>P-A1403</t>
  </si>
  <si>
    <t>P-A1404</t>
  </si>
  <si>
    <t>P-A1405</t>
  </si>
  <si>
    <t>P-A1406</t>
  </si>
  <si>
    <t>P-A1407</t>
  </si>
  <si>
    <t>P-A1408</t>
  </si>
  <si>
    <t>P-A1409</t>
  </si>
  <si>
    <t>P556</t>
  </si>
  <si>
    <t>P557</t>
  </si>
  <si>
    <t>P-A1410</t>
  </si>
  <si>
    <t>P-A1411</t>
  </si>
  <si>
    <t>P-A1412</t>
  </si>
  <si>
    <t>P-A1413</t>
  </si>
  <si>
    <t>P-A1414</t>
  </si>
  <si>
    <t>P-A1415</t>
  </si>
  <si>
    <t>P558</t>
  </si>
  <si>
    <t>P-A1416</t>
  </si>
  <si>
    <t>P-A1417</t>
  </si>
  <si>
    <t>23/02/2021</t>
  </si>
  <si>
    <t>P-A1418</t>
  </si>
  <si>
    <t>P-A1419</t>
  </si>
  <si>
    <t>P-A1420</t>
  </si>
  <si>
    <t>P-A1421</t>
  </si>
  <si>
    <t>P-A1422</t>
  </si>
  <si>
    <t>P-A1423</t>
  </si>
  <si>
    <t>P-A1424</t>
  </si>
  <si>
    <t>P-A1425</t>
  </si>
  <si>
    <t>P-A1426</t>
  </si>
  <si>
    <t>P-A1427</t>
  </si>
  <si>
    <t>P-A1428</t>
  </si>
  <si>
    <t>P-A1429</t>
  </si>
  <si>
    <t>P-A1430</t>
  </si>
  <si>
    <t>P-A1431</t>
  </si>
  <si>
    <t>P-A1432</t>
  </si>
  <si>
    <t>P560</t>
  </si>
  <si>
    <t>P-A1433</t>
  </si>
  <si>
    <t>P-A1434</t>
  </si>
  <si>
    <t>P-A1435</t>
  </si>
  <si>
    <t>P-A1436</t>
  </si>
  <si>
    <t>P559</t>
  </si>
  <si>
    <t>P-A1437</t>
  </si>
  <si>
    <t>P-A1438</t>
  </si>
  <si>
    <t>P-A1439</t>
  </si>
  <si>
    <t>P-A1440</t>
  </si>
  <si>
    <t>P-A1441</t>
  </si>
  <si>
    <t>P-A1442</t>
  </si>
  <si>
    <t>P-A1443</t>
  </si>
  <si>
    <t>P-A1444</t>
  </si>
  <si>
    <t>P-A1445</t>
  </si>
  <si>
    <t>P-A1446</t>
  </si>
  <si>
    <t>P-A1447</t>
  </si>
  <si>
    <t>P-A1448</t>
  </si>
  <si>
    <t>P561</t>
  </si>
  <si>
    <t>P563</t>
  </si>
  <si>
    <t>P-A1449</t>
  </si>
  <si>
    <t>P-A1450</t>
  </si>
  <si>
    <t>P-A1451</t>
  </si>
  <si>
    <t>P-A1452</t>
  </si>
  <si>
    <t>P-A1453</t>
  </si>
  <si>
    <t>P-A1454</t>
  </si>
  <si>
    <t>P-A1455</t>
  </si>
  <si>
    <t>P-A1456</t>
  </si>
  <si>
    <t>P-A1457</t>
  </si>
  <si>
    <t>P564</t>
  </si>
  <si>
    <t>P-A1458</t>
  </si>
  <si>
    <t>P-A1459</t>
  </si>
  <si>
    <t>P-A1460</t>
  </si>
  <si>
    <t>P-A1461</t>
  </si>
  <si>
    <t>P-A1462</t>
  </si>
  <si>
    <t>P-A1463</t>
  </si>
  <si>
    <t>P-A1464</t>
  </si>
  <si>
    <t>P-A1465</t>
  </si>
  <si>
    <t>P-A1466</t>
  </si>
  <si>
    <t>P-A1467</t>
  </si>
  <si>
    <t>P-A1468</t>
  </si>
  <si>
    <t>P-A1469</t>
  </si>
  <si>
    <t>P568</t>
  </si>
  <si>
    <t>P569</t>
  </si>
  <si>
    <t>P-A1470</t>
  </si>
  <si>
    <t>P-A1471</t>
  </si>
  <si>
    <t>P-A1472</t>
  </si>
  <si>
    <t>P-A1473</t>
  </si>
  <si>
    <t>P-A1474</t>
  </si>
  <si>
    <t>P-A1475</t>
  </si>
  <si>
    <t>P570</t>
  </si>
  <si>
    <t>P-A1476</t>
  </si>
  <si>
    <t>P-A1477</t>
  </si>
  <si>
    <t>P-A1478</t>
  </si>
  <si>
    <t>P-A1479</t>
  </si>
  <si>
    <t>P-A1480</t>
  </si>
  <si>
    <t>P-A1481</t>
  </si>
  <si>
    <t>P-A1482</t>
  </si>
  <si>
    <t>P-A1483</t>
  </si>
  <si>
    <t>P-A1484</t>
  </si>
  <si>
    <t>P571</t>
  </si>
  <si>
    <t>P572</t>
  </si>
  <si>
    <t>P-A1485</t>
  </si>
  <si>
    <t>P-A1486</t>
  </si>
  <si>
    <t>P-A1487</t>
  </si>
  <si>
    <t>P-A1488</t>
  </si>
  <si>
    <t>P-A1489</t>
  </si>
  <si>
    <t>P-A1490</t>
  </si>
  <si>
    <t>P-A1491</t>
  </si>
  <si>
    <t>P-A1492</t>
  </si>
  <si>
    <t>P-A1493</t>
  </si>
  <si>
    <t>P-A1494</t>
  </si>
  <si>
    <t>P-A1495</t>
  </si>
  <si>
    <t>P-A1496</t>
  </si>
  <si>
    <t>P573</t>
  </si>
  <si>
    <t>P574</t>
  </si>
  <si>
    <t>P-A1497</t>
  </si>
  <si>
    <t>P-A1498</t>
  </si>
  <si>
    <t>P-A1499</t>
  </si>
  <si>
    <t>P-A1500</t>
  </si>
  <si>
    <t>P-A1501</t>
  </si>
  <si>
    <t>P-A1502</t>
  </si>
  <si>
    <t>P-A1503</t>
  </si>
  <si>
    <t>P-A1504</t>
  </si>
  <si>
    <t>P-A1505</t>
  </si>
  <si>
    <t>P-A1506</t>
  </si>
  <si>
    <t>P-A1507</t>
  </si>
  <si>
    <t>P-A1508</t>
  </si>
  <si>
    <t>P-A1509</t>
  </si>
  <si>
    <t>P-A1510</t>
  </si>
  <si>
    <t>P-A1511</t>
  </si>
  <si>
    <t>P-A1512</t>
  </si>
  <si>
    <t>P-A1513</t>
  </si>
  <si>
    <t>P-A1514</t>
  </si>
  <si>
    <t>P-A1515</t>
  </si>
  <si>
    <t>P-A1516</t>
  </si>
  <si>
    <t>P-A1517</t>
  </si>
  <si>
    <t>P-A1518</t>
  </si>
  <si>
    <t>P-A1519</t>
  </si>
  <si>
    <t>P-A1520</t>
  </si>
  <si>
    <t>P-A1521</t>
  </si>
  <si>
    <t>P-A1522</t>
  </si>
  <si>
    <t>P-A1523</t>
  </si>
  <si>
    <t>P575</t>
  </si>
  <si>
    <t>P576</t>
  </si>
  <si>
    <t>P-A1524</t>
  </si>
  <si>
    <t>P-A1525</t>
  </si>
  <si>
    <t>P-A1526</t>
  </si>
  <si>
    <t>P-A1527</t>
  </si>
  <si>
    <t>P-A1528</t>
  </si>
  <si>
    <t>P-A1529</t>
  </si>
  <si>
    <t>P577</t>
  </si>
  <si>
    <t>P578</t>
  </si>
  <si>
    <t>P-A1530</t>
  </si>
  <si>
    <t>P-A1531</t>
  </si>
  <si>
    <t>P-A1532</t>
  </si>
  <si>
    <t>P-A1533</t>
  </si>
  <si>
    <t>P-A1534</t>
  </si>
  <si>
    <t>P-A1535</t>
  </si>
  <si>
    <t>P-A1536</t>
  </si>
  <si>
    <t>P-A1537</t>
  </si>
  <si>
    <t>P-A1538</t>
  </si>
  <si>
    <t>P-A1539</t>
  </si>
  <si>
    <t>P-A1540</t>
  </si>
  <si>
    <t>P-A1541</t>
  </si>
  <si>
    <t>P582</t>
  </si>
  <si>
    <t>29,,3</t>
  </si>
  <si>
    <t>P583</t>
  </si>
  <si>
    <t>P-A1542</t>
  </si>
  <si>
    <t>P-A1543</t>
  </si>
  <si>
    <t>P-A1544</t>
  </si>
  <si>
    <t>P-A1545</t>
  </si>
  <si>
    <t>P-A1546</t>
  </si>
  <si>
    <t>P-A1547</t>
  </si>
  <si>
    <t>P-A1548</t>
  </si>
  <si>
    <t>P-A1549</t>
  </si>
  <si>
    <t>P-A1550</t>
  </si>
  <si>
    <t>P-A1551</t>
  </si>
  <si>
    <t>P-A1552</t>
  </si>
  <si>
    <t>P-A1553</t>
  </si>
  <si>
    <t>P584</t>
  </si>
  <si>
    <t>P-A1554</t>
  </si>
  <si>
    <t xml:space="preserve"> M</t>
  </si>
  <si>
    <t>P-A1555</t>
  </si>
  <si>
    <t>P-A1556</t>
  </si>
  <si>
    <t>P585</t>
  </si>
  <si>
    <t>P-A1557</t>
  </si>
  <si>
    <t>P-A1558</t>
  </si>
  <si>
    <t>P-A1559</t>
  </si>
  <si>
    <t>P-A1560</t>
  </si>
  <si>
    <t>P-A1561</t>
  </si>
  <si>
    <t>P-A1562</t>
  </si>
  <si>
    <t>P-A1563</t>
  </si>
  <si>
    <t>P-A1564</t>
  </si>
  <si>
    <t>P-A1565</t>
  </si>
  <si>
    <t>P-A1566</t>
  </si>
  <si>
    <t>P-A1567</t>
  </si>
  <si>
    <t>P-A1568</t>
  </si>
  <si>
    <t>P589</t>
  </si>
  <si>
    <t>P590</t>
  </si>
  <si>
    <t>P-A1569</t>
  </si>
  <si>
    <t>P-A1570</t>
  </si>
  <si>
    <t>P-A1571</t>
  </si>
  <si>
    <t>P-A1572</t>
  </si>
  <si>
    <t>P-A1573</t>
  </si>
  <si>
    <t>P-A1574</t>
  </si>
  <si>
    <t>P-A1575</t>
  </si>
  <si>
    <t>P-A1576</t>
  </si>
  <si>
    <t>P-A1577</t>
  </si>
  <si>
    <t>P-A1578</t>
  </si>
  <si>
    <t>P-A1579</t>
  </si>
  <si>
    <t>P-A1580</t>
  </si>
  <si>
    <t>P-A1581</t>
  </si>
  <si>
    <t>P-A1582</t>
  </si>
  <si>
    <t>P-A1583</t>
  </si>
  <si>
    <t>P-A1584</t>
  </si>
  <si>
    <t>P-A1585</t>
  </si>
  <si>
    <t>P-A1586</t>
  </si>
  <si>
    <t>P-A1587</t>
  </si>
  <si>
    <t>P-A1588</t>
  </si>
  <si>
    <t>P-A1589</t>
  </si>
  <si>
    <t>P591</t>
  </si>
  <si>
    <t>P-A1590</t>
  </si>
  <si>
    <t>P-A1591</t>
  </si>
  <si>
    <t>P-A1592</t>
  </si>
  <si>
    <t>P-A1593</t>
  </si>
  <si>
    <t>P-A1594</t>
  </si>
  <si>
    <t>P-A1595</t>
  </si>
  <si>
    <t>P-A1596</t>
  </si>
  <si>
    <t>P-A1597</t>
  </si>
  <si>
    <t>P-A1598</t>
  </si>
  <si>
    <t>P-A1599</t>
  </si>
  <si>
    <t>P-A1600</t>
  </si>
  <si>
    <t>P-A1601</t>
  </si>
  <si>
    <t>P592</t>
  </si>
  <si>
    <t>P-A1602</t>
  </si>
  <si>
    <t>15/03/2021</t>
  </si>
  <si>
    <t>P-A1603</t>
  </si>
  <si>
    <t>P-A1604</t>
  </si>
  <si>
    <t>P593</t>
  </si>
  <si>
    <t>P-A1605</t>
  </si>
  <si>
    <t>P-A1606</t>
  </si>
  <si>
    <t>P-A1607</t>
  </si>
  <si>
    <t>P-A1608</t>
  </si>
  <si>
    <t>P-A1609</t>
  </si>
  <si>
    <t>P-A1610</t>
  </si>
  <si>
    <t>P-A1611</t>
  </si>
  <si>
    <t>P-A1612</t>
  </si>
  <si>
    <t>P-A1613</t>
  </si>
  <si>
    <t>P598</t>
  </si>
  <si>
    <t>P600</t>
  </si>
  <si>
    <t>P-A1614</t>
  </si>
  <si>
    <t>P-A1615</t>
  </si>
  <si>
    <t>16/03/2021</t>
  </si>
  <si>
    <t>P-A1616</t>
  </si>
  <si>
    <t>P-A1617</t>
  </si>
  <si>
    <t>P-A1618</t>
  </si>
  <si>
    <t>P-A1619</t>
  </si>
  <si>
    <t>P-A1620</t>
  </si>
  <si>
    <t>P-A1621</t>
  </si>
  <si>
    <t>P-A1622</t>
  </si>
  <si>
    <t>P-A1623</t>
  </si>
  <si>
    <t>P-A1624</t>
  </si>
  <si>
    <t>P-A1625</t>
  </si>
  <si>
    <t>P-A1626</t>
  </si>
  <si>
    <t>P-A1627</t>
  </si>
  <si>
    <t>P-A1628</t>
  </si>
  <si>
    <t>P-A1629</t>
  </si>
  <si>
    <t>17/03/2021</t>
  </si>
  <si>
    <t>P-A1630</t>
  </si>
  <si>
    <t>P-A1631</t>
  </si>
  <si>
    <t>P-A1632</t>
  </si>
  <si>
    <t>P-A1633</t>
  </si>
  <si>
    <t>P-A1634</t>
  </si>
  <si>
    <t>P604</t>
  </si>
  <si>
    <t>P-A1635</t>
  </si>
  <si>
    <t>P-A1636</t>
  </si>
  <si>
    <t>P-A1637</t>
  </si>
  <si>
    <t>P605</t>
  </si>
  <si>
    <t>P-A1638</t>
  </si>
  <si>
    <t>18/03/2021</t>
  </si>
  <si>
    <t>P-A1639</t>
  </si>
  <si>
    <t>P-A1640</t>
  </si>
  <si>
    <t>P-A1641</t>
  </si>
  <si>
    <t>P-A1642</t>
  </si>
  <si>
    <t>P-A1643</t>
  </si>
  <si>
    <t>P-A1644</t>
  </si>
  <si>
    <t>P-A1645</t>
  </si>
  <si>
    <t>P-A1646</t>
  </si>
  <si>
    <t>P-A1647</t>
  </si>
  <si>
    <t>P-A1648</t>
  </si>
  <si>
    <t>P-A1649</t>
  </si>
  <si>
    <t>19/03/2021</t>
  </si>
  <si>
    <t>P606</t>
  </si>
  <si>
    <t>P-A1650</t>
  </si>
  <si>
    <t>P-A1651</t>
  </si>
  <si>
    <t>P-A1652</t>
  </si>
  <si>
    <t>P607</t>
  </si>
  <si>
    <t>P-A1653</t>
  </si>
  <si>
    <t>P-A1654</t>
  </si>
  <si>
    <t>P-A1655</t>
  </si>
  <si>
    <t>P-A1656</t>
  </si>
  <si>
    <t>P-A1657</t>
  </si>
  <si>
    <t>P-A1658</t>
  </si>
  <si>
    <t>P-A1659</t>
  </si>
  <si>
    <t>P-A1660</t>
  </si>
  <si>
    <t>P-A1661</t>
  </si>
  <si>
    <t>P-A1662</t>
  </si>
  <si>
    <t>P-A1663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</si>
</sst>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&lt;=9999999]###\-####;\(###\)\ ###\-####"/>
    <numFmt numFmtId="165" formatCode="0.0"/>
    <numFmt numFmtId="166" formatCode="\(00\)\ 00000\-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theme="0" tint="-0.249977111117893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0"/>
      <color rgb="FFBFBFBF"/>
      <name val="Calibri"/>
      <family val="2"/>
    </font>
    <font>
      <sz val="11"/>
      <color theme="0" tint="-0.249977111117893"/>
      <name val="Arial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/>
    </xf>
    <xf numFmtId="1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65" fontId="2" fillId="2" borderId="1" xfId="1" applyNumberFormat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/>
    </xf>
    <xf numFmtId="0" fontId="1" fillId="0" borderId="0" xfId="1"/>
    <xf numFmtId="1" fontId="4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166" fontId="4" fillId="0" borderId="1" xfId="1" applyNumberFormat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1" fillId="0" borderId="1" xfId="1" applyBorder="1"/>
    <xf numFmtId="14" fontId="5" fillId="0" borderId="1" xfId="1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vertical="center"/>
    </xf>
    <xf numFmtId="166" fontId="4" fillId="0" borderId="2" xfId="1" applyNumberFormat="1" applyFont="1" applyBorder="1" applyAlignment="1">
      <alignment horizontal="center" vertical="center"/>
    </xf>
    <xf numFmtId="14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14" fontId="8" fillId="0" borderId="1" xfId="1" applyNumberFormat="1" applyFont="1" applyBorder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/>
    </xf>
    <xf numFmtId="14" fontId="5" fillId="0" borderId="2" xfId="1" applyNumberFormat="1" applyFont="1" applyBorder="1" applyAlignment="1">
      <alignment horizontal="center" vertical="center"/>
    </xf>
    <xf numFmtId="14" fontId="9" fillId="0" borderId="0" xfId="1" applyNumberFormat="1" applyFont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14" fontId="8" fillId="0" borderId="4" xfId="1" applyNumberFormat="1" applyFont="1" applyBorder="1" applyAlignment="1">
      <alignment horizontal="center" vertical="center"/>
    </xf>
    <xf numFmtId="165" fontId="8" fillId="0" borderId="4" xfId="1" applyNumberFormat="1" applyFont="1" applyBorder="1" applyAlignment="1">
      <alignment horizontal="center" vertical="center"/>
    </xf>
    <xf numFmtId="14" fontId="1" fillId="0" borderId="0" xfId="1" applyNumberFormat="1"/>
    <xf numFmtId="165" fontId="7" fillId="0" borderId="0" xfId="1" applyNumberFormat="1" applyFont="1"/>
    <xf numFmtId="0" fontId="2" fillId="0" borderId="0" xfId="1" applyFont="1"/>
    <xf numFmtId="0" fontId="10" fillId="0" borderId="0" xfId="1" applyFont="1"/>
    <xf numFmtId="0" fontId="7" fillId="0" borderId="0" xfId="1" applyFont="1" applyAlignment="1">
      <alignment vertical="center"/>
    </xf>
    <xf numFmtId="14" fontId="1" fillId="0" borderId="1" xfId="1" applyNumberFormat="1" applyBorder="1"/>
    <xf numFmtId="165" fontId="4" fillId="0" borderId="1" xfId="1" applyNumberFormat="1" applyFont="1" applyFill="1" applyBorder="1" applyAlignment="1">
      <alignment horizontal="center" vertical="center"/>
    </xf>
    <xf numFmtId="14" fontId="4" fillId="0" borderId="1" xfId="1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4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14" fontId="11" fillId="0" borderId="1" xfId="1" applyNumberFormat="1" applyFont="1" applyFill="1" applyBorder="1" applyAlignment="1">
      <alignment horizontal="center" vertical="center"/>
    </xf>
    <xf numFmtId="14" fontId="8" fillId="0" borderId="1" xfId="1" applyNumberFormat="1" applyFont="1" applyFill="1" applyBorder="1" applyAlignment="1">
      <alignment horizontal="center" vertical="center"/>
    </xf>
    <xf numFmtId="0" fontId="1" fillId="0" borderId="1" xfId="1" applyFill="1" applyBorder="1"/>
    <xf numFmtId="0" fontId="2" fillId="0" borderId="1" xfId="1" applyFont="1" applyFill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1" fontId="9" fillId="0" borderId="1" xfId="1" applyNumberFormat="1" applyFont="1" applyFill="1" applyBorder="1" applyAlignment="1">
      <alignment horizontal="center" vertical="center"/>
    </xf>
    <xf numFmtId="0" fontId="12" fillId="0" borderId="2" xfId="1" applyFont="1" applyFill="1" applyBorder="1" applyAlignment="1">
      <alignment horizontal="center" vertical="center"/>
    </xf>
    <xf numFmtId="0" fontId="13" fillId="0" borderId="2" xfId="1" applyFont="1" applyFill="1" applyBorder="1" applyAlignment="1">
      <alignment horizontal="center" vertical="center"/>
    </xf>
    <xf numFmtId="14" fontId="13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1" fontId="4" fillId="0" borderId="2" xfId="1" applyNumberFormat="1" applyFont="1" applyFill="1" applyBorder="1" applyAlignment="1">
      <alignment horizontal="center" vertical="center"/>
    </xf>
    <xf numFmtId="14" fontId="4" fillId="0" borderId="2" xfId="1" applyNumberFormat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4"/>
  <dimension ref="A1:W990"/>
  <sheetViews>
    <sheetView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V1" sqref="V1"/>
    </sheetView>
  </sheetViews>
  <sheetFormatPr defaultColWidth="14.42578125" defaultRowHeight="15" customHeight="1" x14ac:dyDescent="0.2"/>
  <cols>
    <col min="1" max="1" width="4.85546875" style="9" customWidth="1"/>
    <col min="2" max="2" width="8.7109375" style="9" customWidth="1"/>
    <col min="3" max="3" width="38" style="9" customWidth="1"/>
    <col min="4" max="4" width="6" style="9" customWidth="1"/>
    <col min="5" max="5" width="5.28515625" style="9" customWidth="1"/>
    <col min="6" max="6" width="29.42578125" style="9" customWidth="1"/>
    <col min="7" max="7" width="14" style="9" customWidth="1"/>
    <col min="8" max="8" width="11.28515625" style="9" customWidth="1"/>
    <col min="9" max="9" width="8.7109375" style="9" customWidth="1"/>
    <col min="10" max="10" width="13.140625" style="9" customWidth="1"/>
    <col min="11" max="11" width="10.85546875" style="9" customWidth="1"/>
    <col min="12" max="12" width="13.7109375" style="9" customWidth="1"/>
    <col min="13" max="13" width="10.5703125" style="9" customWidth="1"/>
    <col min="14" max="14" width="11.28515625" style="9" customWidth="1"/>
    <col min="15" max="15" width="14.7109375" style="9" bestFit="1" customWidth="1"/>
    <col min="16" max="16" width="10.85546875" style="9" customWidth="1"/>
    <col min="17" max="17" width="13.7109375" style="9" customWidth="1"/>
    <col min="18" max="18" width="11" style="9" customWidth="1"/>
    <col min="19" max="19" width="11.28515625" style="9" customWidth="1"/>
    <col min="20" max="20" width="15.7109375" style="9" customWidth="1"/>
    <col min="21" max="21" width="14" style="9" customWidth="1"/>
    <col min="22" max="22" width="14.28515625" style="9" customWidth="1"/>
    <col min="23" max="23" width="19.28515625" style="39" bestFit="1" customWidth="1"/>
    <col min="24" max="25" width="8.7109375" style="9" customWidth="1"/>
    <col min="26" max="26" width="14.42578125" style="9" customWidth="1"/>
    <col min="27" max="16384" width="14.42578125" style="9"/>
  </cols>
  <sheetData>
    <row r="1" spans="1:23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7" t="s">
        <v>21</v>
      </c>
      <c r="W1" s="8" t="s">
        <v>22</v>
      </c>
    </row>
    <row r="2" spans="1:23" ht="24.75" customHeight="1" x14ac:dyDescent="0.2">
      <c r="A2" s="10">
        <v>1</v>
      </c>
      <c r="B2" s="11" t="s">
        <v>23</v>
      </c>
      <c r="C2" s="12" t="s">
        <v>24</v>
      </c>
      <c r="D2" s="10">
        <v>38</v>
      </c>
      <c r="E2" s="10" t="s">
        <v>25</v>
      </c>
      <c r="F2" s="13" t="s">
        <v>26</v>
      </c>
      <c r="G2" s="14">
        <v>44084</v>
      </c>
      <c r="H2" s="15" t="s">
        <v>27</v>
      </c>
      <c r="I2" s="15">
        <v>1</v>
      </c>
      <c r="J2" s="14">
        <v>44085</v>
      </c>
      <c r="K2" s="15" t="s">
        <v>28</v>
      </c>
      <c r="L2" s="14">
        <v>44085</v>
      </c>
      <c r="M2" s="16">
        <v>20.7</v>
      </c>
      <c r="N2" s="16">
        <v>23.4</v>
      </c>
      <c r="O2" s="14" t="s">
        <v>29</v>
      </c>
      <c r="P2" s="15" t="s">
        <v>30</v>
      </c>
      <c r="Q2" s="14">
        <v>44088</v>
      </c>
      <c r="R2" s="16">
        <v>37.4</v>
      </c>
      <c r="S2" s="16">
        <v>22</v>
      </c>
      <c r="T2" s="17" t="s">
        <v>31</v>
      </c>
      <c r="U2" s="14">
        <v>44088</v>
      </c>
      <c r="V2" s="18">
        <f t="shared" ref="V2:V65" si="0">COUNTIF(I:I,I2)</f>
        <v>12</v>
      </c>
      <c r="W2" s="19" t="str">
        <f t="shared" ref="W2:W65" si="1">IF(O2="Não Detectável","Não Detectável",IF(T2="","",T2))</f>
        <v>Não Detectável</v>
      </c>
    </row>
    <row r="3" spans="1:23" ht="24.75" customHeight="1" x14ac:dyDescent="0.2">
      <c r="A3" s="10">
        <v>2</v>
      </c>
      <c r="B3" s="11" t="s">
        <v>32</v>
      </c>
      <c r="C3" s="12" t="s">
        <v>33</v>
      </c>
      <c r="D3" s="10">
        <v>25</v>
      </c>
      <c r="E3" s="10" t="s">
        <v>34</v>
      </c>
      <c r="F3" s="13" t="s">
        <v>35</v>
      </c>
      <c r="G3" s="14">
        <v>44084</v>
      </c>
      <c r="H3" s="15" t="s">
        <v>27</v>
      </c>
      <c r="I3" s="15">
        <v>1</v>
      </c>
      <c r="J3" s="14">
        <v>44085</v>
      </c>
      <c r="K3" s="15" t="s">
        <v>28</v>
      </c>
      <c r="L3" s="14">
        <v>44085</v>
      </c>
      <c r="M3" s="16">
        <v>20.7</v>
      </c>
      <c r="N3" s="16">
        <v>23.4</v>
      </c>
      <c r="O3" s="14" t="s">
        <v>29</v>
      </c>
      <c r="P3" s="15" t="s">
        <v>30</v>
      </c>
      <c r="Q3" s="14">
        <v>44088</v>
      </c>
      <c r="R3" s="16" t="s">
        <v>36</v>
      </c>
      <c r="S3" s="16">
        <v>22.9</v>
      </c>
      <c r="T3" s="17" t="s">
        <v>31</v>
      </c>
      <c r="U3" s="14">
        <v>44088</v>
      </c>
      <c r="V3" s="18">
        <f t="shared" si="0"/>
        <v>12</v>
      </c>
      <c r="W3" s="19" t="str">
        <f t="shared" si="1"/>
        <v>Não Detectável</v>
      </c>
    </row>
    <row r="4" spans="1:23" ht="24.75" customHeight="1" x14ac:dyDescent="0.2">
      <c r="A4" s="10">
        <v>3</v>
      </c>
      <c r="B4" s="11" t="s">
        <v>37</v>
      </c>
      <c r="C4" s="12" t="s">
        <v>38</v>
      </c>
      <c r="D4" s="10">
        <v>67</v>
      </c>
      <c r="E4" s="10" t="s">
        <v>25</v>
      </c>
      <c r="F4" s="13" t="s">
        <v>39</v>
      </c>
      <c r="G4" s="14">
        <v>44084</v>
      </c>
      <c r="H4" s="15" t="s">
        <v>27</v>
      </c>
      <c r="I4" s="15">
        <v>1</v>
      </c>
      <c r="J4" s="14">
        <v>44085</v>
      </c>
      <c r="K4" s="15" t="s">
        <v>28</v>
      </c>
      <c r="L4" s="14">
        <v>44085</v>
      </c>
      <c r="M4" s="16">
        <v>20.7</v>
      </c>
      <c r="N4" s="16">
        <v>23.4</v>
      </c>
      <c r="O4" s="14" t="s">
        <v>29</v>
      </c>
      <c r="P4" s="15" t="s">
        <v>30</v>
      </c>
      <c r="Q4" s="14">
        <v>44088</v>
      </c>
      <c r="R4" s="16" t="s">
        <v>36</v>
      </c>
      <c r="S4" s="16">
        <v>22.4</v>
      </c>
      <c r="T4" s="17" t="s">
        <v>31</v>
      </c>
      <c r="U4" s="14">
        <v>44088</v>
      </c>
      <c r="V4" s="18">
        <f t="shared" si="0"/>
        <v>12</v>
      </c>
      <c r="W4" s="19" t="str">
        <f t="shared" si="1"/>
        <v>Não Detectável</v>
      </c>
    </row>
    <row r="5" spans="1:23" ht="24.75" customHeight="1" x14ac:dyDescent="0.2">
      <c r="A5" s="10">
        <v>4</v>
      </c>
      <c r="B5" s="11" t="s">
        <v>40</v>
      </c>
      <c r="C5" s="12" t="s">
        <v>41</v>
      </c>
      <c r="D5" s="10">
        <v>27</v>
      </c>
      <c r="E5" s="10" t="s">
        <v>34</v>
      </c>
      <c r="F5" s="13" t="s">
        <v>42</v>
      </c>
      <c r="G5" s="14">
        <v>44084</v>
      </c>
      <c r="H5" s="15" t="s">
        <v>43</v>
      </c>
      <c r="I5" s="15">
        <v>1</v>
      </c>
      <c r="J5" s="14">
        <v>44085</v>
      </c>
      <c r="K5" s="15" t="s">
        <v>28</v>
      </c>
      <c r="L5" s="14">
        <v>44085</v>
      </c>
      <c r="M5" s="16">
        <v>20.7</v>
      </c>
      <c r="N5" s="16">
        <v>23.4</v>
      </c>
      <c r="O5" s="14" t="s">
        <v>29</v>
      </c>
      <c r="P5" s="15" t="s">
        <v>30</v>
      </c>
      <c r="Q5" s="14">
        <v>44088</v>
      </c>
      <c r="R5" s="16" t="s">
        <v>36</v>
      </c>
      <c r="S5" s="16">
        <v>22.9</v>
      </c>
      <c r="T5" s="17" t="s">
        <v>31</v>
      </c>
      <c r="U5" s="14">
        <v>44088</v>
      </c>
      <c r="V5" s="18">
        <f t="shared" si="0"/>
        <v>12</v>
      </c>
      <c r="W5" s="19" t="str">
        <f t="shared" si="1"/>
        <v>Não Detectável</v>
      </c>
    </row>
    <row r="6" spans="1:23" ht="24.75" customHeight="1" x14ac:dyDescent="0.2">
      <c r="A6" s="10">
        <v>5</v>
      </c>
      <c r="B6" s="11" t="s">
        <v>44</v>
      </c>
      <c r="C6" s="12" t="s">
        <v>45</v>
      </c>
      <c r="D6" s="10">
        <v>47</v>
      </c>
      <c r="E6" s="10" t="s">
        <v>25</v>
      </c>
      <c r="F6" s="13" t="s">
        <v>46</v>
      </c>
      <c r="G6" s="14">
        <v>44084</v>
      </c>
      <c r="H6" s="15" t="s">
        <v>27</v>
      </c>
      <c r="I6" s="15">
        <v>1</v>
      </c>
      <c r="J6" s="14">
        <v>44085</v>
      </c>
      <c r="K6" s="15" t="s">
        <v>28</v>
      </c>
      <c r="L6" s="14">
        <v>44085</v>
      </c>
      <c r="M6" s="16">
        <v>20.7</v>
      </c>
      <c r="N6" s="16">
        <v>23.4</v>
      </c>
      <c r="O6" s="14" t="s">
        <v>29</v>
      </c>
      <c r="P6" s="15" t="s">
        <v>30</v>
      </c>
      <c r="Q6" s="14">
        <v>44088</v>
      </c>
      <c r="R6" s="16">
        <v>16.899999999999999</v>
      </c>
      <c r="S6" s="16">
        <v>22.3</v>
      </c>
      <c r="T6" s="17" t="s">
        <v>29</v>
      </c>
      <c r="U6" s="14">
        <v>44088</v>
      </c>
      <c r="V6" s="18">
        <f t="shared" si="0"/>
        <v>12</v>
      </c>
      <c r="W6" s="19" t="str">
        <f t="shared" si="1"/>
        <v>Detectável</v>
      </c>
    </row>
    <row r="7" spans="1:23" ht="24.75" customHeight="1" x14ac:dyDescent="0.2">
      <c r="A7" s="10">
        <v>6</v>
      </c>
      <c r="B7" s="11" t="s">
        <v>47</v>
      </c>
      <c r="C7" s="12" t="s">
        <v>48</v>
      </c>
      <c r="D7" s="10">
        <v>38</v>
      </c>
      <c r="E7" s="10" t="s">
        <v>34</v>
      </c>
      <c r="F7" s="13" t="s">
        <v>49</v>
      </c>
      <c r="G7" s="14">
        <v>44084</v>
      </c>
      <c r="H7" s="15" t="s">
        <v>43</v>
      </c>
      <c r="I7" s="15">
        <v>1</v>
      </c>
      <c r="J7" s="14">
        <v>44085</v>
      </c>
      <c r="K7" s="15" t="s">
        <v>28</v>
      </c>
      <c r="L7" s="14">
        <v>44085</v>
      </c>
      <c r="M7" s="16">
        <v>20.7</v>
      </c>
      <c r="N7" s="16">
        <v>23.4</v>
      </c>
      <c r="O7" s="14" t="s">
        <v>29</v>
      </c>
      <c r="P7" s="15" t="s">
        <v>30</v>
      </c>
      <c r="Q7" s="14">
        <v>44088</v>
      </c>
      <c r="R7" s="16" t="s">
        <v>36</v>
      </c>
      <c r="S7" s="16">
        <v>23</v>
      </c>
      <c r="T7" s="17" t="s">
        <v>31</v>
      </c>
      <c r="U7" s="14">
        <v>44088</v>
      </c>
      <c r="V7" s="18">
        <f t="shared" si="0"/>
        <v>12</v>
      </c>
      <c r="W7" s="19" t="str">
        <f t="shared" si="1"/>
        <v>Não Detectável</v>
      </c>
    </row>
    <row r="8" spans="1:23" ht="24.75" customHeight="1" x14ac:dyDescent="0.2">
      <c r="A8" s="10">
        <v>7</v>
      </c>
      <c r="B8" s="11" t="s">
        <v>50</v>
      </c>
      <c r="C8" s="12" t="s">
        <v>51</v>
      </c>
      <c r="D8" s="10">
        <v>37</v>
      </c>
      <c r="E8" s="10" t="s">
        <v>34</v>
      </c>
      <c r="F8" s="13" t="s">
        <v>52</v>
      </c>
      <c r="G8" s="14">
        <v>44084</v>
      </c>
      <c r="H8" s="15" t="s">
        <v>27</v>
      </c>
      <c r="I8" s="15">
        <v>1</v>
      </c>
      <c r="J8" s="14">
        <v>44085</v>
      </c>
      <c r="K8" s="15" t="s">
        <v>28</v>
      </c>
      <c r="L8" s="14">
        <v>44085</v>
      </c>
      <c r="M8" s="16">
        <v>20.7</v>
      </c>
      <c r="N8" s="16">
        <v>23.4</v>
      </c>
      <c r="O8" s="14" t="s">
        <v>29</v>
      </c>
      <c r="P8" s="15" t="s">
        <v>30</v>
      </c>
      <c r="Q8" s="14">
        <v>44088</v>
      </c>
      <c r="R8" s="16" t="s">
        <v>36</v>
      </c>
      <c r="S8" s="16">
        <v>21.2</v>
      </c>
      <c r="T8" s="17" t="s">
        <v>31</v>
      </c>
      <c r="U8" s="14">
        <v>44088</v>
      </c>
      <c r="V8" s="18">
        <f t="shared" si="0"/>
        <v>12</v>
      </c>
      <c r="W8" s="19" t="str">
        <f t="shared" si="1"/>
        <v>Não Detectável</v>
      </c>
    </row>
    <row r="9" spans="1:23" ht="24.75" customHeight="1" x14ac:dyDescent="0.2">
      <c r="A9" s="10">
        <v>8</v>
      </c>
      <c r="B9" s="11" t="s">
        <v>53</v>
      </c>
      <c r="C9" s="12" t="s">
        <v>54</v>
      </c>
      <c r="D9" s="10">
        <v>30</v>
      </c>
      <c r="E9" s="10" t="s">
        <v>25</v>
      </c>
      <c r="F9" s="13" t="s">
        <v>55</v>
      </c>
      <c r="G9" s="14">
        <v>44084</v>
      </c>
      <c r="H9" s="15" t="s">
        <v>27</v>
      </c>
      <c r="I9" s="15">
        <v>1</v>
      </c>
      <c r="J9" s="14">
        <v>44085</v>
      </c>
      <c r="K9" s="15" t="s">
        <v>28</v>
      </c>
      <c r="L9" s="14">
        <v>44085</v>
      </c>
      <c r="M9" s="16">
        <v>20.7</v>
      </c>
      <c r="N9" s="16">
        <v>23.4</v>
      </c>
      <c r="O9" s="14" t="s">
        <v>29</v>
      </c>
      <c r="P9" s="15" t="s">
        <v>30</v>
      </c>
      <c r="Q9" s="14">
        <v>44088</v>
      </c>
      <c r="R9" s="16" t="s">
        <v>36</v>
      </c>
      <c r="S9" s="16">
        <v>21.2</v>
      </c>
      <c r="T9" s="17" t="s">
        <v>31</v>
      </c>
      <c r="U9" s="14">
        <v>44088</v>
      </c>
      <c r="V9" s="18">
        <f t="shared" si="0"/>
        <v>12</v>
      </c>
      <c r="W9" s="19" t="str">
        <f t="shared" si="1"/>
        <v>Não Detectável</v>
      </c>
    </row>
    <row r="10" spans="1:23" ht="24.75" customHeight="1" x14ac:dyDescent="0.2">
      <c r="A10" s="10">
        <v>9</v>
      </c>
      <c r="B10" s="11" t="s">
        <v>56</v>
      </c>
      <c r="C10" s="12" t="s">
        <v>57</v>
      </c>
      <c r="D10" s="10">
        <v>36</v>
      </c>
      <c r="E10" s="10" t="s">
        <v>34</v>
      </c>
      <c r="F10" s="13" t="s">
        <v>58</v>
      </c>
      <c r="G10" s="14">
        <v>44084</v>
      </c>
      <c r="H10" s="15" t="s">
        <v>59</v>
      </c>
      <c r="I10" s="15" t="s">
        <v>60</v>
      </c>
      <c r="J10" s="14">
        <v>44085</v>
      </c>
      <c r="K10" s="15" t="s">
        <v>60</v>
      </c>
      <c r="L10" s="15" t="s">
        <v>60</v>
      </c>
      <c r="M10" s="16" t="s">
        <v>60</v>
      </c>
      <c r="N10" s="16" t="s">
        <v>60</v>
      </c>
      <c r="O10" s="15" t="s">
        <v>60</v>
      </c>
      <c r="P10" s="15" t="s">
        <v>28</v>
      </c>
      <c r="Q10" s="14">
        <v>44085</v>
      </c>
      <c r="R10" s="16" t="s">
        <v>36</v>
      </c>
      <c r="S10" s="16">
        <v>23.3</v>
      </c>
      <c r="T10" s="17" t="s">
        <v>31</v>
      </c>
      <c r="U10" s="14">
        <v>44088</v>
      </c>
      <c r="V10" s="18">
        <f t="shared" si="0"/>
        <v>31</v>
      </c>
      <c r="W10" s="19" t="str">
        <f t="shared" si="1"/>
        <v>Não Detectável</v>
      </c>
    </row>
    <row r="11" spans="1:23" ht="24.75" customHeight="1" x14ac:dyDescent="0.2">
      <c r="A11" s="10">
        <v>10</v>
      </c>
      <c r="B11" s="11" t="s">
        <v>61</v>
      </c>
      <c r="C11" s="12" t="s">
        <v>62</v>
      </c>
      <c r="D11" s="10">
        <v>32</v>
      </c>
      <c r="E11" s="10" t="s">
        <v>34</v>
      </c>
      <c r="F11" s="13" t="s">
        <v>63</v>
      </c>
      <c r="G11" s="14">
        <v>44084</v>
      </c>
      <c r="H11" s="15" t="s">
        <v>27</v>
      </c>
      <c r="I11" s="15">
        <v>1</v>
      </c>
      <c r="J11" s="14">
        <v>44085</v>
      </c>
      <c r="K11" s="15" t="s">
        <v>28</v>
      </c>
      <c r="L11" s="14">
        <v>44085</v>
      </c>
      <c r="M11" s="16">
        <v>20.7</v>
      </c>
      <c r="N11" s="16">
        <v>23.4</v>
      </c>
      <c r="O11" s="14" t="s">
        <v>29</v>
      </c>
      <c r="P11" s="15" t="s">
        <v>30</v>
      </c>
      <c r="Q11" s="14">
        <v>44088</v>
      </c>
      <c r="R11" s="16" t="s">
        <v>36</v>
      </c>
      <c r="S11" s="16">
        <v>26.8</v>
      </c>
      <c r="T11" s="17" t="s">
        <v>31</v>
      </c>
      <c r="U11" s="14">
        <v>44088</v>
      </c>
      <c r="V11" s="18">
        <f t="shared" si="0"/>
        <v>12</v>
      </c>
      <c r="W11" s="19" t="str">
        <f t="shared" si="1"/>
        <v>Não Detectável</v>
      </c>
    </row>
    <row r="12" spans="1:23" ht="24.75" customHeight="1" x14ac:dyDescent="0.2">
      <c r="A12" s="10">
        <v>11</v>
      </c>
      <c r="B12" s="11" t="s">
        <v>64</v>
      </c>
      <c r="C12" s="12" t="s">
        <v>65</v>
      </c>
      <c r="D12" s="10">
        <v>56</v>
      </c>
      <c r="E12" s="10" t="s">
        <v>25</v>
      </c>
      <c r="F12" s="13" t="s">
        <v>66</v>
      </c>
      <c r="G12" s="14">
        <v>44084</v>
      </c>
      <c r="H12" s="15" t="s">
        <v>27</v>
      </c>
      <c r="I12" s="15">
        <v>1</v>
      </c>
      <c r="J12" s="14">
        <v>44085</v>
      </c>
      <c r="K12" s="15" t="s">
        <v>28</v>
      </c>
      <c r="L12" s="14">
        <v>44085</v>
      </c>
      <c r="M12" s="16">
        <v>20.7</v>
      </c>
      <c r="N12" s="16">
        <v>23.4</v>
      </c>
      <c r="O12" s="14" t="s">
        <v>29</v>
      </c>
      <c r="P12" s="15" t="s">
        <v>30</v>
      </c>
      <c r="Q12" s="14">
        <v>44088</v>
      </c>
      <c r="R12" s="16" t="s">
        <v>36</v>
      </c>
      <c r="S12" s="16">
        <v>22.4</v>
      </c>
      <c r="T12" s="17" t="s">
        <v>31</v>
      </c>
      <c r="U12" s="14">
        <v>44088</v>
      </c>
      <c r="V12" s="18">
        <f t="shared" si="0"/>
        <v>12</v>
      </c>
      <c r="W12" s="19" t="str">
        <f t="shared" si="1"/>
        <v>Não Detectável</v>
      </c>
    </row>
    <row r="13" spans="1:23" ht="24.75" customHeight="1" x14ac:dyDescent="0.2">
      <c r="A13" s="10">
        <v>12</v>
      </c>
      <c r="B13" s="11" t="s">
        <v>67</v>
      </c>
      <c r="C13" s="12" t="s">
        <v>68</v>
      </c>
      <c r="D13" s="10">
        <v>62</v>
      </c>
      <c r="E13" s="10" t="s">
        <v>25</v>
      </c>
      <c r="F13" s="13" t="s">
        <v>69</v>
      </c>
      <c r="G13" s="14">
        <v>44084</v>
      </c>
      <c r="H13" s="15" t="s">
        <v>43</v>
      </c>
      <c r="I13" s="15">
        <v>1</v>
      </c>
      <c r="J13" s="14">
        <v>44085</v>
      </c>
      <c r="K13" s="15" t="s">
        <v>28</v>
      </c>
      <c r="L13" s="14">
        <v>44085</v>
      </c>
      <c r="M13" s="16">
        <v>20.7</v>
      </c>
      <c r="N13" s="16">
        <v>23.4</v>
      </c>
      <c r="O13" s="14" t="s">
        <v>29</v>
      </c>
      <c r="P13" s="15" t="s">
        <v>30</v>
      </c>
      <c r="Q13" s="14">
        <v>44088</v>
      </c>
      <c r="R13" s="16" t="s">
        <v>36</v>
      </c>
      <c r="S13" s="16">
        <v>24.6</v>
      </c>
      <c r="T13" s="17" t="s">
        <v>31</v>
      </c>
      <c r="U13" s="14">
        <v>44088</v>
      </c>
      <c r="V13" s="18">
        <f t="shared" si="0"/>
        <v>12</v>
      </c>
      <c r="W13" s="19" t="str">
        <f t="shared" si="1"/>
        <v>Não Detectável</v>
      </c>
    </row>
    <row r="14" spans="1:23" ht="24.75" customHeight="1" x14ac:dyDescent="0.2">
      <c r="A14" s="10">
        <v>13</v>
      </c>
      <c r="B14" s="11" t="s">
        <v>70</v>
      </c>
      <c r="C14" s="12" t="s">
        <v>71</v>
      </c>
      <c r="D14" s="10">
        <v>32</v>
      </c>
      <c r="E14" s="10" t="s">
        <v>34</v>
      </c>
      <c r="F14" s="13" t="s">
        <v>72</v>
      </c>
      <c r="G14" s="14">
        <v>44084</v>
      </c>
      <c r="H14" s="15" t="s">
        <v>43</v>
      </c>
      <c r="I14" s="15">
        <v>1</v>
      </c>
      <c r="J14" s="14">
        <v>44085</v>
      </c>
      <c r="K14" s="15" t="s">
        <v>28</v>
      </c>
      <c r="L14" s="14">
        <v>44085</v>
      </c>
      <c r="M14" s="16">
        <v>20.7</v>
      </c>
      <c r="N14" s="16">
        <v>23.4</v>
      </c>
      <c r="O14" s="14" t="s">
        <v>29</v>
      </c>
      <c r="P14" s="15" t="s">
        <v>30</v>
      </c>
      <c r="Q14" s="14">
        <v>44088</v>
      </c>
      <c r="R14" s="16" t="s">
        <v>36</v>
      </c>
      <c r="S14" s="16">
        <v>24.3</v>
      </c>
      <c r="T14" s="17" t="s">
        <v>31</v>
      </c>
      <c r="U14" s="14">
        <v>44088</v>
      </c>
      <c r="V14" s="18">
        <f t="shared" si="0"/>
        <v>12</v>
      </c>
      <c r="W14" s="19" t="str">
        <f t="shared" si="1"/>
        <v>Não Detectável</v>
      </c>
    </row>
    <row r="15" spans="1:23" ht="24.75" customHeight="1" x14ac:dyDescent="0.2">
      <c r="A15" s="10">
        <v>14</v>
      </c>
      <c r="B15" s="11" t="s">
        <v>73</v>
      </c>
      <c r="C15" s="12" t="s">
        <v>74</v>
      </c>
      <c r="D15" s="10">
        <v>42</v>
      </c>
      <c r="E15" s="10" t="s">
        <v>34</v>
      </c>
      <c r="F15" s="13" t="s">
        <v>58</v>
      </c>
      <c r="G15" s="14">
        <v>44085</v>
      </c>
      <c r="H15" s="15" t="s">
        <v>27</v>
      </c>
      <c r="I15" s="15">
        <v>2</v>
      </c>
      <c r="J15" s="14">
        <v>44088</v>
      </c>
      <c r="K15" s="15" t="s">
        <v>30</v>
      </c>
      <c r="L15" s="14">
        <v>44088</v>
      </c>
      <c r="M15" s="16">
        <v>25.7</v>
      </c>
      <c r="N15" s="16">
        <v>26</v>
      </c>
      <c r="O15" s="14" t="s">
        <v>29</v>
      </c>
      <c r="P15" s="15" t="s">
        <v>75</v>
      </c>
      <c r="Q15" s="14">
        <v>44089</v>
      </c>
      <c r="R15" s="16" t="s">
        <v>36</v>
      </c>
      <c r="S15" s="16">
        <v>26.6</v>
      </c>
      <c r="T15" s="17" t="s">
        <v>31</v>
      </c>
      <c r="U15" s="14">
        <v>44090</v>
      </c>
      <c r="V15" s="18">
        <f t="shared" si="0"/>
        <v>16</v>
      </c>
      <c r="W15" s="19" t="str">
        <f t="shared" si="1"/>
        <v>Não Detectável</v>
      </c>
    </row>
    <row r="16" spans="1:23" ht="24.75" customHeight="1" x14ac:dyDescent="0.2">
      <c r="A16" s="10">
        <v>15</v>
      </c>
      <c r="B16" s="11" t="s">
        <v>76</v>
      </c>
      <c r="C16" s="12" t="s">
        <v>77</v>
      </c>
      <c r="D16" s="10">
        <v>34</v>
      </c>
      <c r="E16" s="10" t="s">
        <v>34</v>
      </c>
      <c r="F16" s="13" t="s">
        <v>78</v>
      </c>
      <c r="G16" s="14">
        <v>44085</v>
      </c>
      <c r="H16" s="15" t="s">
        <v>43</v>
      </c>
      <c r="I16" s="15">
        <v>2</v>
      </c>
      <c r="J16" s="14">
        <v>44088</v>
      </c>
      <c r="K16" s="15" t="s">
        <v>30</v>
      </c>
      <c r="L16" s="14">
        <v>44088</v>
      </c>
      <c r="M16" s="16">
        <v>25.7</v>
      </c>
      <c r="N16" s="16">
        <v>26</v>
      </c>
      <c r="O16" s="14" t="s">
        <v>29</v>
      </c>
      <c r="P16" s="15" t="s">
        <v>75</v>
      </c>
      <c r="Q16" s="14">
        <v>44089</v>
      </c>
      <c r="R16" s="16" t="s">
        <v>36</v>
      </c>
      <c r="S16" s="16">
        <v>27.4</v>
      </c>
      <c r="T16" s="17" t="s">
        <v>31</v>
      </c>
      <c r="U16" s="14">
        <v>44090</v>
      </c>
      <c r="V16" s="18">
        <f t="shared" si="0"/>
        <v>16</v>
      </c>
      <c r="W16" s="19" t="str">
        <f t="shared" si="1"/>
        <v>Não Detectável</v>
      </c>
    </row>
    <row r="17" spans="1:23" ht="24.75" customHeight="1" x14ac:dyDescent="0.2">
      <c r="A17" s="10">
        <v>16</v>
      </c>
      <c r="B17" s="11" t="s">
        <v>79</v>
      </c>
      <c r="C17" s="12" t="s">
        <v>80</v>
      </c>
      <c r="D17" s="10">
        <v>66</v>
      </c>
      <c r="E17" s="10" t="s">
        <v>34</v>
      </c>
      <c r="F17" s="13" t="s">
        <v>58</v>
      </c>
      <c r="G17" s="14">
        <v>44085</v>
      </c>
      <c r="H17" s="15" t="s">
        <v>27</v>
      </c>
      <c r="I17" s="15">
        <v>2</v>
      </c>
      <c r="J17" s="14">
        <v>44088</v>
      </c>
      <c r="K17" s="15" t="s">
        <v>30</v>
      </c>
      <c r="L17" s="14">
        <v>44088</v>
      </c>
      <c r="M17" s="16">
        <v>25.7</v>
      </c>
      <c r="N17" s="16">
        <v>26</v>
      </c>
      <c r="O17" s="14" t="s">
        <v>29</v>
      </c>
      <c r="P17" s="15" t="s">
        <v>75</v>
      </c>
      <c r="Q17" s="14">
        <v>44089</v>
      </c>
      <c r="R17" s="16" t="s">
        <v>36</v>
      </c>
      <c r="S17" s="16">
        <v>25.8</v>
      </c>
      <c r="T17" s="17" t="s">
        <v>31</v>
      </c>
      <c r="U17" s="14">
        <v>44090</v>
      </c>
      <c r="V17" s="18">
        <f t="shared" si="0"/>
        <v>16</v>
      </c>
      <c r="W17" s="19" t="str">
        <f t="shared" si="1"/>
        <v>Não Detectável</v>
      </c>
    </row>
    <row r="18" spans="1:23" ht="24.75" customHeight="1" x14ac:dyDescent="0.2">
      <c r="A18" s="10">
        <v>17</v>
      </c>
      <c r="B18" s="11" t="s">
        <v>81</v>
      </c>
      <c r="C18" s="12" t="s">
        <v>82</v>
      </c>
      <c r="D18" s="10">
        <v>33</v>
      </c>
      <c r="E18" s="10" t="s">
        <v>25</v>
      </c>
      <c r="F18" s="13" t="s">
        <v>83</v>
      </c>
      <c r="G18" s="14">
        <v>44085</v>
      </c>
      <c r="H18" s="15" t="s">
        <v>27</v>
      </c>
      <c r="I18" s="15">
        <v>2</v>
      </c>
      <c r="J18" s="14">
        <v>44088</v>
      </c>
      <c r="K18" s="15" t="s">
        <v>30</v>
      </c>
      <c r="L18" s="14">
        <v>44088</v>
      </c>
      <c r="M18" s="16">
        <v>25.7</v>
      </c>
      <c r="N18" s="16">
        <v>26</v>
      </c>
      <c r="O18" s="14" t="s">
        <v>29</v>
      </c>
      <c r="P18" s="15" t="s">
        <v>75</v>
      </c>
      <c r="Q18" s="14">
        <v>44089</v>
      </c>
      <c r="R18" s="16" t="s">
        <v>36</v>
      </c>
      <c r="S18" s="16">
        <v>26.9</v>
      </c>
      <c r="T18" s="17" t="s">
        <v>31</v>
      </c>
      <c r="U18" s="14">
        <v>44090</v>
      </c>
      <c r="V18" s="18">
        <f t="shared" si="0"/>
        <v>16</v>
      </c>
      <c r="W18" s="19" t="str">
        <f t="shared" si="1"/>
        <v>Não Detectável</v>
      </c>
    </row>
    <row r="19" spans="1:23" ht="24.75" customHeight="1" x14ac:dyDescent="0.2">
      <c r="A19" s="10">
        <v>18</v>
      </c>
      <c r="B19" s="11" t="s">
        <v>84</v>
      </c>
      <c r="C19" s="12" t="s">
        <v>85</v>
      </c>
      <c r="D19" s="10">
        <v>29</v>
      </c>
      <c r="E19" s="10" t="s">
        <v>34</v>
      </c>
      <c r="F19" s="13" t="s">
        <v>86</v>
      </c>
      <c r="G19" s="14">
        <v>44085</v>
      </c>
      <c r="H19" s="15" t="s">
        <v>27</v>
      </c>
      <c r="I19" s="15">
        <v>2</v>
      </c>
      <c r="J19" s="14">
        <v>44088</v>
      </c>
      <c r="K19" s="15" t="s">
        <v>30</v>
      </c>
      <c r="L19" s="14">
        <v>44088</v>
      </c>
      <c r="M19" s="16">
        <v>25.7</v>
      </c>
      <c r="N19" s="16">
        <v>26</v>
      </c>
      <c r="O19" s="14" t="s">
        <v>29</v>
      </c>
      <c r="P19" s="15" t="s">
        <v>75</v>
      </c>
      <c r="Q19" s="14">
        <v>44089</v>
      </c>
      <c r="R19" s="16" t="s">
        <v>36</v>
      </c>
      <c r="S19" s="16">
        <v>27</v>
      </c>
      <c r="T19" s="17" t="s">
        <v>31</v>
      </c>
      <c r="U19" s="14">
        <v>44090</v>
      </c>
      <c r="V19" s="18">
        <f t="shared" si="0"/>
        <v>16</v>
      </c>
      <c r="W19" s="19" t="str">
        <f t="shared" si="1"/>
        <v>Não Detectável</v>
      </c>
    </row>
    <row r="20" spans="1:23" ht="24.75" customHeight="1" x14ac:dyDescent="0.2">
      <c r="A20" s="10">
        <v>19</v>
      </c>
      <c r="B20" s="11" t="s">
        <v>87</v>
      </c>
      <c r="C20" s="12" t="s">
        <v>88</v>
      </c>
      <c r="D20" s="10">
        <v>78</v>
      </c>
      <c r="E20" s="10" t="s">
        <v>25</v>
      </c>
      <c r="F20" s="13" t="s">
        <v>89</v>
      </c>
      <c r="G20" s="14">
        <v>44085</v>
      </c>
      <c r="H20" s="15" t="s">
        <v>43</v>
      </c>
      <c r="I20" s="15">
        <v>2</v>
      </c>
      <c r="J20" s="14">
        <v>44088</v>
      </c>
      <c r="K20" s="15" t="s">
        <v>30</v>
      </c>
      <c r="L20" s="14">
        <v>44088</v>
      </c>
      <c r="M20" s="16">
        <v>25.7</v>
      </c>
      <c r="N20" s="16">
        <v>26</v>
      </c>
      <c r="O20" s="14" t="s">
        <v>29</v>
      </c>
      <c r="P20" s="15" t="s">
        <v>75</v>
      </c>
      <c r="Q20" s="14">
        <v>44089</v>
      </c>
      <c r="R20" s="16" t="s">
        <v>36</v>
      </c>
      <c r="S20" s="16">
        <v>25.5</v>
      </c>
      <c r="T20" s="17" t="s">
        <v>31</v>
      </c>
      <c r="U20" s="14">
        <v>44090</v>
      </c>
      <c r="V20" s="18">
        <f t="shared" si="0"/>
        <v>16</v>
      </c>
      <c r="W20" s="19" t="str">
        <f t="shared" si="1"/>
        <v>Não Detectável</v>
      </c>
    </row>
    <row r="21" spans="1:23" ht="24.75" customHeight="1" x14ac:dyDescent="0.2">
      <c r="A21" s="10">
        <v>20</v>
      </c>
      <c r="B21" s="11" t="s">
        <v>90</v>
      </c>
      <c r="C21" s="12" t="s">
        <v>91</v>
      </c>
      <c r="D21" s="10">
        <v>60</v>
      </c>
      <c r="E21" s="10" t="s">
        <v>25</v>
      </c>
      <c r="F21" s="13" t="s">
        <v>92</v>
      </c>
      <c r="G21" s="14">
        <v>44085</v>
      </c>
      <c r="H21" s="15" t="s">
        <v>27</v>
      </c>
      <c r="I21" s="15">
        <v>2</v>
      </c>
      <c r="J21" s="14">
        <v>44088</v>
      </c>
      <c r="K21" s="15" t="s">
        <v>30</v>
      </c>
      <c r="L21" s="14">
        <v>44088</v>
      </c>
      <c r="M21" s="16">
        <v>25.7</v>
      </c>
      <c r="N21" s="16">
        <v>26</v>
      </c>
      <c r="O21" s="14" t="s">
        <v>29</v>
      </c>
      <c r="P21" s="15" t="s">
        <v>75</v>
      </c>
      <c r="Q21" s="14">
        <v>44089</v>
      </c>
      <c r="R21" s="16" t="s">
        <v>36</v>
      </c>
      <c r="S21" s="16">
        <v>26.4</v>
      </c>
      <c r="T21" s="17" t="s">
        <v>31</v>
      </c>
      <c r="U21" s="14">
        <v>44090</v>
      </c>
      <c r="V21" s="18">
        <f t="shared" si="0"/>
        <v>16</v>
      </c>
      <c r="W21" s="19" t="str">
        <f t="shared" si="1"/>
        <v>Não Detectável</v>
      </c>
    </row>
    <row r="22" spans="1:23" ht="24.75" customHeight="1" x14ac:dyDescent="0.2">
      <c r="A22" s="10">
        <v>21</v>
      </c>
      <c r="B22" s="11" t="s">
        <v>93</v>
      </c>
      <c r="C22" s="12" t="s">
        <v>94</v>
      </c>
      <c r="D22" s="10">
        <v>26</v>
      </c>
      <c r="E22" s="10" t="s">
        <v>25</v>
      </c>
      <c r="F22" s="13" t="s">
        <v>95</v>
      </c>
      <c r="G22" s="14">
        <v>44085</v>
      </c>
      <c r="H22" s="15" t="s">
        <v>43</v>
      </c>
      <c r="I22" s="15">
        <v>2</v>
      </c>
      <c r="J22" s="14">
        <v>44088</v>
      </c>
      <c r="K22" s="15" t="s">
        <v>30</v>
      </c>
      <c r="L22" s="14">
        <v>44088</v>
      </c>
      <c r="M22" s="16">
        <v>25.7</v>
      </c>
      <c r="N22" s="16">
        <v>26</v>
      </c>
      <c r="O22" s="14" t="s">
        <v>29</v>
      </c>
      <c r="P22" s="15" t="s">
        <v>75</v>
      </c>
      <c r="Q22" s="14">
        <v>44089</v>
      </c>
      <c r="R22" s="16" t="s">
        <v>36</v>
      </c>
      <c r="S22" s="16">
        <v>27.8</v>
      </c>
      <c r="T22" s="17" t="s">
        <v>31</v>
      </c>
      <c r="U22" s="14">
        <v>44090</v>
      </c>
      <c r="V22" s="18">
        <f t="shared" si="0"/>
        <v>16</v>
      </c>
      <c r="W22" s="19" t="str">
        <f t="shared" si="1"/>
        <v>Não Detectável</v>
      </c>
    </row>
    <row r="23" spans="1:23" ht="24.75" customHeight="1" x14ac:dyDescent="0.2">
      <c r="A23" s="10">
        <v>22</v>
      </c>
      <c r="B23" s="11" t="s">
        <v>96</v>
      </c>
      <c r="C23" s="12" t="s">
        <v>97</v>
      </c>
      <c r="D23" s="10">
        <v>42</v>
      </c>
      <c r="E23" s="10" t="s">
        <v>34</v>
      </c>
      <c r="F23" s="13" t="s">
        <v>98</v>
      </c>
      <c r="G23" s="14">
        <v>44085</v>
      </c>
      <c r="H23" s="15" t="s">
        <v>27</v>
      </c>
      <c r="I23" s="15">
        <v>2</v>
      </c>
      <c r="J23" s="14">
        <v>44088</v>
      </c>
      <c r="K23" s="15" t="s">
        <v>30</v>
      </c>
      <c r="L23" s="14">
        <v>44088</v>
      </c>
      <c r="M23" s="16">
        <v>25.7</v>
      </c>
      <c r="N23" s="16">
        <v>26</v>
      </c>
      <c r="O23" s="14" t="s">
        <v>29</v>
      </c>
      <c r="P23" s="15" t="s">
        <v>75</v>
      </c>
      <c r="Q23" s="14">
        <v>44089</v>
      </c>
      <c r="R23" s="16">
        <v>22</v>
      </c>
      <c r="S23" s="16">
        <v>26.4</v>
      </c>
      <c r="T23" s="17" t="s">
        <v>29</v>
      </c>
      <c r="U23" s="14">
        <v>44090</v>
      </c>
      <c r="V23" s="18">
        <f t="shared" si="0"/>
        <v>16</v>
      </c>
      <c r="W23" s="19" t="str">
        <f t="shared" si="1"/>
        <v>Detectável</v>
      </c>
    </row>
    <row r="24" spans="1:23" ht="24.75" customHeight="1" x14ac:dyDescent="0.2">
      <c r="A24" s="10">
        <v>23</v>
      </c>
      <c r="B24" s="11" t="s">
        <v>99</v>
      </c>
      <c r="C24" s="12" t="s">
        <v>100</v>
      </c>
      <c r="D24" s="10">
        <v>56</v>
      </c>
      <c r="E24" s="10" t="s">
        <v>25</v>
      </c>
      <c r="F24" s="13" t="s">
        <v>101</v>
      </c>
      <c r="G24" s="14">
        <v>44085</v>
      </c>
      <c r="H24" s="15" t="s">
        <v>27</v>
      </c>
      <c r="I24" s="15">
        <v>2</v>
      </c>
      <c r="J24" s="14">
        <v>44088</v>
      </c>
      <c r="K24" s="15" t="s">
        <v>30</v>
      </c>
      <c r="L24" s="14">
        <v>44088</v>
      </c>
      <c r="M24" s="16">
        <v>25.7</v>
      </c>
      <c r="N24" s="16">
        <v>26</v>
      </c>
      <c r="O24" s="14" t="s">
        <v>29</v>
      </c>
      <c r="P24" s="15" t="s">
        <v>75</v>
      </c>
      <c r="Q24" s="14">
        <v>44089</v>
      </c>
      <c r="R24" s="16">
        <v>27.7</v>
      </c>
      <c r="S24" s="16">
        <v>25.8</v>
      </c>
      <c r="T24" s="17" t="s">
        <v>29</v>
      </c>
      <c r="U24" s="14">
        <v>44090</v>
      </c>
      <c r="V24" s="18">
        <f t="shared" si="0"/>
        <v>16</v>
      </c>
      <c r="W24" s="19" t="str">
        <f t="shared" si="1"/>
        <v>Detectável</v>
      </c>
    </row>
    <row r="25" spans="1:23" ht="24.75" customHeight="1" x14ac:dyDescent="0.2">
      <c r="A25" s="10">
        <v>24</v>
      </c>
      <c r="B25" s="11" t="s">
        <v>102</v>
      </c>
      <c r="C25" s="12" t="s">
        <v>103</v>
      </c>
      <c r="D25" s="10">
        <v>19</v>
      </c>
      <c r="E25" s="10" t="s">
        <v>34</v>
      </c>
      <c r="F25" s="13" t="s">
        <v>104</v>
      </c>
      <c r="G25" s="14">
        <v>44085</v>
      </c>
      <c r="H25" s="15" t="s">
        <v>43</v>
      </c>
      <c r="I25" s="15">
        <v>2</v>
      </c>
      <c r="J25" s="14">
        <v>44088</v>
      </c>
      <c r="K25" s="15" t="s">
        <v>30</v>
      </c>
      <c r="L25" s="14">
        <v>44088</v>
      </c>
      <c r="M25" s="16">
        <v>25.7</v>
      </c>
      <c r="N25" s="16">
        <v>26</v>
      </c>
      <c r="O25" s="14" t="s">
        <v>29</v>
      </c>
      <c r="P25" s="15" t="s">
        <v>75</v>
      </c>
      <c r="Q25" s="14">
        <v>44089</v>
      </c>
      <c r="R25" s="16" t="s">
        <v>36</v>
      </c>
      <c r="S25" s="16">
        <v>26.2</v>
      </c>
      <c r="T25" s="17" t="s">
        <v>31</v>
      </c>
      <c r="U25" s="14">
        <v>44090</v>
      </c>
      <c r="V25" s="18">
        <f t="shared" si="0"/>
        <v>16</v>
      </c>
      <c r="W25" s="19" t="str">
        <f t="shared" si="1"/>
        <v>Não Detectável</v>
      </c>
    </row>
    <row r="26" spans="1:23" ht="24.75" customHeight="1" x14ac:dyDescent="0.2">
      <c r="A26" s="10">
        <v>25</v>
      </c>
      <c r="B26" s="11" t="s">
        <v>105</v>
      </c>
      <c r="C26" s="12" t="s">
        <v>106</v>
      </c>
      <c r="D26" s="10">
        <v>19</v>
      </c>
      <c r="E26" s="10" t="s">
        <v>34</v>
      </c>
      <c r="F26" s="13" t="s">
        <v>58</v>
      </c>
      <c r="G26" s="14">
        <v>44085</v>
      </c>
      <c r="H26" s="15" t="s">
        <v>43</v>
      </c>
      <c r="I26" s="15">
        <v>2</v>
      </c>
      <c r="J26" s="14">
        <v>44088</v>
      </c>
      <c r="K26" s="15" t="s">
        <v>30</v>
      </c>
      <c r="L26" s="14">
        <v>44088</v>
      </c>
      <c r="M26" s="16">
        <v>25.7</v>
      </c>
      <c r="N26" s="16">
        <v>26</v>
      </c>
      <c r="O26" s="14" t="s">
        <v>29</v>
      </c>
      <c r="P26" s="15" t="s">
        <v>75</v>
      </c>
      <c r="Q26" s="14">
        <v>44089</v>
      </c>
      <c r="R26" s="16" t="s">
        <v>36</v>
      </c>
      <c r="S26" s="16">
        <v>25.6</v>
      </c>
      <c r="T26" s="17" t="s">
        <v>31</v>
      </c>
      <c r="U26" s="14">
        <v>44090</v>
      </c>
      <c r="V26" s="18">
        <f t="shared" si="0"/>
        <v>16</v>
      </c>
      <c r="W26" s="19" t="str">
        <f t="shared" si="1"/>
        <v>Não Detectável</v>
      </c>
    </row>
    <row r="27" spans="1:23" ht="24.75" customHeight="1" x14ac:dyDescent="0.2">
      <c r="A27" s="10">
        <v>26</v>
      </c>
      <c r="B27" s="11" t="s">
        <v>107</v>
      </c>
      <c r="C27" s="12" t="s">
        <v>108</v>
      </c>
      <c r="D27" s="10">
        <v>57</v>
      </c>
      <c r="E27" s="10" t="s">
        <v>25</v>
      </c>
      <c r="F27" s="13" t="s">
        <v>109</v>
      </c>
      <c r="G27" s="14">
        <v>44085</v>
      </c>
      <c r="H27" s="15" t="s">
        <v>43</v>
      </c>
      <c r="I27" s="15">
        <v>2</v>
      </c>
      <c r="J27" s="14">
        <v>44088</v>
      </c>
      <c r="K27" s="15" t="s">
        <v>30</v>
      </c>
      <c r="L27" s="14">
        <v>44088</v>
      </c>
      <c r="M27" s="16">
        <v>25.7</v>
      </c>
      <c r="N27" s="16">
        <v>26</v>
      </c>
      <c r="O27" s="14" t="s">
        <v>29</v>
      </c>
      <c r="P27" s="15" t="s">
        <v>75</v>
      </c>
      <c r="Q27" s="14">
        <v>44089</v>
      </c>
      <c r="R27" s="16">
        <v>23.5</v>
      </c>
      <c r="S27" s="16">
        <v>27.2</v>
      </c>
      <c r="T27" s="17" t="s">
        <v>29</v>
      </c>
      <c r="U27" s="14">
        <v>44090</v>
      </c>
      <c r="V27" s="18">
        <f t="shared" si="0"/>
        <v>16</v>
      </c>
      <c r="W27" s="19" t="str">
        <f t="shared" si="1"/>
        <v>Detectável</v>
      </c>
    </row>
    <row r="28" spans="1:23" ht="24.75" customHeight="1" x14ac:dyDescent="0.2">
      <c r="A28" s="10">
        <v>27</v>
      </c>
      <c r="B28" s="11" t="s">
        <v>110</v>
      </c>
      <c r="C28" s="12" t="s">
        <v>111</v>
      </c>
      <c r="D28" s="10">
        <v>79</v>
      </c>
      <c r="E28" s="10" t="s">
        <v>34</v>
      </c>
      <c r="F28" s="13" t="s">
        <v>112</v>
      </c>
      <c r="G28" s="14">
        <v>44085</v>
      </c>
      <c r="H28" s="15" t="s">
        <v>43</v>
      </c>
      <c r="I28" s="15">
        <v>3</v>
      </c>
      <c r="J28" s="14">
        <v>44088</v>
      </c>
      <c r="K28" s="15" t="s">
        <v>75</v>
      </c>
      <c r="L28" s="14">
        <v>44089</v>
      </c>
      <c r="M28" s="16">
        <v>17.399999999999999</v>
      </c>
      <c r="N28" s="16">
        <v>25.5</v>
      </c>
      <c r="O28" s="14" t="s">
        <v>29</v>
      </c>
      <c r="P28" s="15" t="s">
        <v>113</v>
      </c>
      <c r="Q28" s="14">
        <v>44090</v>
      </c>
      <c r="R28" s="16">
        <v>26.1</v>
      </c>
      <c r="S28" s="16">
        <v>25.9</v>
      </c>
      <c r="T28" s="17" t="s">
        <v>29</v>
      </c>
      <c r="U28" s="14">
        <v>44091</v>
      </c>
      <c r="V28" s="18">
        <f t="shared" si="0"/>
        <v>16</v>
      </c>
      <c r="W28" s="19" t="str">
        <f t="shared" si="1"/>
        <v>Detectável</v>
      </c>
    </row>
    <row r="29" spans="1:23" ht="24.75" customHeight="1" x14ac:dyDescent="0.2">
      <c r="A29" s="10">
        <v>28</v>
      </c>
      <c r="B29" s="11" t="s">
        <v>114</v>
      </c>
      <c r="C29" s="12" t="s">
        <v>115</v>
      </c>
      <c r="D29" s="10">
        <v>64</v>
      </c>
      <c r="E29" s="10" t="s">
        <v>25</v>
      </c>
      <c r="F29" s="13" t="s">
        <v>116</v>
      </c>
      <c r="G29" s="14">
        <v>44085</v>
      </c>
      <c r="H29" s="15" t="s">
        <v>43</v>
      </c>
      <c r="I29" s="15">
        <v>3</v>
      </c>
      <c r="J29" s="14">
        <v>44088</v>
      </c>
      <c r="K29" s="15" t="s">
        <v>75</v>
      </c>
      <c r="L29" s="14">
        <v>44089</v>
      </c>
      <c r="M29" s="16">
        <v>17.399999999999999</v>
      </c>
      <c r="N29" s="16">
        <v>25.5</v>
      </c>
      <c r="O29" s="14" t="s">
        <v>29</v>
      </c>
      <c r="P29" s="15" t="s">
        <v>113</v>
      </c>
      <c r="Q29" s="14">
        <v>44090</v>
      </c>
      <c r="R29" s="16">
        <v>19.100000000000001</v>
      </c>
      <c r="S29" s="16">
        <v>25.2</v>
      </c>
      <c r="T29" s="17" t="s">
        <v>29</v>
      </c>
      <c r="U29" s="14">
        <v>44091</v>
      </c>
      <c r="V29" s="18">
        <f t="shared" si="0"/>
        <v>16</v>
      </c>
      <c r="W29" s="19" t="str">
        <f t="shared" si="1"/>
        <v>Detectável</v>
      </c>
    </row>
    <row r="30" spans="1:23" ht="24.75" customHeight="1" x14ac:dyDescent="0.2">
      <c r="A30" s="10">
        <v>29</v>
      </c>
      <c r="B30" s="11" t="s">
        <v>117</v>
      </c>
      <c r="C30" s="12" t="s">
        <v>118</v>
      </c>
      <c r="D30" s="10">
        <v>54</v>
      </c>
      <c r="E30" s="10" t="s">
        <v>25</v>
      </c>
      <c r="F30" s="13" t="s">
        <v>119</v>
      </c>
      <c r="G30" s="14">
        <v>44085</v>
      </c>
      <c r="H30" s="15" t="s">
        <v>43</v>
      </c>
      <c r="I30" s="15">
        <v>3</v>
      </c>
      <c r="J30" s="14">
        <v>44088</v>
      </c>
      <c r="K30" s="15" t="s">
        <v>75</v>
      </c>
      <c r="L30" s="14">
        <v>44089</v>
      </c>
      <c r="M30" s="16">
        <v>17.399999999999999</v>
      </c>
      <c r="N30" s="16">
        <v>25.5</v>
      </c>
      <c r="O30" s="14" t="s">
        <v>29</v>
      </c>
      <c r="P30" s="15" t="s">
        <v>113</v>
      </c>
      <c r="Q30" s="14">
        <v>44090</v>
      </c>
      <c r="R30" s="16" t="s">
        <v>36</v>
      </c>
      <c r="S30" s="16">
        <v>27.2</v>
      </c>
      <c r="T30" s="17" t="s">
        <v>31</v>
      </c>
      <c r="U30" s="14">
        <v>44091</v>
      </c>
      <c r="V30" s="18">
        <f t="shared" si="0"/>
        <v>16</v>
      </c>
      <c r="W30" s="19" t="str">
        <f t="shared" si="1"/>
        <v>Não Detectável</v>
      </c>
    </row>
    <row r="31" spans="1:23" ht="24.75" customHeight="1" x14ac:dyDescent="0.2">
      <c r="A31" s="10">
        <v>30</v>
      </c>
      <c r="B31" s="11" t="s">
        <v>120</v>
      </c>
      <c r="C31" s="12" t="s">
        <v>121</v>
      </c>
      <c r="D31" s="10">
        <v>49</v>
      </c>
      <c r="E31" s="10" t="s">
        <v>25</v>
      </c>
      <c r="F31" s="13" t="s">
        <v>122</v>
      </c>
      <c r="G31" s="14">
        <v>44085</v>
      </c>
      <c r="H31" s="15" t="s">
        <v>27</v>
      </c>
      <c r="I31" s="15">
        <v>2</v>
      </c>
      <c r="J31" s="14">
        <v>44088</v>
      </c>
      <c r="K31" s="15" t="s">
        <v>30</v>
      </c>
      <c r="L31" s="14">
        <v>44088</v>
      </c>
      <c r="M31" s="16">
        <v>25.7</v>
      </c>
      <c r="N31" s="16">
        <v>26</v>
      </c>
      <c r="O31" s="14" t="s">
        <v>29</v>
      </c>
      <c r="P31" s="15" t="s">
        <v>75</v>
      </c>
      <c r="Q31" s="14">
        <v>44089</v>
      </c>
      <c r="R31" s="16" t="s">
        <v>36</v>
      </c>
      <c r="S31" s="16">
        <v>24.4</v>
      </c>
      <c r="T31" s="17" t="s">
        <v>31</v>
      </c>
      <c r="U31" s="14">
        <v>44090</v>
      </c>
      <c r="V31" s="18">
        <f t="shared" si="0"/>
        <v>16</v>
      </c>
      <c r="W31" s="19" t="str">
        <f t="shared" si="1"/>
        <v>Não Detectável</v>
      </c>
    </row>
    <row r="32" spans="1:23" ht="24.75" customHeight="1" x14ac:dyDescent="0.2">
      <c r="A32" s="10">
        <v>31</v>
      </c>
      <c r="B32" s="11" t="s">
        <v>123</v>
      </c>
      <c r="C32" s="12" t="s">
        <v>124</v>
      </c>
      <c r="D32" s="10">
        <v>34</v>
      </c>
      <c r="E32" s="10" t="s">
        <v>34</v>
      </c>
      <c r="F32" s="13" t="s">
        <v>58</v>
      </c>
      <c r="G32" s="14">
        <v>44085</v>
      </c>
      <c r="H32" s="15" t="s">
        <v>27</v>
      </c>
      <c r="I32" s="15">
        <v>2</v>
      </c>
      <c r="J32" s="14">
        <v>44088</v>
      </c>
      <c r="K32" s="15" t="s">
        <v>30</v>
      </c>
      <c r="L32" s="14">
        <v>44088</v>
      </c>
      <c r="M32" s="16">
        <v>25.7</v>
      </c>
      <c r="N32" s="16">
        <v>26</v>
      </c>
      <c r="O32" s="14" t="s">
        <v>29</v>
      </c>
      <c r="P32" s="15" t="s">
        <v>75</v>
      </c>
      <c r="Q32" s="14">
        <v>44089</v>
      </c>
      <c r="R32" s="16" t="s">
        <v>36</v>
      </c>
      <c r="S32" s="16">
        <v>26.6</v>
      </c>
      <c r="T32" s="17" t="s">
        <v>31</v>
      </c>
      <c r="U32" s="14">
        <v>44090</v>
      </c>
      <c r="V32" s="18">
        <f t="shared" si="0"/>
        <v>16</v>
      </c>
      <c r="W32" s="19" t="str">
        <f t="shared" si="1"/>
        <v>Não Detectável</v>
      </c>
    </row>
    <row r="33" spans="1:23" ht="24.75" customHeight="1" x14ac:dyDescent="0.2">
      <c r="A33" s="10">
        <v>32</v>
      </c>
      <c r="B33" s="11" t="s">
        <v>125</v>
      </c>
      <c r="C33" s="12" t="s">
        <v>126</v>
      </c>
      <c r="D33" s="10">
        <v>38</v>
      </c>
      <c r="E33" s="10" t="s">
        <v>25</v>
      </c>
      <c r="F33" s="13" t="s">
        <v>127</v>
      </c>
      <c r="G33" s="14">
        <v>44085</v>
      </c>
      <c r="H33" s="15" t="s">
        <v>43</v>
      </c>
      <c r="I33" s="15">
        <v>3</v>
      </c>
      <c r="J33" s="14">
        <v>44088</v>
      </c>
      <c r="K33" s="15" t="s">
        <v>75</v>
      </c>
      <c r="L33" s="14">
        <v>44089</v>
      </c>
      <c r="M33" s="16">
        <v>17.399999999999999</v>
      </c>
      <c r="N33" s="16">
        <v>25.5</v>
      </c>
      <c r="O33" s="14" t="s">
        <v>29</v>
      </c>
      <c r="P33" s="15" t="s">
        <v>113</v>
      </c>
      <c r="Q33" s="14">
        <v>44090</v>
      </c>
      <c r="R33" s="16" t="s">
        <v>36</v>
      </c>
      <c r="S33" s="16">
        <v>27.4</v>
      </c>
      <c r="T33" s="17" t="s">
        <v>31</v>
      </c>
      <c r="U33" s="14">
        <v>44091</v>
      </c>
      <c r="V33" s="18">
        <f t="shared" si="0"/>
        <v>16</v>
      </c>
      <c r="W33" s="19" t="str">
        <f t="shared" si="1"/>
        <v>Não Detectável</v>
      </c>
    </row>
    <row r="34" spans="1:23" ht="24.75" customHeight="1" x14ac:dyDescent="0.2">
      <c r="A34" s="10">
        <v>33</v>
      </c>
      <c r="B34" s="11" t="s">
        <v>128</v>
      </c>
      <c r="C34" s="12" t="s">
        <v>129</v>
      </c>
      <c r="D34" s="10">
        <v>51</v>
      </c>
      <c r="E34" s="10" t="s">
        <v>25</v>
      </c>
      <c r="F34" s="13" t="s">
        <v>130</v>
      </c>
      <c r="G34" s="14">
        <v>44085</v>
      </c>
      <c r="H34" s="15" t="s">
        <v>43</v>
      </c>
      <c r="I34" s="15">
        <v>3</v>
      </c>
      <c r="J34" s="14">
        <v>44088</v>
      </c>
      <c r="K34" s="15" t="s">
        <v>75</v>
      </c>
      <c r="L34" s="14">
        <v>44089</v>
      </c>
      <c r="M34" s="16">
        <v>17.399999999999999</v>
      </c>
      <c r="N34" s="16">
        <v>25.5</v>
      </c>
      <c r="O34" s="14" t="s">
        <v>29</v>
      </c>
      <c r="P34" s="15" t="s">
        <v>113</v>
      </c>
      <c r="Q34" s="14">
        <v>44090</v>
      </c>
      <c r="R34" s="16" t="s">
        <v>36</v>
      </c>
      <c r="S34" s="16">
        <v>27.6</v>
      </c>
      <c r="T34" s="17" t="s">
        <v>31</v>
      </c>
      <c r="U34" s="14">
        <v>44091</v>
      </c>
      <c r="V34" s="18">
        <f t="shared" si="0"/>
        <v>16</v>
      </c>
      <c r="W34" s="19" t="str">
        <f t="shared" si="1"/>
        <v>Não Detectável</v>
      </c>
    </row>
    <row r="35" spans="1:23" ht="24.75" customHeight="1" x14ac:dyDescent="0.2">
      <c r="A35" s="10">
        <v>34</v>
      </c>
      <c r="B35" s="11" t="s">
        <v>131</v>
      </c>
      <c r="C35" s="12" t="s">
        <v>132</v>
      </c>
      <c r="D35" s="10">
        <v>41</v>
      </c>
      <c r="E35" s="10" t="s">
        <v>34</v>
      </c>
      <c r="F35" s="13" t="s">
        <v>133</v>
      </c>
      <c r="G35" s="14">
        <v>44085</v>
      </c>
      <c r="H35" s="15" t="s">
        <v>27</v>
      </c>
      <c r="I35" s="15">
        <v>2</v>
      </c>
      <c r="J35" s="14">
        <v>44088</v>
      </c>
      <c r="K35" s="15" t="s">
        <v>30</v>
      </c>
      <c r="L35" s="14">
        <v>44088</v>
      </c>
      <c r="M35" s="16">
        <v>25.7</v>
      </c>
      <c r="N35" s="16">
        <v>26</v>
      </c>
      <c r="O35" s="14" t="s">
        <v>29</v>
      </c>
      <c r="P35" s="15" t="s">
        <v>75</v>
      </c>
      <c r="Q35" s="14">
        <v>44089</v>
      </c>
      <c r="R35" s="16" t="s">
        <v>36</v>
      </c>
      <c r="S35" s="16">
        <v>25.6</v>
      </c>
      <c r="T35" s="17" t="s">
        <v>31</v>
      </c>
      <c r="U35" s="14">
        <v>44090</v>
      </c>
      <c r="V35" s="18">
        <f t="shared" si="0"/>
        <v>16</v>
      </c>
      <c r="W35" s="19" t="str">
        <f t="shared" si="1"/>
        <v>Não Detectável</v>
      </c>
    </row>
    <row r="36" spans="1:23" ht="24.75" customHeight="1" x14ac:dyDescent="0.2">
      <c r="A36" s="10">
        <v>35</v>
      </c>
      <c r="B36" s="11" t="s">
        <v>134</v>
      </c>
      <c r="C36" s="12" t="s">
        <v>135</v>
      </c>
      <c r="D36" s="10">
        <v>58</v>
      </c>
      <c r="E36" s="10" t="s">
        <v>34</v>
      </c>
      <c r="F36" s="13" t="s">
        <v>136</v>
      </c>
      <c r="G36" s="14">
        <v>44085</v>
      </c>
      <c r="H36" s="15" t="s">
        <v>43</v>
      </c>
      <c r="I36" s="15">
        <v>3</v>
      </c>
      <c r="J36" s="14">
        <v>44088</v>
      </c>
      <c r="K36" s="15" t="s">
        <v>75</v>
      </c>
      <c r="L36" s="14">
        <v>44089</v>
      </c>
      <c r="M36" s="16">
        <v>17.399999999999999</v>
      </c>
      <c r="N36" s="16">
        <v>25.5</v>
      </c>
      <c r="O36" s="14" t="s">
        <v>29</v>
      </c>
      <c r="P36" s="15" t="s">
        <v>113</v>
      </c>
      <c r="Q36" s="14">
        <v>44090</v>
      </c>
      <c r="R36" s="16" t="s">
        <v>36</v>
      </c>
      <c r="S36" s="16">
        <v>25.9</v>
      </c>
      <c r="T36" s="17" t="s">
        <v>31</v>
      </c>
      <c r="U36" s="14">
        <v>44091</v>
      </c>
      <c r="V36" s="18">
        <f t="shared" si="0"/>
        <v>16</v>
      </c>
      <c r="W36" s="19" t="str">
        <f t="shared" si="1"/>
        <v>Não Detectável</v>
      </c>
    </row>
    <row r="37" spans="1:23" ht="24.75" customHeight="1" x14ac:dyDescent="0.2">
      <c r="A37" s="10">
        <v>36</v>
      </c>
      <c r="B37" s="11" t="s">
        <v>137</v>
      </c>
      <c r="C37" s="12" t="s">
        <v>138</v>
      </c>
      <c r="D37" s="10">
        <v>30</v>
      </c>
      <c r="E37" s="10" t="s">
        <v>34</v>
      </c>
      <c r="F37" s="13" t="s">
        <v>139</v>
      </c>
      <c r="G37" s="14" t="s">
        <v>140</v>
      </c>
      <c r="H37" s="15" t="s">
        <v>27</v>
      </c>
      <c r="I37" s="15" t="s">
        <v>60</v>
      </c>
      <c r="J37" s="14">
        <v>44089</v>
      </c>
      <c r="K37" s="15" t="s">
        <v>60</v>
      </c>
      <c r="L37" s="15" t="s">
        <v>60</v>
      </c>
      <c r="M37" s="16" t="s">
        <v>60</v>
      </c>
      <c r="N37" s="16" t="s">
        <v>60</v>
      </c>
      <c r="O37" s="15" t="s">
        <v>60</v>
      </c>
      <c r="P37" s="15" t="s">
        <v>75</v>
      </c>
      <c r="Q37" s="14">
        <v>44089</v>
      </c>
      <c r="R37" s="16" t="s">
        <v>36</v>
      </c>
      <c r="S37" s="16">
        <v>27</v>
      </c>
      <c r="T37" s="17" t="s">
        <v>31</v>
      </c>
      <c r="U37" s="14">
        <v>44090</v>
      </c>
      <c r="V37" s="18">
        <f t="shared" si="0"/>
        <v>31</v>
      </c>
      <c r="W37" s="19" t="str">
        <f t="shared" si="1"/>
        <v>Não Detectável</v>
      </c>
    </row>
    <row r="38" spans="1:23" ht="24.75" customHeight="1" x14ac:dyDescent="0.2">
      <c r="A38" s="10">
        <v>37</v>
      </c>
      <c r="B38" s="11" t="s">
        <v>141</v>
      </c>
      <c r="C38" s="12" t="s">
        <v>142</v>
      </c>
      <c r="D38" s="10">
        <v>83</v>
      </c>
      <c r="E38" s="10" t="s">
        <v>25</v>
      </c>
      <c r="F38" s="13" t="s">
        <v>143</v>
      </c>
      <c r="G38" s="14" t="s">
        <v>140</v>
      </c>
      <c r="H38" s="15" t="s">
        <v>43</v>
      </c>
      <c r="I38" s="15">
        <v>3</v>
      </c>
      <c r="J38" s="14">
        <v>44089</v>
      </c>
      <c r="K38" s="15" t="s">
        <v>75</v>
      </c>
      <c r="L38" s="14">
        <v>44089</v>
      </c>
      <c r="M38" s="16">
        <v>17.399999999999999</v>
      </c>
      <c r="N38" s="16">
        <v>25.5</v>
      </c>
      <c r="O38" s="14" t="s">
        <v>29</v>
      </c>
      <c r="P38" s="15" t="s">
        <v>113</v>
      </c>
      <c r="Q38" s="14">
        <v>44090</v>
      </c>
      <c r="R38" s="16" t="s">
        <v>36</v>
      </c>
      <c r="S38" s="16">
        <v>25.9</v>
      </c>
      <c r="T38" s="17" t="s">
        <v>31</v>
      </c>
      <c r="U38" s="14">
        <v>44091</v>
      </c>
      <c r="V38" s="18">
        <f t="shared" si="0"/>
        <v>16</v>
      </c>
      <c r="W38" s="19" t="str">
        <f t="shared" si="1"/>
        <v>Não Detectável</v>
      </c>
    </row>
    <row r="39" spans="1:23" ht="24.75" customHeight="1" x14ac:dyDescent="0.2">
      <c r="A39" s="10">
        <v>38</v>
      </c>
      <c r="B39" s="11" t="s">
        <v>144</v>
      </c>
      <c r="C39" s="12" t="s">
        <v>145</v>
      </c>
      <c r="D39" s="10">
        <v>20</v>
      </c>
      <c r="E39" s="10" t="s">
        <v>34</v>
      </c>
      <c r="F39" s="13" t="s">
        <v>146</v>
      </c>
      <c r="G39" s="14" t="s">
        <v>140</v>
      </c>
      <c r="H39" s="15" t="s">
        <v>27</v>
      </c>
      <c r="I39" s="15" t="s">
        <v>60</v>
      </c>
      <c r="J39" s="14">
        <v>44089</v>
      </c>
      <c r="K39" s="15" t="s">
        <v>60</v>
      </c>
      <c r="L39" s="15" t="s">
        <v>60</v>
      </c>
      <c r="M39" s="16" t="s">
        <v>60</v>
      </c>
      <c r="N39" s="16" t="s">
        <v>60</v>
      </c>
      <c r="O39" s="15" t="s">
        <v>60</v>
      </c>
      <c r="P39" s="15" t="s">
        <v>75</v>
      </c>
      <c r="Q39" s="14">
        <v>44089</v>
      </c>
      <c r="R39" s="16" t="s">
        <v>36</v>
      </c>
      <c r="S39" s="16">
        <v>25</v>
      </c>
      <c r="T39" s="17" t="s">
        <v>31</v>
      </c>
      <c r="U39" s="14">
        <v>44090</v>
      </c>
      <c r="V39" s="18">
        <f t="shared" si="0"/>
        <v>31</v>
      </c>
      <c r="W39" s="19" t="str">
        <f t="shared" si="1"/>
        <v>Não Detectável</v>
      </c>
    </row>
    <row r="40" spans="1:23" ht="24.75" customHeight="1" x14ac:dyDescent="0.2">
      <c r="A40" s="10">
        <v>39</v>
      </c>
      <c r="B40" s="11" t="s">
        <v>147</v>
      </c>
      <c r="C40" s="12" t="s">
        <v>148</v>
      </c>
      <c r="D40" s="10">
        <v>33</v>
      </c>
      <c r="E40" s="10" t="s">
        <v>25</v>
      </c>
      <c r="F40" s="13" t="s">
        <v>149</v>
      </c>
      <c r="G40" s="14" t="s">
        <v>140</v>
      </c>
      <c r="H40" s="15" t="s">
        <v>27</v>
      </c>
      <c r="I40" s="15" t="s">
        <v>60</v>
      </c>
      <c r="J40" s="14">
        <v>44089</v>
      </c>
      <c r="K40" s="15" t="s">
        <v>60</v>
      </c>
      <c r="L40" s="15" t="s">
        <v>60</v>
      </c>
      <c r="M40" s="16" t="s">
        <v>60</v>
      </c>
      <c r="N40" s="16" t="s">
        <v>60</v>
      </c>
      <c r="O40" s="15" t="s">
        <v>60</v>
      </c>
      <c r="P40" s="15" t="s">
        <v>75</v>
      </c>
      <c r="Q40" s="14">
        <v>44089</v>
      </c>
      <c r="R40" s="16">
        <v>18</v>
      </c>
      <c r="S40" s="16">
        <v>25</v>
      </c>
      <c r="T40" s="17" t="s">
        <v>29</v>
      </c>
      <c r="U40" s="14">
        <v>44090</v>
      </c>
      <c r="V40" s="18">
        <f t="shared" si="0"/>
        <v>31</v>
      </c>
      <c r="W40" s="19" t="str">
        <f t="shared" si="1"/>
        <v>Detectável</v>
      </c>
    </row>
    <row r="41" spans="1:23" ht="24.75" customHeight="1" x14ac:dyDescent="0.2">
      <c r="A41" s="10">
        <v>40</v>
      </c>
      <c r="B41" s="11" t="s">
        <v>150</v>
      </c>
      <c r="C41" s="12" t="s">
        <v>151</v>
      </c>
      <c r="D41" s="10">
        <v>35</v>
      </c>
      <c r="E41" s="10" t="s">
        <v>34</v>
      </c>
      <c r="F41" s="13" t="s">
        <v>152</v>
      </c>
      <c r="G41" s="14" t="s">
        <v>140</v>
      </c>
      <c r="H41" s="15" t="s">
        <v>27</v>
      </c>
      <c r="I41" s="15" t="s">
        <v>60</v>
      </c>
      <c r="J41" s="14">
        <v>44089</v>
      </c>
      <c r="K41" s="15" t="s">
        <v>60</v>
      </c>
      <c r="L41" s="15" t="s">
        <v>60</v>
      </c>
      <c r="M41" s="16" t="s">
        <v>60</v>
      </c>
      <c r="N41" s="16" t="s">
        <v>60</v>
      </c>
      <c r="O41" s="15" t="s">
        <v>60</v>
      </c>
      <c r="P41" s="15" t="s">
        <v>75</v>
      </c>
      <c r="Q41" s="14">
        <v>44089</v>
      </c>
      <c r="R41" s="16" t="s">
        <v>36</v>
      </c>
      <c r="S41" s="16">
        <v>24.5</v>
      </c>
      <c r="T41" s="17" t="s">
        <v>31</v>
      </c>
      <c r="U41" s="14">
        <v>44090</v>
      </c>
      <c r="V41" s="18">
        <f t="shared" si="0"/>
        <v>31</v>
      </c>
      <c r="W41" s="19" t="str">
        <f t="shared" si="1"/>
        <v>Não Detectável</v>
      </c>
    </row>
    <row r="42" spans="1:23" ht="24.75" customHeight="1" x14ac:dyDescent="0.2">
      <c r="A42" s="10">
        <v>41</v>
      </c>
      <c r="B42" s="11" t="s">
        <v>153</v>
      </c>
      <c r="C42" s="12" t="s">
        <v>154</v>
      </c>
      <c r="D42" s="10">
        <v>39</v>
      </c>
      <c r="E42" s="10" t="s">
        <v>34</v>
      </c>
      <c r="F42" s="13" t="s">
        <v>155</v>
      </c>
      <c r="G42" s="14" t="s">
        <v>140</v>
      </c>
      <c r="H42" s="15" t="s">
        <v>27</v>
      </c>
      <c r="I42" s="15" t="s">
        <v>60</v>
      </c>
      <c r="J42" s="14">
        <v>44089</v>
      </c>
      <c r="K42" s="15" t="s">
        <v>60</v>
      </c>
      <c r="L42" s="15" t="s">
        <v>60</v>
      </c>
      <c r="M42" s="16" t="s">
        <v>60</v>
      </c>
      <c r="N42" s="16" t="s">
        <v>60</v>
      </c>
      <c r="O42" s="15" t="s">
        <v>60</v>
      </c>
      <c r="P42" s="15" t="s">
        <v>75</v>
      </c>
      <c r="Q42" s="14">
        <v>44089</v>
      </c>
      <c r="R42" s="16">
        <v>24</v>
      </c>
      <c r="S42" s="16">
        <v>26.6</v>
      </c>
      <c r="T42" s="17" t="s">
        <v>29</v>
      </c>
      <c r="U42" s="14">
        <v>44090</v>
      </c>
      <c r="V42" s="18">
        <f t="shared" si="0"/>
        <v>31</v>
      </c>
      <c r="W42" s="19" t="str">
        <f t="shared" si="1"/>
        <v>Detectável</v>
      </c>
    </row>
    <row r="43" spans="1:23" ht="24.75" customHeight="1" x14ac:dyDescent="0.2">
      <c r="A43" s="10">
        <v>42</v>
      </c>
      <c r="B43" s="11" t="s">
        <v>156</v>
      </c>
      <c r="C43" s="12" t="s">
        <v>157</v>
      </c>
      <c r="D43" s="10">
        <v>46</v>
      </c>
      <c r="E43" s="10" t="s">
        <v>25</v>
      </c>
      <c r="F43" s="13" t="s">
        <v>152</v>
      </c>
      <c r="G43" s="14" t="s">
        <v>140</v>
      </c>
      <c r="H43" s="15" t="s">
        <v>43</v>
      </c>
      <c r="I43" s="15">
        <v>3</v>
      </c>
      <c r="J43" s="14">
        <v>44089</v>
      </c>
      <c r="K43" s="15" t="s">
        <v>75</v>
      </c>
      <c r="L43" s="14">
        <v>44089</v>
      </c>
      <c r="M43" s="16">
        <v>17.399999999999999</v>
      </c>
      <c r="N43" s="16">
        <v>25.5</v>
      </c>
      <c r="O43" s="14" t="s">
        <v>29</v>
      </c>
      <c r="P43" s="15" t="s">
        <v>113</v>
      </c>
      <c r="Q43" s="14">
        <v>44090</v>
      </c>
      <c r="R43" s="16" t="s">
        <v>36</v>
      </c>
      <c r="S43" s="16">
        <v>25.2</v>
      </c>
      <c r="T43" s="17" t="s">
        <v>31</v>
      </c>
      <c r="U43" s="14">
        <v>44091</v>
      </c>
      <c r="V43" s="18">
        <f t="shared" si="0"/>
        <v>16</v>
      </c>
      <c r="W43" s="19" t="str">
        <f t="shared" si="1"/>
        <v>Não Detectável</v>
      </c>
    </row>
    <row r="44" spans="1:23" ht="24.75" customHeight="1" x14ac:dyDescent="0.2">
      <c r="A44" s="10">
        <v>43</v>
      </c>
      <c r="B44" s="11" t="s">
        <v>158</v>
      </c>
      <c r="C44" s="12" t="s">
        <v>159</v>
      </c>
      <c r="D44" s="10">
        <v>30</v>
      </c>
      <c r="E44" s="10" t="s">
        <v>34</v>
      </c>
      <c r="F44" s="13" t="s">
        <v>58</v>
      </c>
      <c r="G44" s="14" t="s">
        <v>140</v>
      </c>
      <c r="H44" s="15" t="s">
        <v>59</v>
      </c>
      <c r="I44" s="15" t="s">
        <v>60</v>
      </c>
      <c r="J44" s="14">
        <v>44089</v>
      </c>
      <c r="K44" s="15" t="s">
        <v>60</v>
      </c>
      <c r="L44" s="15" t="s">
        <v>60</v>
      </c>
      <c r="M44" s="16" t="s">
        <v>60</v>
      </c>
      <c r="N44" s="16" t="s">
        <v>60</v>
      </c>
      <c r="O44" s="15" t="s">
        <v>60</v>
      </c>
      <c r="P44" s="15" t="s">
        <v>75</v>
      </c>
      <c r="Q44" s="14">
        <v>44089</v>
      </c>
      <c r="R44" s="16" t="s">
        <v>36</v>
      </c>
      <c r="S44" s="16">
        <v>24.2</v>
      </c>
      <c r="T44" s="17" t="s">
        <v>31</v>
      </c>
      <c r="U44" s="14">
        <v>44090</v>
      </c>
      <c r="V44" s="18">
        <f t="shared" si="0"/>
        <v>31</v>
      </c>
      <c r="W44" s="19" t="str">
        <f t="shared" si="1"/>
        <v>Não Detectável</v>
      </c>
    </row>
    <row r="45" spans="1:23" ht="24.75" customHeight="1" x14ac:dyDescent="0.2">
      <c r="A45" s="10">
        <v>44</v>
      </c>
      <c r="B45" s="11" t="s">
        <v>160</v>
      </c>
      <c r="C45" s="12" t="s">
        <v>161</v>
      </c>
      <c r="D45" s="10">
        <v>60</v>
      </c>
      <c r="E45" s="10" t="s">
        <v>34</v>
      </c>
      <c r="F45" s="13" t="s">
        <v>162</v>
      </c>
      <c r="G45" s="14" t="s">
        <v>140</v>
      </c>
      <c r="H45" s="15" t="s">
        <v>43</v>
      </c>
      <c r="I45" s="15">
        <v>3</v>
      </c>
      <c r="J45" s="14">
        <v>44089</v>
      </c>
      <c r="K45" s="15" t="s">
        <v>75</v>
      </c>
      <c r="L45" s="14">
        <v>44089</v>
      </c>
      <c r="M45" s="16">
        <v>17.399999999999999</v>
      </c>
      <c r="N45" s="16">
        <v>25.5</v>
      </c>
      <c r="O45" s="14" t="s">
        <v>29</v>
      </c>
      <c r="P45" s="15" t="s">
        <v>113</v>
      </c>
      <c r="Q45" s="14">
        <v>44090</v>
      </c>
      <c r="R45" s="16" t="s">
        <v>36</v>
      </c>
      <c r="S45" s="16">
        <v>24.9</v>
      </c>
      <c r="T45" s="17" t="s">
        <v>31</v>
      </c>
      <c r="U45" s="14">
        <v>44091</v>
      </c>
      <c r="V45" s="18">
        <f t="shared" si="0"/>
        <v>16</v>
      </c>
      <c r="W45" s="19" t="str">
        <f t="shared" si="1"/>
        <v>Não Detectável</v>
      </c>
    </row>
    <row r="46" spans="1:23" ht="24.75" customHeight="1" x14ac:dyDescent="0.2">
      <c r="A46" s="10">
        <v>45</v>
      </c>
      <c r="B46" s="11" t="s">
        <v>163</v>
      </c>
      <c r="C46" s="12" t="s">
        <v>164</v>
      </c>
      <c r="D46" s="10">
        <v>24</v>
      </c>
      <c r="E46" s="10" t="s">
        <v>25</v>
      </c>
      <c r="F46" s="13" t="s">
        <v>165</v>
      </c>
      <c r="G46" s="14" t="s">
        <v>140</v>
      </c>
      <c r="H46" s="15" t="s">
        <v>43</v>
      </c>
      <c r="I46" s="15">
        <v>3</v>
      </c>
      <c r="J46" s="14">
        <v>44089</v>
      </c>
      <c r="K46" s="15" t="s">
        <v>75</v>
      </c>
      <c r="L46" s="14">
        <v>44089</v>
      </c>
      <c r="M46" s="16">
        <v>17.399999999999999</v>
      </c>
      <c r="N46" s="16">
        <v>25.5</v>
      </c>
      <c r="O46" s="14" t="s">
        <v>29</v>
      </c>
      <c r="P46" s="15" t="s">
        <v>113</v>
      </c>
      <c r="Q46" s="14">
        <v>44090</v>
      </c>
      <c r="R46" s="16" t="s">
        <v>36</v>
      </c>
      <c r="S46" s="16">
        <v>24.4</v>
      </c>
      <c r="T46" s="17" t="s">
        <v>31</v>
      </c>
      <c r="U46" s="14">
        <v>44091</v>
      </c>
      <c r="V46" s="18">
        <f t="shared" si="0"/>
        <v>16</v>
      </c>
      <c r="W46" s="19" t="str">
        <f t="shared" si="1"/>
        <v>Não Detectável</v>
      </c>
    </row>
    <row r="47" spans="1:23" ht="24.75" customHeight="1" x14ac:dyDescent="0.2">
      <c r="A47" s="10">
        <v>46</v>
      </c>
      <c r="B47" s="11" t="s">
        <v>166</v>
      </c>
      <c r="C47" s="12" t="s">
        <v>167</v>
      </c>
      <c r="D47" s="10">
        <v>27</v>
      </c>
      <c r="E47" s="10" t="s">
        <v>34</v>
      </c>
      <c r="F47" s="13" t="s">
        <v>168</v>
      </c>
      <c r="G47" s="14" t="s">
        <v>140</v>
      </c>
      <c r="H47" s="15" t="s">
        <v>43</v>
      </c>
      <c r="I47" s="15">
        <v>3</v>
      </c>
      <c r="J47" s="14">
        <v>44089</v>
      </c>
      <c r="K47" s="15" t="s">
        <v>75</v>
      </c>
      <c r="L47" s="14">
        <v>44089</v>
      </c>
      <c r="M47" s="16">
        <v>17.399999999999999</v>
      </c>
      <c r="N47" s="16">
        <v>25.5</v>
      </c>
      <c r="O47" s="14" t="s">
        <v>29</v>
      </c>
      <c r="P47" s="15" t="s">
        <v>113</v>
      </c>
      <c r="Q47" s="14">
        <v>44090</v>
      </c>
      <c r="R47" s="16">
        <v>20.9</v>
      </c>
      <c r="S47" s="16">
        <v>25.7</v>
      </c>
      <c r="T47" s="17" t="s">
        <v>29</v>
      </c>
      <c r="U47" s="14">
        <v>44091</v>
      </c>
      <c r="V47" s="18">
        <f t="shared" si="0"/>
        <v>16</v>
      </c>
      <c r="W47" s="19" t="str">
        <f t="shared" si="1"/>
        <v>Detectável</v>
      </c>
    </row>
    <row r="48" spans="1:23" ht="24.75" customHeight="1" x14ac:dyDescent="0.2">
      <c r="A48" s="10">
        <v>47</v>
      </c>
      <c r="B48" s="11" t="s">
        <v>169</v>
      </c>
      <c r="C48" s="12" t="s">
        <v>170</v>
      </c>
      <c r="D48" s="10">
        <v>25</v>
      </c>
      <c r="E48" s="10" t="s">
        <v>34</v>
      </c>
      <c r="F48" s="13" t="s">
        <v>171</v>
      </c>
      <c r="G48" s="14" t="s">
        <v>140</v>
      </c>
      <c r="H48" s="15" t="s">
        <v>43</v>
      </c>
      <c r="I48" s="15">
        <v>3</v>
      </c>
      <c r="J48" s="14">
        <v>44089</v>
      </c>
      <c r="K48" s="15" t="s">
        <v>75</v>
      </c>
      <c r="L48" s="14">
        <v>44089</v>
      </c>
      <c r="M48" s="16">
        <v>17.399999999999999</v>
      </c>
      <c r="N48" s="16">
        <v>25.5</v>
      </c>
      <c r="O48" s="14" t="s">
        <v>29</v>
      </c>
      <c r="P48" s="15" t="s">
        <v>113</v>
      </c>
      <c r="Q48" s="14">
        <v>44090</v>
      </c>
      <c r="R48" s="16">
        <v>17.8</v>
      </c>
      <c r="S48" s="16">
        <v>25.5</v>
      </c>
      <c r="T48" s="17" t="s">
        <v>29</v>
      </c>
      <c r="U48" s="14">
        <v>44091</v>
      </c>
      <c r="V48" s="18">
        <f t="shared" si="0"/>
        <v>16</v>
      </c>
      <c r="W48" s="19" t="str">
        <f t="shared" si="1"/>
        <v>Detectável</v>
      </c>
    </row>
    <row r="49" spans="1:23" ht="24.75" customHeight="1" x14ac:dyDescent="0.2">
      <c r="A49" s="10">
        <v>48</v>
      </c>
      <c r="B49" s="11" t="s">
        <v>172</v>
      </c>
      <c r="C49" s="12" t="s">
        <v>173</v>
      </c>
      <c r="D49" s="10">
        <v>81</v>
      </c>
      <c r="E49" s="10" t="s">
        <v>25</v>
      </c>
      <c r="F49" s="13" t="s">
        <v>60</v>
      </c>
      <c r="G49" s="14" t="s">
        <v>140</v>
      </c>
      <c r="H49" s="15" t="s">
        <v>59</v>
      </c>
      <c r="I49" s="15" t="s">
        <v>60</v>
      </c>
      <c r="J49" s="14">
        <v>44089</v>
      </c>
      <c r="K49" s="15" t="s">
        <v>60</v>
      </c>
      <c r="L49" s="15" t="s">
        <v>60</v>
      </c>
      <c r="M49" s="16" t="s">
        <v>60</v>
      </c>
      <c r="N49" s="16" t="s">
        <v>60</v>
      </c>
      <c r="O49" s="15" t="s">
        <v>60</v>
      </c>
      <c r="P49" s="15" t="s">
        <v>75</v>
      </c>
      <c r="Q49" s="14">
        <v>44089</v>
      </c>
      <c r="R49" s="16">
        <v>24.8</v>
      </c>
      <c r="S49" s="16">
        <v>26.4</v>
      </c>
      <c r="T49" s="17" t="s">
        <v>29</v>
      </c>
      <c r="U49" s="14">
        <v>44090</v>
      </c>
      <c r="V49" s="18">
        <f t="shared" si="0"/>
        <v>31</v>
      </c>
      <c r="W49" s="19" t="str">
        <f t="shared" si="1"/>
        <v>Detectável</v>
      </c>
    </row>
    <row r="50" spans="1:23" ht="24.75" customHeight="1" x14ac:dyDescent="0.2">
      <c r="A50" s="10">
        <v>49</v>
      </c>
      <c r="B50" s="11" t="s">
        <v>174</v>
      </c>
      <c r="C50" s="12" t="s">
        <v>175</v>
      </c>
      <c r="D50" s="10">
        <v>31</v>
      </c>
      <c r="E50" s="10" t="s">
        <v>25</v>
      </c>
      <c r="F50" s="13" t="s">
        <v>176</v>
      </c>
      <c r="G50" s="14" t="s">
        <v>140</v>
      </c>
      <c r="H50" s="15" t="s">
        <v>43</v>
      </c>
      <c r="I50" s="15">
        <v>3</v>
      </c>
      <c r="J50" s="14">
        <v>44089</v>
      </c>
      <c r="K50" s="15" t="s">
        <v>75</v>
      </c>
      <c r="L50" s="14">
        <v>44089</v>
      </c>
      <c r="M50" s="16">
        <v>17.399999999999999</v>
      </c>
      <c r="N50" s="16">
        <v>25.5</v>
      </c>
      <c r="O50" s="14" t="s">
        <v>29</v>
      </c>
      <c r="P50" s="15" t="s">
        <v>113</v>
      </c>
      <c r="Q50" s="14">
        <v>44090</v>
      </c>
      <c r="R50" s="16" t="s">
        <v>36</v>
      </c>
      <c r="S50" s="16">
        <v>26.5</v>
      </c>
      <c r="T50" s="17" t="s">
        <v>31</v>
      </c>
      <c r="U50" s="14">
        <v>44091</v>
      </c>
      <c r="V50" s="18">
        <f t="shared" si="0"/>
        <v>16</v>
      </c>
      <c r="W50" s="19" t="str">
        <f t="shared" si="1"/>
        <v>Não Detectável</v>
      </c>
    </row>
    <row r="51" spans="1:23" ht="24.75" customHeight="1" x14ac:dyDescent="0.2">
      <c r="A51" s="10">
        <v>50</v>
      </c>
      <c r="B51" s="11" t="s">
        <v>177</v>
      </c>
      <c r="C51" s="12" t="s">
        <v>178</v>
      </c>
      <c r="D51" s="10">
        <v>45</v>
      </c>
      <c r="E51" s="10" t="s">
        <v>25</v>
      </c>
      <c r="F51" s="13" t="s">
        <v>179</v>
      </c>
      <c r="G51" s="14" t="s">
        <v>140</v>
      </c>
      <c r="H51" s="15" t="s">
        <v>43</v>
      </c>
      <c r="I51" s="15">
        <v>3</v>
      </c>
      <c r="J51" s="14">
        <v>44089</v>
      </c>
      <c r="K51" s="15" t="s">
        <v>75</v>
      </c>
      <c r="L51" s="14">
        <v>44089</v>
      </c>
      <c r="M51" s="16">
        <v>17.399999999999999</v>
      </c>
      <c r="N51" s="16">
        <v>25.5</v>
      </c>
      <c r="O51" s="14" t="s">
        <v>29</v>
      </c>
      <c r="P51" s="15" t="s">
        <v>113</v>
      </c>
      <c r="Q51" s="14">
        <v>44090</v>
      </c>
      <c r="R51" s="16" t="s">
        <v>36</v>
      </c>
      <c r="S51" s="16">
        <v>25.7</v>
      </c>
      <c r="T51" s="17" t="s">
        <v>31</v>
      </c>
      <c r="U51" s="14">
        <v>44091</v>
      </c>
      <c r="V51" s="18">
        <f t="shared" si="0"/>
        <v>16</v>
      </c>
      <c r="W51" s="19" t="str">
        <f t="shared" si="1"/>
        <v>Não Detectável</v>
      </c>
    </row>
    <row r="52" spans="1:23" ht="24.75" customHeight="1" x14ac:dyDescent="0.2">
      <c r="A52" s="10">
        <v>51</v>
      </c>
      <c r="B52" s="11" t="s">
        <v>180</v>
      </c>
      <c r="C52" s="12" t="s">
        <v>181</v>
      </c>
      <c r="D52" s="10">
        <v>21</v>
      </c>
      <c r="E52" s="10" t="s">
        <v>25</v>
      </c>
      <c r="F52" s="13" t="s">
        <v>182</v>
      </c>
      <c r="G52" s="14" t="s">
        <v>140</v>
      </c>
      <c r="H52" s="15" t="s">
        <v>43</v>
      </c>
      <c r="I52" s="15">
        <v>3</v>
      </c>
      <c r="J52" s="14">
        <v>44089</v>
      </c>
      <c r="K52" s="15" t="s">
        <v>75</v>
      </c>
      <c r="L52" s="14">
        <v>44089</v>
      </c>
      <c r="M52" s="16">
        <v>17.399999999999999</v>
      </c>
      <c r="N52" s="16">
        <v>25.5</v>
      </c>
      <c r="O52" s="14" t="s">
        <v>29</v>
      </c>
      <c r="P52" s="15" t="s">
        <v>113</v>
      </c>
      <c r="Q52" s="14">
        <v>44090</v>
      </c>
      <c r="R52" s="16" t="s">
        <v>36</v>
      </c>
      <c r="S52" s="16">
        <v>23.5</v>
      </c>
      <c r="T52" s="17" t="s">
        <v>31</v>
      </c>
      <c r="U52" s="14">
        <v>44091</v>
      </c>
      <c r="V52" s="18">
        <f t="shared" si="0"/>
        <v>16</v>
      </c>
      <c r="W52" s="19" t="str">
        <f t="shared" si="1"/>
        <v>Não Detectável</v>
      </c>
    </row>
    <row r="53" spans="1:23" ht="24.75" customHeight="1" x14ac:dyDescent="0.2">
      <c r="A53" s="10">
        <v>52</v>
      </c>
      <c r="B53" s="11" t="s">
        <v>183</v>
      </c>
      <c r="C53" s="12" t="s">
        <v>184</v>
      </c>
      <c r="D53" s="10">
        <v>58</v>
      </c>
      <c r="E53" s="10" t="s">
        <v>25</v>
      </c>
      <c r="F53" s="13" t="s">
        <v>185</v>
      </c>
      <c r="G53" s="14" t="s">
        <v>140</v>
      </c>
      <c r="H53" s="15" t="s">
        <v>27</v>
      </c>
      <c r="I53" s="15" t="s">
        <v>60</v>
      </c>
      <c r="J53" s="14">
        <v>44089</v>
      </c>
      <c r="K53" s="15" t="s">
        <v>60</v>
      </c>
      <c r="L53" s="15" t="s">
        <v>60</v>
      </c>
      <c r="M53" s="16" t="s">
        <v>60</v>
      </c>
      <c r="N53" s="16" t="s">
        <v>60</v>
      </c>
      <c r="O53" s="15" t="s">
        <v>60</v>
      </c>
      <c r="P53" s="15" t="s">
        <v>75</v>
      </c>
      <c r="Q53" s="14">
        <v>44089</v>
      </c>
      <c r="R53" s="16" t="s">
        <v>36</v>
      </c>
      <c r="S53" s="16">
        <v>23.8</v>
      </c>
      <c r="T53" s="17" t="s">
        <v>31</v>
      </c>
      <c r="U53" s="14">
        <v>44090</v>
      </c>
      <c r="V53" s="18">
        <f t="shared" si="0"/>
        <v>31</v>
      </c>
      <c r="W53" s="19" t="str">
        <f t="shared" si="1"/>
        <v>Não Detectável</v>
      </c>
    </row>
    <row r="54" spans="1:23" ht="24.75" customHeight="1" x14ac:dyDescent="0.2">
      <c r="A54" s="10">
        <v>53</v>
      </c>
      <c r="B54" s="11" t="s">
        <v>186</v>
      </c>
      <c r="C54" s="12" t="s">
        <v>187</v>
      </c>
      <c r="D54" s="10">
        <v>50</v>
      </c>
      <c r="E54" s="10" t="s">
        <v>34</v>
      </c>
      <c r="F54" s="13" t="s">
        <v>188</v>
      </c>
      <c r="G54" s="14" t="s">
        <v>140</v>
      </c>
      <c r="H54" s="15" t="s">
        <v>27</v>
      </c>
      <c r="I54" s="15" t="s">
        <v>60</v>
      </c>
      <c r="J54" s="14">
        <v>44089</v>
      </c>
      <c r="K54" s="15" t="s">
        <v>60</v>
      </c>
      <c r="L54" s="15" t="s">
        <v>60</v>
      </c>
      <c r="M54" s="16" t="s">
        <v>60</v>
      </c>
      <c r="N54" s="16" t="s">
        <v>60</v>
      </c>
      <c r="O54" s="15" t="s">
        <v>60</v>
      </c>
      <c r="P54" s="15" t="s">
        <v>75</v>
      </c>
      <c r="Q54" s="14">
        <v>44089</v>
      </c>
      <c r="R54" s="16">
        <v>30</v>
      </c>
      <c r="S54" s="16">
        <v>25.7</v>
      </c>
      <c r="T54" s="17" t="s">
        <v>29</v>
      </c>
      <c r="U54" s="14">
        <v>44090</v>
      </c>
      <c r="V54" s="18">
        <f t="shared" si="0"/>
        <v>31</v>
      </c>
      <c r="W54" s="19" t="str">
        <f t="shared" si="1"/>
        <v>Detectável</v>
      </c>
    </row>
    <row r="55" spans="1:23" ht="24.75" customHeight="1" x14ac:dyDescent="0.2">
      <c r="A55" s="10">
        <v>54</v>
      </c>
      <c r="B55" s="11" t="s">
        <v>189</v>
      </c>
      <c r="C55" s="12" t="s">
        <v>190</v>
      </c>
      <c r="D55" s="10">
        <v>61</v>
      </c>
      <c r="E55" s="10" t="s">
        <v>34</v>
      </c>
      <c r="F55" s="13" t="s">
        <v>191</v>
      </c>
      <c r="G55" s="14" t="s">
        <v>140</v>
      </c>
      <c r="H55" s="15" t="s">
        <v>43</v>
      </c>
      <c r="I55" s="15">
        <v>3</v>
      </c>
      <c r="J55" s="14">
        <v>44089</v>
      </c>
      <c r="K55" s="15" t="s">
        <v>75</v>
      </c>
      <c r="L55" s="14">
        <v>44089</v>
      </c>
      <c r="M55" s="16">
        <v>17.399999999999999</v>
      </c>
      <c r="N55" s="16">
        <v>25.5</v>
      </c>
      <c r="O55" s="14" t="s">
        <v>29</v>
      </c>
      <c r="P55" s="15" t="s">
        <v>113</v>
      </c>
      <c r="Q55" s="14">
        <v>44090</v>
      </c>
      <c r="R55" s="16">
        <v>12.2</v>
      </c>
      <c r="S55" s="16">
        <v>23.9</v>
      </c>
      <c r="T55" s="17" t="s">
        <v>29</v>
      </c>
      <c r="U55" s="14">
        <v>44091</v>
      </c>
      <c r="V55" s="18">
        <f t="shared" si="0"/>
        <v>16</v>
      </c>
      <c r="W55" s="19" t="str">
        <f t="shared" si="1"/>
        <v>Detectável</v>
      </c>
    </row>
    <row r="56" spans="1:23" ht="24.75" customHeight="1" x14ac:dyDescent="0.2">
      <c r="A56" s="10">
        <v>55</v>
      </c>
      <c r="B56" s="11" t="s">
        <v>192</v>
      </c>
      <c r="C56" s="12" t="s">
        <v>193</v>
      </c>
      <c r="D56" s="10">
        <v>21</v>
      </c>
      <c r="E56" s="10" t="s">
        <v>25</v>
      </c>
      <c r="F56" s="13" t="s">
        <v>194</v>
      </c>
      <c r="G56" s="14" t="s">
        <v>140</v>
      </c>
      <c r="H56" s="15" t="s">
        <v>43</v>
      </c>
      <c r="I56" s="15" t="s">
        <v>60</v>
      </c>
      <c r="J56" s="14">
        <v>44089</v>
      </c>
      <c r="K56" s="15" t="s">
        <v>60</v>
      </c>
      <c r="L56" s="15" t="s">
        <v>60</v>
      </c>
      <c r="M56" s="16" t="s">
        <v>60</v>
      </c>
      <c r="N56" s="16" t="s">
        <v>60</v>
      </c>
      <c r="O56" s="15" t="s">
        <v>60</v>
      </c>
      <c r="P56" s="15" t="s">
        <v>75</v>
      </c>
      <c r="Q56" s="14">
        <v>44089</v>
      </c>
      <c r="R56" s="16" t="s">
        <v>36</v>
      </c>
      <c r="S56" s="16">
        <v>25.6</v>
      </c>
      <c r="T56" s="17" t="s">
        <v>31</v>
      </c>
      <c r="U56" s="14">
        <v>44090</v>
      </c>
      <c r="V56" s="18">
        <f t="shared" si="0"/>
        <v>31</v>
      </c>
      <c r="W56" s="19" t="str">
        <f t="shared" si="1"/>
        <v>Não Detectável</v>
      </c>
    </row>
    <row r="57" spans="1:23" ht="24.75" customHeight="1" x14ac:dyDescent="0.2">
      <c r="A57" s="10">
        <v>56</v>
      </c>
      <c r="B57" s="11" t="s">
        <v>195</v>
      </c>
      <c r="C57" s="12" t="s">
        <v>196</v>
      </c>
      <c r="D57" s="10">
        <v>22</v>
      </c>
      <c r="E57" s="10" t="s">
        <v>25</v>
      </c>
      <c r="F57" s="13" t="s">
        <v>197</v>
      </c>
      <c r="G57" s="14" t="s">
        <v>140</v>
      </c>
      <c r="H57" s="15" t="s">
        <v>27</v>
      </c>
      <c r="I57" s="15" t="s">
        <v>60</v>
      </c>
      <c r="J57" s="14">
        <v>44089</v>
      </c>
      <c r="K57" s="15" t="s">
        <v>60</v>
      </c>
      <c r="L57" s="15" t="s">
        <v>60</v>
      </c>
      <c r="M57" s="16" t="s">
        <v>60</v>
      </c>
      <c r="N57" s="16" t="s">
        <v>60</v>
      </c>
      <c r="O57" s="15" t="s">
        <v>60</v>
      </c>
      <c r="P57" s="15" t="s">
        <v>75</v>
      </c>
      <c r="Q57" s="14">
        <v>44089</v>
      </c>
      <c r="R57" s="16" t="s">
        <v>36</v>
      </c>
      <c r="S57" s="16">
        <v>25.7</v>
      </c>
      <c r="T57" s="17" t="s">
        <v>31</v>
      </c>
      <c r="U57" s="14">
        <v>44090</v>
      </c>
      <c r="V57" s="18">
        <f t="shared" si="0"/>
        <v>31</v>
      </c>
      <c r="W57" s="19" t="str">
        <f t="shared" si="1"/>
        <v>Não Detectável</v>
      </c>
    </row>
    <row r="58" spans="1:23" ht="24.75" customHeight="1" x14ac:dyDescent="0.2">
      <c r="A58" s="10">
        <v>57</v>
      </c>
      <c r="B58" s="11" t="s">
        <v>198</v>
      </c>
      <c r="C58" s="12" t="s">
        <v>199</v>
      </c>
      <c r="D58" s="10">
        <v>41</v>
      </c>
      <c r="E58" s="10" t="s">
        <v>34</v>
      </c>
      <c r="F58" s="13" t="s">
        <v>200</v>
      </c>
      <c r="G58" s="14" t="s">
        <v>140</v>
      </c>
      <c r="H58" s="15" t="s">
        <v>27</v>
      </c>
      <c r="I58" s="15" t="s">
        <v>60</v>
      </c>
      <c r="J58" s="14">
        <v>44089</v>
      </c>
      <c r="K58" s="15" t="s">
        <v>60</v>
      </c>
      <c r="L58" s="15" t="s">
        <v>60</v>
      </c>
      <c r="M58" s="16" t="s">
        <v>60</v>
      </c>
      <c r="N58" s="16" t="s">
        <v>60</v>
      </c>
      <c r="O58" s="15" t="s">
        <v>60</v>
      </c>
      <c r="P58" s="15" t="s">
        <v>75</v>
      </c>
      <c r="Q58" s="14">
        <v>44089</v>
      </c>
      <c r="R58" s="16" t="s">
        <v>36</v>
      </c>
      <c r="S58" s="16" t="s">
        <v>36</v>
      </c>
      <c r="T58" s="17" t="s">
        <v>201</v>
      </c>
      <c r="U58" s="14">
        <v>44091</v>
      </c>
      <c r="V58" s="18">
        <f t="shared" si="0"/>
        <v>31</v>
      </c>
      <c r="W58" s="19" t="str">
        <f t="shared" si="1"/>
        <v>Inconclusivo</v>
      </c>
    </row>
    <row r="59" spans="1:23" ht="24.75" customHeight="1" x14ac:dyDescent="0.2">
      <c r="A59" s="10">
        <v>58</v>
      </c>
      <c r="B59" s="11" t="s">
        <v>202</v>
      </c>
      <c r="C59" s="12" t="s">
        <v>203</v>
      </c>
      <c r="D59" s="10">
        <v>51</v>
      </c>
      <c r="E59" s="10" t="s">
        <v>25</v>
      </c>
      <c r="F59" s="13" t="s">
        <v>204</v>
      </c>
      <c r="G59" s="14" t="s">
        <v>205</v>
      </c>
      <c r="H59" s="15" t="s">
        <v>43</v>
      </c>
      <c r="I59" s="15">
        <v>4</v>
      </c>
      <c r="J59" s="14">
        <v>44090</v>
      </c>
      <c r="K59" s="15" t="s">
        <v>206</v>
      </c>
      <c r="L59" s="14">
        <v>44091</v>
      </c>
      <c r="M59" s="16">
        <v>17.399999999999999</v>
      </c>
      <c r="N59" s="16">
        <v>24.6</v>
      </c>
      <c r="O59" s="14" t="s">
        <v>29</v>
      </c>
      <c r="P59" s="15" t="s">
        <v>207</v>
      </c>
      <c r="Q59" s="14">
        <v>44092</v>
      </c>
      <c r="R59" s="16" t="s">
        <v>36</v>
      </c>
      <c r="S59" s="16">
        <v>23.2</v>
      </c>
      <c r="T59" s="21" t="s">
        <v>31</v>
      </c>
      <c r="U59" s="14">
        <v>44092</v>
      </c>
      <c r="V59" s="18">
        <f t="shared" si="0"/>
        <v>8</v>
      </c>
      <c r="W59" s="19" t="str">
        <f t="shared" si="1"/>
        <v>Não Detectável</v>
      </c>
    </row>
    <row r="60" spans="1:23" ht="24.75" customHeight="1" x14ac:dyDescent="0.2">
      <c r="A60" s="10">
        <v>59</v>
      </c>
      <c r="B60" s="11" t="s">
        <v>208</v>
      </c>
      <c r="C60" s="12" t="s">
        <v>209</v>
      </c>
      <c r="D60" s="10">
        <v>48</v>
      </c>
      <c r="E60" s="10" t="s">
        <v>25</v>
      </c>
      <c r="F60" s="13" t="s">
        <v>210</v>
      </c>
      <c r="G60" s="14" t="s">
        <v>205</v>
      </c>
      <c r="H60" s="15" t="s">
        <v>43</v>
      </c>
      <c r="I60" s="15">
        <v>4</v>
      </c>
      <c r="J60" s="14">
        <v>44090</v>
      </c>
      <c r="K60" s="15" t="s">
        <v>206</v>
      </c>
      <c r="L60" s="14">
        <v>44091</v>
      </c>
      <c r="M60" s="16">
        <v>17.399999999999999</v>
      </c>
      <c r="N60" s="16">
        <v>24.6</v>
      </c>
      <c r="O60" s="14" t="s">
        <v>29</v>
      </c>
      <c r="P60" s="15" t="s">
        <v>207</v>
      </c>
      <c r="Q60" s="14">
        <v>44092</v>
      </c>
      <c r="R60" s="16" t="s">
        <v>36</v>
      </c>
      <c r="S60" s="16">
        <v>24.7</v>
      </c>
      <c r="T60" s="21" t="s">
        <v>31</v>
      </c>
      <c r="U60" s="14">
        <v>44092</v>
      </c>
      <c r="V60" s="18">
        <f t="shared" si="0"/>
        <v>8</v>
      </c>
      <c r="W60" s="19" t="str">
        <f t="shared" si="1"/>
        <v>Não Detectável</v>
      </c>
    </row>
    <row r="61" spans="1:23" ht="24.75" customHeight="1" x14ac:dyDescent="0.2">
      <c r="A61" s="10">
        <v>60</v>
      </c>
      <c r="B61" s="11" t="s">
        <v>211</v>
      </c>
      <c r="C61" s="12" t="s">
        <v>212</v>
      </c>
      <c r="D61" s="10">
        <v>53</v>
      </c>
      <c r="E61" s="10" t="s">
        <v>34</v>
      </c>
      <c r="F61" s="13" t="s">
        <v>213</v>
      </c>
      <c r="G61" s="14" t="s">
        <v>205</v>
      </c>
      <c r="H61" s="15" t="s">
        <v>27</v>
      </c>
      <c r="I61" s="15" t="s">
        <v>60</v>
      </c>
      <c r="J61" s="14">
        <v>44090</v>
      </c>
      <c r="K61" s="15" t="s">
        <v>60</v>
      </c>
      <c r="L61" s="15" t="s">
        <v>60</v>
      </c>
      <c r="M61" s="16" t="s">
        <v>60</v>
      </c>
      <c r="N61" s="16" t="s">
        <v>60</v>
      </c>
      <c r="O61" s="15" t="s">
        <v>60</v>
      </c>
      <c r="P61" s="15" t="s">
        <v>113</v>
      </c>
      <c r="Q61" s="14">
        <v>44090</v>
      </c>
      <c r="R61" s="16" t="s">
        <v>36</v>
      </c>
      <c r="S61" s="16">
        <v>25.3</v>
      </c>
      <c r="T61" s="21" t="s">
        <v>31</v>
      </c>
      <c r="U61" s="14">
        <v>44091</v>
      </c>
      <c r="V61" s="18">
        <f t="shared" si="0"/>
        <v>31</v>
      </c>
      <c r="W61" s="19" t="str">
        <f t="shared" si="1"/>
        <v>Não Detectável</v>
      </c>
    </row>
    <row r="62" spans="1:23" ht="24.75" customHeight="1" x14ac:dyDescent="0.2">
      <c r="A62" s="10">
        <v>61</v>
      </c>
      <c r="B62" s="11" t="s">
        <v>214</v>
      </c>
      <c r="C62" s="12" t="s">
        <v>215</v>
      </c>
      <c r="D62" s="10">
        <v>27</v>
      </c>
      <c r="E62" s="10" t="s">
        <v>34</v>
      </c>
      <c r="F62" s="13" t="s">
        <v>216</v>
      </c>
      <c r="G62" s="14" t="s">
        <v>205</v>
      </c>
      <c r="H62" s="15" t="s">
        <v>43</v>
      </c>
      <c r="I62" s="15">
        <v>4</v>
      </c>
      <c r="J62" s="14">
        <v>44090</v>
      </c>
      <c r="K62" s="15" t="s">
        <v>206</v>
      </c>
      <c r="L62" s="14">
        <v>44091</v>
      </c>
      <c r="M62" s="16">
        <v>17.399999999999999</v>
      </c>
      <c r="N62" s="16">
        <v>24.6</v>
      </c>
      <c r="O62" s="14" t="s">
        <v>29</v>
      </c>
      <c r="P62" s="15" t="s">
        <v>207</v>
      </c>
      <c r="Q62" s="14">
        <v>44092</v>
      </c>
      <c r="R62" s="16">
        <v>14.7</v>
      </c>
      <c r="S62" s="16">
        <v>25.7</v>
      </c>
      <c r="T62" s="21" t="s">
        <v>29</v>
      </c>
      <c r="U62" s="14">
        <v>44092</v>
      </c>
      <c r="V62" s="18">
        <f t="shared" si="0"/>
        <v>8</v>
      </c>
      <c r="W62" s="19" t="str">
        <f t="shared" si="1"/>
        <v>Detectável</v>
      </c>
    </row>
    <row r="63" spans="1:23" ht="24.75" customHeight="1" x14ac:dyDescent="0.2">
      <c r="A63" s="10">
        <v>62</v>
      </c>
      <c r="B63" s="11" t="s">
        <v>217</v>
      </c>
      <c r="C63" s="12" t="s">
        <v>218</v>
      </c>
      <c r="D63" s="10">
        <v>42</v>
      </c>
      <c r="E63" s="10" t="s">
        <v>25</v>
      </c>
      <c r="F63" s="13" t="s">
        <v>219</v>
      </c>
      <c r="G63" s="14" t="s">
        <v>205</v>
      </c>
      <c r="H63" s="15" t="s">
        <v>27</v>
      </c>
      <c r="I63" s="15" t="s">
        <v>60</v>
      </c>
      <c r="J63" s="14">
        <v>44090</v>
      </c>
      <c r="K63" s="15" t="s">
        <v>60</v>
      </c>
      <c r="L63" s="15" t="s">
        <v>60</v>
      </c>
      <c r="M63" s="16" t="s">
        <v>60</v>
      </c>
      <c r="N63" s="16" t="s">
        <v>60</v>
      </c>
      <c r="O63" s="15" t="s">
        <v>60</v>
      </c>
      <c r="P63" s="15" t="s">
        <v>113</v>
      </c>
      <c r="Q63" s="14">
        <v>44090</v>
      </c>
      <c r="R63" s="16" t="s">
        <v>36</v>
      </c>
      <c r="S63" s="16">
        <v>25.9</v>
      </c>
      <c r="T63" s="21" t="s">
        <v>31</v>
      </c>
      <c r="U63" s="14">
        <v>44091</v>
      </c>
      <c r="V63" s="18">
        <f t="shared" si="0"/>
        <v>31</v>
      </c>
      <c r="W63" s="19" t="str">
        <f t="shared" si="1"/>
        <v>Não Detectável</v>
      </c>
    </row>
    <row r="64" spans="1:23" ht="24.75" customHeight="1" x14ac:dyDescent="0.2">
      <c r="A64" s="10">
        <v>63</v>
      </c>
      <c r="B64" s="11" t="s">
        <v>220</v>
      </c>
      <c r="C64" s="12" t="s">
        <v>221</v>
      </c>
      <c r="D64" s="10">
        <v>60</v>
      </c>
      <c r="E64" s="10" t="s">
        <v>25</v>
      </c>
      <c r="F64" s="13" t="s">
        <v>222</v>
      </c>
      <c r="G64" s="14" t="s">
        <v>205</v>
      </c>
      <c r="H64" s="15" t="s">
        <v>27</v>
      </c>
      <c r="I64" s="15" t="s">
        <v>60</v>
      </c>
      <c r="J64" s="14">
        <v>44090</v>
      </c>
      <c r="K64" s="15" t="s">
        <v>60</v>
      </c>
      <c r="L64" s="15" t="s">
        <v>60</v>
      </c>
      <c r="M64" s="16" t="s">
        <v>60</v>
      </c>
      <c r="N64" s="16" t="s">
        <v>60</v>
      </c>
      <c r="O64" s="15" t="s">
        <v>60</v>
      </c>
      <c r="P64" s="15" t="s">
        <v>113</v>
      </c>
      <c r="Q64" s="14">
        <v>44090</v>
      </c>
      <c r="R64" s="16">
        <v>16.7</v>
      </c>
      <c r="S64" s="16">
        <v>26.1</v>
      </c>
      <c r="T64" s="21" t="s">
        <v>29</v>
      </c>
      <c r="U64" s="14">
        <v>44091</v>
      </c>
      <c r="V64" s="18">
        <f t="shared" si="0"/>
        <v>31</v>
      </c>
      <c r="W64" s="19" t="str">
        <f t="shared" si="1"/>
        <v>Detectável</v>
      </c>
    </row>
    <row r="65" spans="1:23" ht="24.75" customHeight="1" x14ac:dyDescent="0.2">
      <c r="A65" s="10">
        <v>64</v>
      </c>
      <c r="B65" s="11" t="s">
        <v>223</v>
      </c>
      <c r="C65" s="12" t="s">
        <v>224</v>
      </c>
      <c r="D65" s="10">
        <v>56</v>
      </c>
      <c r="E65" s="10" t="s">
        <v>25</v>
      </c>
      <c r="F65" s="13" t="s">
        <v>225</v>
      </c>
      <c r="G65" s="14" t="s">
        <v>205</v>
      </c>
      <c r="H65" s="15" t="s">
        <v>43</v>
      </c>
      <c r="I65" s="15">
        <v>4</v>
      </c>
      <c r="J65" s="14">
        <v>44090</v>
      </c>
      <c r="K65" s="15" t="s">
        <v>206</v>
      </c>
      <c r="L65" s="14">
        <v>44091</v>
      </c>
      <c r="M65" s="16">
        <v>17.399999999999999</v>
      </c>
      <c r="N65" s="16">
        <v>24.6</v>
      </c>
      <c r="O65" s="14" t="s">
        <v>29</v>
      </c>
      <c r="P65" s="15" t="s">
        <v>207</v>
      </c>
      <c r="Q65" s="14">
        <v>44092</v>
      </c>
      <c r="R65" s="16">
        <v>33.9</v>
      </c>
      <c r="S65" s="16">
        <v>26.8</v>
      </c>
      <c r="T65" s="21" t="s">
        <v>31</v>
      </c>
      <c r="U65" s="14">
        <v>44095</v>
      </c>
      <c r="V65" s="18">
        <f t="shared" si="0"/>
        <v>8</v>
      </c>
      <c r="W65" s="19" t="str">
        <f t="shared" si="1"/>
        <v>Não Detectável</v>
      </c>
    </row>
    <row r="66" spans="1:23" ht="24.75" customHeight="1" x14ac:dyDescent="0.2">
      <c r="A66" s="10">
        <v>65</v>
      </c>
      <c r="B66" s="11" t="s">
        <v>226</v>
      </c>
      <c r="C66" s="12" t="s">
        <v>227</v>
      </c>
      <c r="D66" s="10">
        <v>32</v>
      </c>
      <c r="E66" s="10" t="s">
        <v>25</v>
      </c>
      <c r="F66" s="13" t="s">
        <v>228</v>
      </c>
      <c r="G66" s="14" t="s">
        <v>205</v>
      </c>
      <c r="H66" s="15" t="s">
        <v>43</v>
      </c>
      <c r="I66" s="15">
        <v>4</v>
      </c>
      <c r="J66" s="14">
        <v>44090</v>
      </c>
      <c r="K66" s="15" t="s">
        <v>206</v>
      </c>
      <c r="L66" s="14">
        <v>44091</v>
      </c>
      <c r="M66" s="16">
        <v>17.399999999999999</v>
      </c>
      <c r="N66" s="16">
        <v>24.6</v>
      </c>
      <c r="O66" s="14" t="s">
        <v>29</v>
      </c>
      <c r="P66" s="15" t="s">
        <v>207</v>
      </c>
      <c r="Q66" s="14">
        <v>44092</v>
      </c>
      <c r="R66" s="16">
        <v>15.4</v>
      </c>
      <c r="S66" s="16">
        <v>26.1</v>
      </c>
      <c r="T66" s="21" t="s">
        <v>29</v>
      </c>
      <c r="U66" s="14">
        <v>44092</v>
      </c>
      <c r="V66" s="18">
        <f t="shared" ref="V66:V129" si="2">COUNTIF(I:I,I66)</f>
        <v>8</v>
      </c>
      <c r="W66" s="19" t="str">
        <f t="shared" ref="W66:W129" si="3">IF(O66="Não Detectável","Não Detectável",IF(T66="","",T66))</f>
        <v>Detectável</v>
      </c>
    </row>
    <row r="67" spans="1:23" ht="24.75" customHeight="1" x14ac:dyDescent="0.2">
      <c r="A67" s="10">
        <v>66</v>
      </c>
      <c r="B67" s="11" t="s">
        <v>229</v>
      </c>
      <c r="C67" s="12" t="s">
        <v>230</v>
      </c>
      <c r="D67" s="10">
        <v>66</v>
      </c>
      <c r="E67" s="10" t="s">
        <v>25</v>
      </c>
      <c r="F67" s="13" t="s">
        <v>231</v>
      </c>
      <c r="G67" s="14" t="s">
        <v>232</v>
      </c>
      <c r="H67" s="15" t="s">
        <v>27</v>
      </c>
      <c r="I67" s="15" t="s">
        <v>60</v>
      </c>
      <c r="J67" s="14">
        <v>44091</v>
      </c>
      <c r="K67" s="15" t="s">
        <v>60</v>
      </c>
      <c r="L67" s="15" t="s">
        <v>60</v>
      </c>
      <c r="M67" s="16" t="s">
        <v>60</v>
      </c>
      <c r="N67" s="16" t="s">
        <v>60</v>
      </c>
      <c r="O67" s="15" t="s">
        <v>60</v>
      </c>
      <c r="P67" s="15" t="s">
        <v>206</v>
      </c>
      <c r="Q67" s="14">
        <v>44091</v>
      </c>
      <c r="R67" s="16">
        <v>13.2</v>
      </c>
      <c r="S67" s="16">
        <v>25.5</v>
      </c>
      <c r="T67" s="21" t="s">
        <v>29</v>
      </c>
      <c r="U67" s="14">
        <v>44091</v>
      </c>
      <c r="V67" s="18">
        <f t="shared" si="2"/>
        <v>31</v>
      </c>
      <c r="W67" s="19" t="str">
        <f t="shared" si="3"/>
        <v>Detectável</v>
      </c>
    </row>
    <row r="68" spans="1:23" ht="24.75" customHeight="1" x14ac:dyDescent="0.2">
      <c r="A68" s="10">
        <v>67</v>
      </c>
      <c r="B68" s="11" t="s">
        <v>233</v>
      </c>
      <c r="C68" s="12" t="s">
        <v>234</v>
      </c>
      <c r="D68" s="10">
        <v>32</v>
      </c>
      <c r="E68" s="10" t="s">
        <v>25</v>
      </c>
      <c r="F68" s="13" t="s">
        <v>235</v>
      </c>
      <c r="G68" s="14" t="s">
        <v>232</v>
      </c>
      <c r="H68" s="15" t="s">
        <v>27</v>
      </c>
      <c r="I68" s="15" t="s">
        <v>60</v>
      </c>
      <c r="J68" s="14">
        <v>44091</v>
      </c>
      <c r="K68" s="15" t="s">
        <v>60</v>
      </c>
      <c r="L68" s="15" t="s">
        <v>60</v>
      </c>
      <c r="M68" s="16" t="s">
        <v>60</v>
      </c>
      <c r="N68" s="16" t="s">
        <v>60</v>
      </c>
      <c r="O68" s="15" t="s">
        <v>60</v>
      </c>
      <c r="P68" s="15" t="s">
        <v>206</v>
      </c>
      <c r="Q68" s="14">
        <v>44091</v>
      </c>
      <c r="R68" s="16" t="s">
        <v>36</v>
      </c>
      <c r="S68" s="16">
        <v>26.7</v>
      </c>
      <c r="T68" s="21" t="s">
        <v>31</v>
      </c>
      <c r="U68" s="14">
        <v>44091</v>
      </c>
      <c r="V68" s="18">
        <f t="shared" si="2"/>
        <v>31</v>
      </c>
      <c r="W68" s="19" t="str">
        <f t="shared" si="3"/>
        <v>Não Detectável</v>
      </c>
    </row>
    <row r="69" spans="1:23" ht="24.75" customHeight="1" x14ac:dyDescent="0.2">
      <c r="A69" s="10">
        <v>68</v>
      </c>
      <c r="B69" s="11" t="s">
        <v>236</v>
      </c>
      <c r="C69" s="12" t="s">
        <v>237</v>
      </c>
      <c r="D69" s="10">
        <v>39</v>
      </c>
      <c r="E69" s="10" t="s">
        <v>25</v>
      </c>
      <c r="F69" s="13" t="s">
        <v>238</v>
      </c>
      <c r="G69" s="14" t="s">
        <v>232</v>
      </c>
      <c r="H69" s="15" t="s">
        <v>27</v>
      </c>
      <c r="I69" s="15" t="s">
        <v>60</v>
      </c>
      <c r="J69" s="14">
        <v>44091</v>
      </c>
      <c r="K69" s="15" t="s">
        <v>60</v>
      </c>
      <c r="L69" s="15" t="s">
        <v>60</v>
      </c>
      <c r="M69" s="16" t="s">
        <v>60</v>
      </c>
      <c r="N69" s="16" t="s">
        <v>60</v>
      </c>
      <c r="O69" s="15" t="s">
        <v>60</v>
      </c>
      <c r="P69" s="15" t="s">
        <v>206</v>
      </c>
      <c r="Q69" s="14">
        <v>44091</v>
      </c>
      <c r="R69" s="16" t="s">
        <v>36</v>
      </c>
      <c r="S69" s="16">
        <v>25.7</v>
      </c>
      <c r="T69" s="21" t="s">
        <v>31</v>
      </c>
      <c r="U69" s="14">
        <v>44091</v>
      </c>
      <c r="V69" s="18">
        <f t="shared" si="2"/>
        <v>31</v>
      </c>
      <c r="W69" s="19" t="str">
        <f t="shared" si="3"/>
        <v>Não Detectável</v>
      </c>
    </row>
    <row r="70" spans="1:23" ht="24.75" customHeight="1" x14ac:dyDescent="0.2">
      <c r="A70" s="10">
        <v>69</v>
      </c>
      <c r="B70" s="11" t="s">
        <v>239</v>
      </c>
      <c r="C70" s="12" t="s">
        <v>240</v>
      </c>
      <c r="D70" s="10">
        <v>27</v>
      </c>
      <c r="E70" s="10" t="s">
        <v>34</v>
      </c>
      <c r="F70" s="13" t="s">
        <v>241</v>
      </c>
      <c r="G70" s="14" t="s">
        <v>232</v>
      </c>
      <c r="H70" s="15" t="s">
        <v>43</v>
      </c>
      <c r="I70" s="15">
        <v>4</v>
      </c>
      <c r="J70" s="14">
        <v>44091</v>
      </c>
      <c r="K70" s="15" t="s">
        <v>206</v>
      </c>
      <c r="L70" s="14">
        <v>44091</v>
      </c>
      <c r="M70" s="16">
        <v>17.399999999999999</v>
      </c>
      <c r="N70" s="16">
        <v>24.6</v>
      </c>
      <c r="O70" s="14" t="s">
        <v>29</v>
      </c>
      <c r="P70" s="15" t="s">
        <v>207</v>
      </c>
      <c r="Q70" s="14">
        <v>44092</v>
      </c>
      <c r="R70" s="16">
        <v>19.7</v>
      </c>
      <c r="S70" s="16">
        <v>24.1</v>
      </c>
      <c r="T70" s="21" t="s">
        <v>29</v>
      </c>
      <c r="U70" s="14">
        <v>44092</v>
      </c>
      <c r="V70" s="18">
        <f t="shared" si="2"/>
        <v>8</v>
      </c>
      <c r="W70" s="19" t="str">
        <f t="shared" si="3"/>
        <v>Detectável</v>
      </c>
    </row>
    <row r="71" spans="1:23" ht="24.75" customHeight="1" x14ac:dyDescent="0.2">
      <c r="A71" s="10">
        <v>70</v>
      </c>
      <c r="B71" s="11" t="s">
        <v>242</v>
      </c>
      <c r="C71" s="12" t="s">
        <v>243</v>
      </c>
      <c r="D71" s="10">
        <v>44</v>
      </c>
      <c r="E71" s="10" t="s">
        <v>25</v>
      </c>
      <c r="F71" s="13" t="s">
        <v>244</v>
      </c>
      <c r="G71" s="14" t="s">
        <v>232</v>
      </c>
      <c r="H71" s="15" t="s">
        <v>27</v>
      </c>
      <c r="I71" s="15" t="s">
        <v>60</v>
      </c>
      <c r="J71" s="14">
        <v>44091</v>
      </c>
      <c r="K71" s="15" t="s">
        <v>60</v>
      </c>
      <c r="L71" s="15" t="s">
        <v>60</v>
      </c>
      <c r="M71" s="16" t="s">
        <v>60</v>
      </c>
      <c r="N71" s="16" t="s">
        <v>60</v>
      </c>
      <c r="O71" s="15" t="s">
        <v>60</v>
      </c>
      <c r="P71" s="15" t="s">
        <v>206</v>
      </c>
      <c r="Q71" s="14">
        <v>44091</v>
      </c>
      <c r="R71" s="16" t="s">
        <v>36</v>
      </c>
      <c r="S71" s="16">
        <v>26.6</v>
      </c>
      <c r="T71" s="21" t="s">
        <v>31</v>
      </c>
      <c r="U71" s="14">
        <v>44091</v>
      </c>
      <c r="V71" s="18">
        <f t="shared" si="2"/>
        <v>31</v>
      </c>
      <c r="W71" s="19" t="str">
        <f t="shared" si="3"/>
        <v>Não Detectável</v>
      </c>
    </row>
    <row r="72" spans="1:23" ht="24.75" customHeight="1" x14ac:dyDescent="0.2">
      <c r="A72" s="10">
        <v>71</v>
      </c>
      <c r="B72" s="11" t="s">
        <v>245</v>
      </c>
      <c r="C72" s="12" t="s">
        <v>246</v>
      </c>
      <c r="D72" s="10">
        <v>25</v>
      </c>
      <c r="E72" s="10" t="s">
        <v>34</v>
      </c>
      <c r="F72" s="13" t="s">
        <v>247</v>
      </c>
      <c r="G72" s="14" t="s">
        <v>232</v>
      </c>
      <c r="H72" s="15" t="s">
        <v>43</v>
      </c>
      <c r="I72" s="15">
        <v>4</v>
      </c>
      <c r="J72" s="14">
        <v>44091</v>
      </c>
      <c r="K72" s="15" t="s">
        <v>206</v>
      </c>
      <c r="L72" s="14">
        <v>44091</v>
      </c>
      <c r="M72" s="16">
        <v>17.399999999999999</v>
      </c>
      <c r="N72" s="16">
        <v>24.6</v>
      </c>
      <c r="O72" s="14" t="s">
        <v>29</v>
      </c>
      <c r="P72" s="15" t="s">
        <v>207</v>
      </c>
      <c r="Q72" s="14">
        <v>44092</v>
      </c>
      <c r="R72" s="16" t="s">
        <v>36</v>
      </c>
      <c r="S72" s="16">
        <v>25</v>
      </c>
      <c r="T72" s="21" t="s">
        <v>31</v>
      </c>
      <c r="U72" s="14">
        <v>44092</v>
      </c>
      <c r="V72" s="18">
        <f t="shared" si="2"/>
        <v>8</v>
      </c>
      <c r="W72" s="19" t="str">
        <f t="shared" si="3"/>
        <v>Não Detectável</v>
      </c>
    </row>
    <row r="73" spans="1:23" ht="24.75" customHeight="1" x14ac:dyDescent="0.2">
      <c r="A73" s="10">
        <v>72</v>
      </c>
      <c r="B73" s="11" t="s">
        <v>248</v>
      </c>
      <c r="C73" s="12" t="s">
        <v>249</v>
      </c>
      <c r="D73" s="10">
        <v>34</v>
      </c>
      <c r="E73" s="10" t="s">
        <v>34</v>
      </c>
      <c r="F73" s="13" t="s">
        <v>250</v>
      </c>
      <c r="G73" s="14" t="s">
        <v>232</v>
      </c>
      <c r="H73" s="15" t="s">
        <v>43</v>
      </c>
      <c r="I73" s="15">
        <v>4</v>
      </c>
      <c r="J73" s="14">
        <v>44091</v>
      </c>
      <c r="K73" s="15" t="s">
        <v>206</v>
      </c>
      <c r="L73" s="14">
        <v>44091</v>
      </c>
      <c r="M73" s="16">
        <v>17.399999999999999</v>
      </c>
      <c r="N73" s="16">
        <v>24.6</v>
      </c>
      <c r="O73" s="14" t="s">
        <v>29</v>
      </c>
      <c r="P73" s="15" t="s">
        <v>207</v>
      </c>
      <c r="Q73" s="14">
        <v>44092</v>
      </c>
      <c r="R73" s="16">
        <v>15.3</v>
      </c>
      <c r="S73" s="16">
        <v>28.5</v>
      </c>
      <c r="T73" s="21" t="s">
        <v>29</v>
      </c>
      <c r="U73" s="14">
        <v>44092</v>
      </c>
      <c r="V73" s="18">
        <f t="shared" si="2"/>
        <v>8</v>
      </c>
      <c r="W73" s="19" t="str">
        <f t="shared" si="3"/>
        <v>Detectável</v>
      </c>
    </row>
    <row r="74" spans="1:23" ht="24.75" customHeight="1" x14ac:dyDescent="0.2">
      <c r="A74" s="10">
        <v>73</v>
      </c>
      <c r="B74" s="11" t="s">
        <v>251</v>
      </c>
      <c r="C74" s="12" t="s">
        <v>252</v>
      </c>
      <c r="D74" s="10">
        <v>48</v>
      </c>
      <c r="E74" s="10" t="s">
        <v>34</v>
      </c>
      <c r="F74" s="13" t="s">
        <v>253</v>
      </c>
      <c r="G74" s="14" t="s">
        <v>232</v>
      </c>
      <c r="H74" s="15" t="s">
        <v>43</v>
      </c>
      <c r="I74" s="15" t="s">
        <v>60</v>
      </c>
      <c r="J74" s="14">
        <v>44091</v>
      </c>
      <c r="K74" s="15" t="s">
        <v>60</v>
      </c>
      <c r="L74" s="14" t="s">
        <v>60</v>
      </c>
      <c r="M74" s="16" t="s">
        <v>60</v>
      </c>
      <c r="N74" s="16" t="s">
        <v>60</v>
      </c>
      <c r="O74" s="14" t="s">
        <v>60</v>
      </c>
      <c r="P74" s="15" t="s">
        <v>254</v>
      </c>
      <c r="Q74" s="14">
        <v>44092</v>
      </c>
      <c r="R74" s="16" t="s">
        <v>36</v>
      </c>
      <c r="S74" s="16">
        <v>25.2</v>
      </c>
      <c r="T74" s="21" t="s">
        <v>31</v>
      </c>
      <c r="U74" s="14">
        <v>44092</v>
      </c>
      <c r="V74" s="18">
        <f t="shared" si="2"/>
        <v>31</v>
      </c>
      <c r="W74" s="19" t="str">
        <f t="shared" si="3"/>
        <v>Não Detectável</v>
      </c>
    </row>
    <row r="75" spans="1:23" ht="24.75" customHeight="1" x14ac:dyDescent="0.2">
      <c r="A75" s="10">
        <v>74</v>
      </c>
      <c r="B75" s="11" t="s">
        <v>255</v>
      </c>
      <c r="C75" s="12" t="s">
        <v>256</v>
      </c>
      <c r="D75" s="10">
        <v>28</v>
      </c>
      <c r="E75" s="10" t="s">
        <v>34</v>
      </c>
      <c r="F75" s="13" t="s">
        <v>257</v>
      </c>
      <c r="G75" s="14" t="s">
        <v>232</v>
      </c>
      <c r="H75" s="15" t="s">
        <v>27</v>
      </c>
      <c r="I75" s="15" t="s">
        <v>60</v>
      </c>
      <c r="J75" s="14">
        <v>44091</v>
      </c>
      <c r="K75" s="15" t="s">
        <v>60</v>
      </c>
      <c r="L75" s="15" t="s">
        <v>60</v>
      </c>
      <c r="M75" s="16" t="s">
        <v>60</v>
      </c>
      <c r="N75" s="16" t="s">
        <v>60</v>
      </c>
      <c r="O75" s="15" t="s">
        <v>60</v>
      </c>
      <c r="P75" s="15" t="s">
        <v>206</v>
      </c>
      <c r="Q75" s="14">
        <v>44091</v>
      </c>
      <c r="R75" s="16" t="s">
        <v>36</v>
      </c>
      <c r="S75" s="16">
        <v>26.9</v>
      </c>
      <c r="T75" s="17" t="s">
        <v>31</v>
      </c>
      <c r="U75" s="14">
        <v>44091</v>
      </c>
      <c r="V75" s="18">
        <f t="shared" si="2"/>
        <v>31</v>
      </c>
      <c r="W75" s="19" t="str">
        <f t="shared" si="3"/>
        <v>Não Detectável</v>
      </c>
    </row>
    <row r="76" spans="1:23" ht="24.75" customHeight="1" x14ac:dyDescent="0.2">
      <c r="A76" s="10">
        <v>75</v>
      </c>
      <c r="B76" s="11" t="s">
        <v>258</v>
      </c>
      <c r="C76" s="12" t="s">
        <v>259</v>
      </c>
      <c r="D76" s="10">
        <v>22</v>
      </c>
      <c r="E76" s="10" t="s">
        <v>34</v>
      </c>
      <c r="F76" s="13" t="s">
        <v>260</v>
      </c>
      <c r="G76" s="14" t="s">
        <v>232</v>
      </c>
      <c r="H76" s="15" t="s">
        <v>43</v>
      </c>
      <c r="I76" s="15" t="s">
        <v>60</v>
      </c>
      <c r="J76" s="14">
        <v>44091</v>
      </c>
      <c r="K76" s="15" t="s">
        <v>60</v>
      </c>
      <c r="L76" s="14" t="s">
        <v>60</v>
      </c>
      <c r="M76" s="16" t="s">
        <v>60</v>
      </c>
      <c r="N76" s="16" t="s">
        <v>60</v>
      </c>
      <c r="O76" s="14" t="s">
        <v>60</v>
      </c>
      <c r="P76" s="15" t="s">
        <v>254</v>
      </c>
      <c r="Q76" s="14">
        <v>44092</v>
      </c>
      <c r="R76" s="16" t="s">
        <v>36</v>
      </c>
      <c r="S76" s="16">
        <v>25</v>
      </c>
      <c r="T76" s="21" t="s">
        <v>31</v>
      </c>
      <c r="U76" s="14">
        <v>44092</v>
      </c>
      <c r="V76" s="18">
        <f t="shared" si="2"/>
        <v>31</v>
      </c>
      <c r="W76" s="19" t="str">
        <f t="shared" si="3"/>
        <v>Não Detectável</v>
      </c>
    </row>
    <row r="77" spans="1:23" ht="24.75" customHeight="1" x14ac:dyDescent="0.2">
      <c r="A77" s="10">
        <v>76</v>
      </c>
      <c r="B77" s="11" t="s">
        <v>261</v>
      </c>
      <c r="C77" s="12" t="s">
        <v>262</v>
      </c>
      <c r="D77" s="10">
        <v>32</v>
      </c>
      <c r="E77" s="10" t="s">
        <v>34</v>
      </c>
      <c r="F77" s="13" t="s">
        <v>263</v>
      </c>
      <c r="G77" s="14" t="s">
        <v>264</v>
      </c>
      <c r="H77" s="15" t="s">
        <v>43</v>
      </c>
      <c r="I77" s="15" t="s">
        <v>60</v>
      </c>
      <c r="J77" s="14">
        <v>44092</v>
      </c>
      <c r="K77" s="15" t="s">
        <v>60</v>
      </c>
      <c r="L77" s="14" t="s">
        <v>60</v>
      </c>
      <c r="M77" s="16" t="s">
        <v>60</v>
      </c>
      <c r="N77" s="16" t="s">
        <v>60</v>
      </c>
      <c r="O77" s="14" t="s">
        <v>60</v>
      </c>
      <c r="P77" s="15" t="s">
        <v>254</v>
      </c>
      <c r="Q77" s="14">
        <v>44092</v>
      </c>
      <c r="R77" s="16" t="s">
        <v>36</v>
      </c>
      <c r="S77" s="16">
        <v>24.5</v>
      </c>
      <c r="T77" s="21" t="s">
        <v>31</v>
      </c>
      <c r="U77" s="14">
        <v>44092</v>
      </c>
      <c r="V77" s="18">
        <f t="shared" si="2"/>
        <v>31</v>
      </c>
      <c r="W77" s="19" t="str">
        <f t="shared" si="3"/>
        <v>Não Detectável</v>
      </c>
    </row>
    <row r="78" spans="1:23" ht="24.75" customHeight="1" x14ac:dyDescent="0.2">
      <c r="A78" s="10">
        <v>77</v>
      </c>
      <c r="B78" s="11" t="s">
        <v>265</v>
      </c>
      <c r="C78" s="12" t="s">
        <v>266</v>
      </c>
      <c r="D78" s="10">
        <v>57</v>
      </c>
      <c r="E78" s="10" t="s">
        <v>25</v>
      </c>
      <c r="F78" s="13" t="s">
        <v>267</v>
      </c>
      <c r="G78" s="14" t="s">
        <v>264</v>
      </c>
      <c r="H78" s="15" t="s">
        <v>43</v>
      </c>
      <c r="I78" s="15" t="s">
        <v>60</v>
      </c>
      <c r="J78" s="14">
        <v>44092</v>
      </c>
      <c r="K78" s="15" t="s">
        <v>60</v>
      </c>
      <c r="L78" s="14" t="s">
        <v>60</v>
      </c>
      <c r="M78" s="16" t="s">
        <v>60</v>
      </c>
      <c r="N78" s="16" t="s">
        <v>60</v>
      </c>
      <c r="O78" s="14" t="s">
        <v>60</v>
      </c>
      <c r="P78" s="15" t="s">
        <v>254</v>
      </c>
      <c r="Q78" s="14">
        <v>44092</v>
      </c>
      <c r="R78" s="16" t="s">
        <v>36</v>
      </c>
      <c r="S78" s="16">
        <v>25.9</v>
      </c>
      <c r="T78" s="21" t="s">
        <v>31</v>
      </c>
      <c r="U78" s="14">
        <v>44092</v>
      </c>
      <c r="V78" s="18">
        <f t="shared" si="2"/>
        <v>31</v>
      </c>
      <c r="W78" s="19" t="str">
        <f t="shared" si="3"/>
        <v>Não Detectável</v>
      </c>
    </row>
    <row r="79" spans="1:23" ht="24.75" customHeight="1" x14ac:dyDescent="0.2">
      <c r="A79" s="10">
        <v>78</v>
      </c>
      <c r="B79" s="11" t="s">
        <v>268</v>
      </c>
      <c r="C79" s="12" t="s">
        <v>269</v>
      </c>
      <c r="D79" s="10">
        <v>32</v>
      </c>
      <c r="E79" s="10" t="s">
        <v>25</v>
      </c>
      <c r="F79" s="13" t="s">
        <v>270</v>
      </c>
      <c r="G79" s="14" t="s">
        <v>264</v>
      </c>
      <c r="H79" s="15" t="s">
        <v>27</v>
      </c>
      <c r="I79" s="15" t="s">
        <v>60</v>
      </c>
      <c r="J79" s="14">
        <v>44092</v>
      </c>
      <c r="K79" s="15" t="s">
        <v>60</v>
      </c>
      <c r="L79" s="14" t="s">
        <v>60</v>
      </c>
      <c r="M79" s="16" t="s">
        <v>60</v>
      </c>
      <c r="N79" s="16" t="s">
        <v>60</v>
      </c>
      <c r="O79" s="14" t="s">
        <v>60</v>
      </c>
      <c r="P79" s="15" t="s">
        <v>254</v>
      </c>
      <c r="Q79" s="14">
        <v>44092</v>
      </c>
      <c r="R79" s="16">
        <v>24.1</v>
      </c>
      <c r="S79" s="16">
        <v>27.2</v>
      </c>
      <c r="T79" s="21" t="s">
        <v>29</v>
      </c>
      <c r="U79" s="14">
        <v>44092</v>
      </c>
      <c r="V79" s="18">
        <f t="shared" si="2"/>
        <v>31</v>
      </c>
      <c r="W79" s="19" t="str">
        <f t="shared" si="3"/>
        <v>Detectável</v>
      </c>
    </row>
    <row r="80" spans="1:23" ht="24.75" customHeight="1" x14ac:dyDescent="0.2">
      <c r="A80" s="10">
        <v>79</v>
      </c>
      <c r="B80" s="11" t="s">
        <v>271</v>
      </c>
      <c r="C80" s="12" t="s">
        <v>272</v>
      </c>
      <c r="D80" s="10">
        <v>47</v>
      </c>
      <c r="E80" s="10" t="s">
        <v>25</v>
      </c>
      <c r="F80" s="13" t="s">
        <v>273</v>
      </c>
      <c r="G80" s="14" t="s">
        <v>264</v>
      </c>
      <c r="H80" s="15" t="s">
        <v>43</v>
      </c>
      <c r="I80" s="15" t="s">
        <v>60</v>
      </c>
      <c r="J80" s="14">
        <v>44092</v>
      </c>
      <c r="K80" s="15" t="s">
        <v>60</v>
      </c>
      <c r="L80" s="14" t="s">
        <v>60</v>
      </c>
      <c r="M80" s="16" t="s">
        <v>60</v>
      </c>
      <c r="N80" s="16" t="s">
        <v>60</v>
      </c>
      <c r="O80" s="14" t="s">
        <v>60</v>
      </c>
      <c r="P80" s="15" t="s">
        <v>254</v>
      </c>
      <c r="Q80" s="14">
        <v>44092</v>
      </c>
      <c r="R80" s="16">
        <v>21.6</v>
      </c>
      <c r="S80" s="16">
        <v>28.2</v>
      </c>
      <c r="T80" s="21" t="s">
        <v>29</v>
      </c>
      <c r="U80" s="14">
        <v>44092</v>
      </c>
      <c r="V80" s="18">
        <f t="shared" si="2"/>
        <v>31</v>
      </c>
      <c r="W80" s="19" t="str">
        <f t="shared" si="3"/>
        <v>Detectável</v>
      </c>
    </row>
    <row r="81" spans="1:23" ht="24.75" customHeight="1" x14ac:dyDescent="0.2">
      <c r="A81" s="10">
        <v>80</v>
      </c>
      <c r="B81" s="11" t="s">
        <v>274</v>
      </c>
      <c r="C81" s="12" t="s">
        <v>275</v>
      </c>
      <c r="D81" s="10">
        <v>25</v>
      </c>
      <c r="E81" s="10" t="s">
        <v>25</v>
      </c>
      <c r="F81" s="13" t="s">
        <v>276</v>
      </c>
      <c r="G81" s="14" t="s">
        <v>264</v>
      </c>
      <c r="H81" s="15" t="s">
        <v>43</v>
      </c>
      <c r="I81" s="15" t="s">
        <v>60</v>
      </c>
      <c r="J81" s="14">
        <v>44092</v>
      </c>
      <c r="K81" s="15" t="s">
        <v>60</v>
      </c>
      <c r="L81" s="14" t="s">
        <v>60</v>
      </c>
      <c r="M81" s="16" t="s">
        <v>60</v>
      </c>
      <c r="N81" s="16" t="s">
        <v>60</v>
      </c>
      <c r="O81" s="14" t="s">
        <v>60</v>
      </c>
      <c r="P81" s="15" t="s">
        <v>254</v>
      </c>
      <c r="Q81" s="14">
        <v>44092</v>
      </c>
      <c r="R81" s="16" t="s">
        <v>36</v>
      </c>
      <c r="S81" s="16">
        <v>26.5</v>
      </c>
      <c r="T81" s="21" t="s">
        <v>31</v>
      </c>
      <c r="U81" s="14">
        <v>44092</v>
      </c>
      <c r="V81" s="18">
        <f t="shared" si="2"/>
        <v>31</v>
      </c>
      <c r="W81" s="19" t="str">
        <f t="shared" si="3"/>
        <v>Não Detectável</v>
      </c>
    </row>
    <row r="82" spans="1:23" ht="24.75" customHeight="1" x14ac:dyDescent="0.2">
      <c r="A82" s="10">
        <v>81</v>
      </c>
      <c r="B82" s="11" t="s">
        <v>277</v>
      </c>
      <c r="C82" s="12" t="s">
        <v>278</v>
      </c>
      <c r="D82" s="10">
        <v>39</v>
      </c>
      <c r="E82" s="10" t="s">
        <v>25</v>
      </c>
      <c r="F82" s="13" t="s">
        <v>279</v>
      </c>
      <c r="G82" s="14" t="s">
        <v>280</v>
      </c>
      <c r="H82" s="15" t="s">
        <v>43</v>
      </c>
      <c r="I82" s="15">
        <v>5</v>
      </c>
      <c r="J82" s="14">
        <v>44095</v>
      </c>
      <c r="K82" s="15" t="s">
        <v>281</v>
      </c>
      <c r="L82" s="14">
        <v>44096</v>
      </c>
      <c r="M82" s="16">
        <v>15.7</v>
      </c>
      <c r="N82" s="16">
        <v>25.7</v>
      </c>
      <c r="O82" s="14" t="s">
        <v>29</v>
      </c>
      <c r="P82" s="15" t="s">
        <v>281</v>
      </c>
      <c r="Q82" s="14">
        <v>44096</v>
      </c>
      <c r="R82" s="16" t="s">
        <v>36</v>
      </c>
      <c r="S82" s="16">
        <v>25.9</v>
      </c>
      <c r="T82" s="21" t="str">
        <f t="shared" ref="T82:T96" si="4">IF(R82="Ind.",IF(S82="Ind.","Inconclusivo","Não Detectável"),"Detectável")</f>
        <v>Não Detectável</v>
      </c>
      <c r="U82" s="14">
        <v>44096</v>
      </c>
      <c r="V82" s="18">
        <f t="shared" si="2"/>
        <v>8</v>
      </c>
      <c r="W82" s="19" t="str">
        <f t="shared" si="3"/>
        <v>Não Detectável</v>
      </c>
    </row>
    <row r="83" spans="1:23" ht="24.75" customHeight="1" x14ac:dyDescent="0.2">
      <c r="A83" s="10">
        <v>82</v>
      </c>
      <c r="B83" s="11" t="s">
        <v>282</v>
      </c>
      <c r="C83" s="12" t="s">
        <v>283</v>
      </c>
      <c r="D83" s="10">
        <v>41</v>
      </c>
      <c r="E83" s="10" t="s">
        <v>25</v>
      </c>
      <c r="F83" s="13" t="s">
        <v>284</v>
      </c>
      <c r="G83" s="14" t="s">
        <v>280</v>
      </c>
      <c r="H83" s="15" t="s">
        <v>43</v>
      </c>
      <c r="I83" s="15">
        <v>5</v>
      </c>
      <c r="J83" s="14">
        <v>44095</v>
      </c>
      <c r="K83" s="15" t="s">
        <v>281</v>
      </c>
      <c r="L83" s="14">
        <v>44096</v>
      </c>
      <c r="M83" s="16">
        <v>15.7</v>
      </c>
      <c r="N83" s="16">
        <v>25.7</v>
      </c>
      <c r="O83" s="14" t="s">
        <v>29</v>
      </c>
      <c r="P83" s="15" t="s">
        <v>281</v>
      </c>
      <c r="Q83" s="14">
        <v>44096</v>
      </c>
      <c r="R83" s="16">
        <v>16</v>
      </c>
      <c r="S83" s="16">
        <v>24.7</v>
      </c>
      <c r="T83" s="21" t="str">
        <f t="shared" si="4"/>
        <v>Detectável</v>
      </c>
      <c r="U83" s="14">
        <v>44096</v>
      </c>
      <c r="V83" s="18">
        <f t="shared" si="2"/>
        <v>8</v>
      </c>
      <c r="W83" s="19" t="str">
        <f t="shared" si="3"/>
        <v>Detectável</v>
      </c>
    </row>
    <row r="84" spans="1:23" ht="24.75" customHeight="1" x14ac:dyDescent="0.2">
      <c r="A84" s="10">
        <v>83</v>
      </c>
      <c r="B84" s="11" t="s">
        <v>285</v>
      </c>
      <c r="C84" s="12" t="s">
        <v>286</v>
      </c>
      <c r="D84" s="10">
        <v>25</v>
      </c>
      <c r="E84" s="10" t="s">
        <v>25</v>
      </c>
      <c r="F84" s="13" t="s">
        <v>287</v>
      </c>
      <c r="G84" s="14" t="s">
        <v>280</v>
      </c>
      <c r="H84" s="15" t="s">
        <v>43</v>
      </c>
      <c r="I84" s="15">
        <v>5</v>
      </c>
      <c r="J84" s="14">
        <v>44095</v>
      </c>
      <c r="K84" s="15" t="s">
        <v>281</v>
      </c>
      <c r="L84" s="14">
        <v>44096</v>
      </c>
      <c r="M84" s="16">
        <v>15.7</v>
      </c>
      <c r="N84" s="16">
        <v>25.7</v>
      </c>
      <c r="O84" s="14" t="s">
        <v>29</v>
      </c>
      <c r="P84" s="15" t="s">
        <v>281</v>
      </c>
      <c r="Q84" s="14">
        <v>44096</v>
      </c>
      <c r="R84" s="16">
        <v>13.3</v>
      </c>
      <c r="S84" s="16">
        <v>26.9</v>
      </c>
      <c r="T84" s="21" t="str">
        <f t="shared" si="4"/>
        <v>Detectável</v>
      </c>
      <c r="U84" s="14">
        <v>44096</v>
      </c>
      <c r="V84" s="18">
        <f t="shared" si="2"/>
        <v>8</v>
      </c>
      <c r="W84" s="19" t="str">
        <f t="shared" si="3"/>
        <v>Detectável</v>
      </c>
    </row>
    <row r="85" spans="1:23" ht="24.75" customHeight="1" x14ac:dyDescent="0.2">
      <c r="A85" s="10">
        <v>84</v>
      </c>
      <c r="B85" s="11" t="s">
        <v>288</v>
      </c>
      <c r="C85" s="12" t="s">
        <v>289</v>
      </c>
      <c r="D85" s="10">
        <v>32</v>
      </c>
      <c r="E85" s="10" t="s">
        <v>25</v>
      </c>
      <c r="F85" s="13" t="s">
        <v>290</v>
      </c>
      <c r="G85" s="14" t="s">
        <v>280</v>
      </c>
      <c r="H85" s="15" t="s">
        <v>27</v>
      </c>
      <c r="I85" s="15">
        <v>5</v>
      </c>
      <c r="J85" s="14">
        <v>44095</v>
      </c>
      <c r="K85" s="15" t="s">
        <v>281</v>
      </c>
      <c r="L85" s="14">
        <v>44096</v>
      </c>
      <c r="M85" s="16">
        <v>15.7</v>
      </c>
      <c r="N85" s="16">
        <v>25.7</v>
      </c>
      <c r="O85" s="14" t="s">
        <v>29</v>
      </c>
      <c r="P85" s="15" t="s">
        <v>281</v>
      </c>
      <c r="Q85" s="14">
        <v>44096</v>
      </c>
      <c r="R85" s="16">
        <v>20.7</v>
      </c>
      <c r="S85" s="16">
        <v>26</v>
      </c>
      <c r="T85" s="21" t="str">
        <f t="shared" si="4"/>
        <v>Detectável</v>
      </c>
      <c r="U85" s="14">
        <v>44096</v>
      </c>
      <c r="V85" s="18">
        <f t="shared" si="2"/>
        <v>8</v>
      </c>
      <c r="W85" s="19" t="str">
        <f t="shared" si="3"/>
        <v>Detectável</v>
      </c>
    </row>
    <row r="86" spans="1:23" ht="24.75" customHeight="1" x14ac:dyDescent="0.2">
      <c r="A86" s="10">
        <v>85</v>
      </c>
      <c r="B86" s="11" t="s">
        <v>291</v>
      </c>
      <c r="C86" s="12" t="s">
        <v>292</v>
      </c>
      <c r="D86" s="10">
        <v>61</v>
      </c>
      <c r="E86" s="10" t="s">
        <v>34</v>
      </c>
      <c r="F86" s="13" t="s">
        <v>293</v>
      </c>
      <c r="G86" s="14" t="s">
        <v>280</v>
      </c>
      <c r="H86" s="15" t="s">
        <v>43</v>
      </c>
      <c r="I86" s="15">
        <v>5</v>
      </c>
      <c r="J86" s="14">
        <v>44095</v>
      </c>
      <c r="K86" s="15" t="s">
        <v>281</v>
      </c>
      <c r="L86" s="14">
        <v>44096</v>
      </c>
      <c r="M86" s="16">
        <v>15.7</v>
      </c>
      <c r="N86" s="16">
        <v>25.7</v>
      </c>
      <c r="O86" s="14" t="s">
        <v>29</v>
      </c>
      <c r="P86" s="15" t="s">
        <v>294</v>
      </c>
      <c r="Q86" s="14">
        <v>44097</v>
      </c>
      <c r="R86" s="16" t="s">
        <v>36</v>
      </c>
      <c r="S86" s="16">
        <v>25.908999999999999</v>
      </c>
      <c r="T86" s="21" t="str">
        <f t="shared" si="4"/>
        <v>Não Detectável</v>
      </c>
      <c r="U86" s="14">
        <v>44098</v>
      </c>
      <c r="V86" s="18">
        <f t="shared" si="2"/>
        <v>8</v>
      </c>
      <c r="W86" s="19" t="str">
        <f t="shared" si="3"/>
        <v>Não Detectável</v>
      </c>
    </row>
    <row r="87" spans="1:23" ht="24.75" customHeight="1" x14ac:dyDescent="0.2">
      <c r="A87" s="10">
        <v>86</v>
      </c>
      <c r="B87" s="11" t="s">
        <v>295</v>
      </c>
      <c r="C87" s="12" t="s">
        <v>296</v>
      </c>
      <c r="D87" s="10">
        <v>64</v>
      </c>
      <c r="E87" s="10" t="s">
        <v>34</v>
      </c>
      <c r="F87" s="13" t="s">
        <v>297</v>
      </c>
      <c r="G87" s="14" t="s">
        <v>280</v>
      </c>
      <c r="H87" s="15" t="s">
        <v>43</v>
      </c>
      <c r="I87" s="15">
        <v>5</v>
      </c>
      <c r="J87" s="14">
        <v>44095</v>
      </c>
      <c r="K87" s="15" t="s">
        <v>281</v>
      </c>
      <c r="L87" s="14">
        <v>44096</v>
      </c>
      <c r="M87" s="16">
        <v>15.7</v>
      </c>
      <c r="N87" s="16">
        <v>25.7</v>
      </c>
      <c r="O87" s="14" t="s">
        <v>29</v>
      </c>
      <c r="P87" s="15" t="s">
        <v>281</v>
      </c>
      <c r="Q87" s="14">
        <v>44096</v>
      </c>
      <c r="R87" s="16" t="s">
        <v>36</v>
      </c>
      <c r="S87" s="16">
        <v>29.2</v>
      </c>
      <c r="T87" s="21" t="str">
        <f t="shared" si="4"/>
        <v>Não Detectável</v>
      </c>
      <c r="U87" s="14">
        <v>44096</v>
      </c>
      <c r="V87" s="18">
        <f t="shared" si="2"/>
        <v>8</v>
      </c>
      <c r="W87" s="19" t="str">
        <f t="shared" si="3"/>
        <v>Não Detectável</v>
      </c>
    </row>
    <row r="88" spans="1:23" ht="24.75" customHeight="1" x14ac:dyDescent="0.2">
      <c r="A88" s="10">
        <v>87</v>
      </c>
      <c r="B88" s="11" t="s">
        <v>298</v>
      </c>
      <c r="C88" s="12" t="s">
        <v>299</v>
      </c>
      <c r="D88" s="10">
        <v>27</v>
      </c>
      <c r="E88" s="10" t="s">
        <v>34</v>
      </c>
      <c r="F88" s="13" t="s">
        <v>300</v>
      </c>
      <c r="G88" s="14" t="s">
        <v>280</v>
      </c>
      <c r="H88" s="15" t="s">
        <v>27</v>
      </c>
      <c r="I88" s="15">
        <v>5</v>
      </c>
      <c r="J88" s="14">
        <v>44095</v>
      </c>
      <c r="K88" s="15" t="s">
        <v>281</v>
      </c>
      <c r="L88" s="14">
        <v>44096</v>
      </c>
      <c r="M88" s="16">
        <v>15.7</v>
      </c>
      <c r="N88" s="16">
        <v>25.7</v>
      </c>
      <c r="O88" s="14" t="s">
        <v>29</v>
      </c>
      <c r="P88" s="15" t="s">
        <v>281</v>
      </c>
      <c r="Q88" s="14">
        <v>44096</v>
      </c>
      <c r="R88" s="16">
        <v>15.3</v>
      </c>
      <c r="S88" s="16">
        <v>24.9</v>
      </c>
      <c r="T88" s="21" t="str">
        <f t="shared" si="4"/>
        <v>Detectável</v>
      </c>
      <c r="U88" s="14">
        <v>44096</v>
      </c>
      <c r="V88" s="18">
        <f t="shared" si="2"/>
        <v>8</v>
      </c>
      <c r="W88" s="19" t="str">
        <f t="shared" si="3"/>
        <v>Detectável</v>
      </c>
    </row>
    <row r="89" spans="1:23" ht="24.75" customHeight="1" x14ac:dyDescent="0.2">
      <c r="A89" s="10">
        <v>88</v>
      </c>
      <c r="B89" s="11" t="s">
        <v>301</v>
      </c>
      <c r="C89" s="12" t="s">
        <v>302</v>
      </c>
      <c r="D89" s="10">
        <v>59</v>
      </c>
      <c r="E89" s="10" t="s">
        <v>25</v>
      </c>
      <c r="F89" s="13" t="s">
        <v>303</v>
      </c>
      <c r="G89" s="14" t="s">
        <v>280</v>
      </c>
      <c r="H89" s="15" t="s">
        <v>43</v>
      </c>
      <c r="I89" s="15">
        <v>5</v>
      </c>
      <c r="J89" s="14">
        <v>44095</v>
      </c>
      <c r="K89" s="15" t="s">
        <v>281</v>
      </c>
      <c r="L89" s="14">
        <v>44096</v>
      </c>
      <c r="M89" s="16">
        <v>15.7</v>
      </c>
      <c r="N89" s="16">
        <v>25.7</v>
      </c>
      <c r="O89" s="14" t="s">
        <v>29</v>
      </c>
      <c r="P89" s="15" t="s">
        <v>281</v>
      </c>
      <c r="Q89" s="14">
        <v>44096</v>
      </c>
      <c r="R89" s="16">
        <v>21.8</v>
      </c>
      <c r="S89" s="16">
        <v>27.2</v>
      </c>
      <c r="T89" s="21" t="str">
        <f t="shared" si="4"/>
        <v>Detectável</v>
      </c>
      <c r="U89" s="14">
        <v>44096</v>
      </c>
      <c r="V89" s="18">
        <f t="shared" si="2"/>
        <v>8</v>
      </c>
      <c r="W89" s="19" t="str">
        <f t="shared" si="3"/>
        <v>Detectável</v>
      </c>
    </row>
    <row r="90" spans="1:23" ht="24.75" customHeight="1" x14ac:dyDescent="0.2">
      <c r="A90" s="10">
        <v>89</v>
      </c>
      <c r="B90" s="11" t="s">
        <v>304</v>
      </c>
      <c r="C90" s="12" t="s">
        <v>305</v>
      </c>
      <c r="D90" s="10">
        <v>25</v>
      </c>
      <c r="E90" s="10" t="s">
        <v>25</v>
      </c>
      <c r="F90" s="13" t="s">
        <v>303</v>
      </c>
      <c r="G90" s="14" t="s">
        <v>280</v>
      </c>
      <c r="H90" s="15" t="s">
        <v>27</v>
      </c>
      <c r="I90" s="10">
        <v>6</v>
      </c>
      <c r="J90" s="14">
        <v>44095</v>
      </c>
      <c r="K90" s="15" t="s">
        <v>281</v>
      </c>
      <c r="L90" s="14">
        <v>44096</v>
      </c>
      <c r="M90" s="16">
        <v>19.7</v>
      </c>
      <c r="N90" s="16">
        <v>25.6</v>
      </c>
      <c r="O90" s="14" t="s">
        <v>29</v>
      </c>
      <c r="P90" s="15" t="s">
        <v>294</v>
      </c>
      <c r="Q90" s="14">
        <v>44097</v>
      </c>
      <c r="R90" s="16">
        <v>19.295000000000002</v>
      </c>
      <c r="S90" s="16">
        <v>24.739000000000001</v>
      </c>
      <c r="T90" s="21" t="str">
        <f t="shared" si="4"/>
        <v>Detectável</v>
      </c>
      <c r="U90" s="14">
        <v>44098</v>
      </c>
      <c r="V90" s="18">
        <f t="shared" si="2"/>
        <v>8</v>
      </c>
      <c r="W90" s="19" t="str">
        <f t="shared" si="3"/>
        <v>Detectável</v>
      </c>
    </row>
    <row r="91" spans="1:23" ht="24.75" customHeight="1" x14ac:dyDescent="0.2">
      <c r="A91" s="10">
        <v>90</v>
      </c>
      <c r="B91" s="11" t="s">
        <v>306</v>
      </c>
      <c r="C91" s="12" t="s">
        <v>307</v>
      </c>
      <c r="D91" s="10">
        <v>44</v>
      </c>
      <c r="E91" s="10" t="s">
        <v>34</v>
      </c>
      <c r="F91" s="13" t="s">
        <v>308</v>
      </c>
      <c r="G91" s="14" t="s">
        <v>280</v>
      </c>
      <c r="H91" s="15" t="s">
        <v>43</v>
      </c>
      <c r="I91" s="10">
        <v>6</v>
      </c>
      <c r="J91" s="14">
        <v>44095</v>
      </c>
      <c r="K91" s="15" t="s">
        <v>281</v>
      </c>
      <c r="L91" s="14">
        <v>44096</v>
      </c>
      <c r="M91" s="16">
        <v>19.7</v>
      </c>
      <c r="N91" s="16">
        <v>25.6</v>
      </c>
      <c r="O91" s="14" t="s">
        <v>29</v>
      </c>
      <c r="P91" s="15" t="s">
        <v>294</v>
      </c>
      <c r="Q91" s="14">
        <v>44097</v>
      </c>
      <c r="R91" s="16">
        <v>18.785</v>
      </c>
      <c r="S91" s="16">
        <v>25.545999999999999</v>
      </c>
      <c r="T91" s="21" t="str">
        <f t="shared" si="4"/>
        <v>Detectável</v>
      </c>
      <c r="U91" s="14">
        <v>44098</v>
      </c>
      <c r="V91" s="18">
        <f t="shared" si="2"/>
        <v>8</v>
      </c>
      <c r="W91" s="19" t="str">
        <f t="shared" si="3"/>
        <v>Detectável</v>
      </c>
    </row>
    <row r="92" spans="1:23" ht="24.75" customHeight="1" x14ac:dyDescent="0.2">
      <c r="A92" s="10">
        <v>91</v>
      </c>
      <c r="B92" s="11" t="s">
        <v>309</v>
      </c>
      <c r="C92" s="12" t="s">
        <v>310</v>
      </c>
      <c r="D92" s="10">
        <v>40</v>
      </c>
      <c r="E92" s="10" t="s">
        <v>25</v>
      </c>
      <c r="F92" s="13" t="s">
        <v>311</v>
      </c>
      <c r="G92" s="14" t="s">
        <v>280</v>
      </c>
      <c r="H92" s="15" t="s">
        <v>27</v>
      </c>
      <c r="I92" s="10">
        <v>6</v>
      </c>
      <c r="J92" s="14">
        <v>44095</v>
      </c>
      <c r="K92" s="15" t="s">
        <v>281</v>
      </c>
      <c r="L92" s="14">
        <v>44096</v>
      </c>
      <c r="M92" s="16">
        <v>19.7</v>
      </c>
      <c r="N92" s="16">
        <v>25.6</v>
      </c>
      <c r="O92" s="14" t="s">
        <v>29</v>
      </c>
      <c r="P92" s="15" t="s">
        <v>294</v>
      </c>
      <c r="Q92" s="14">
        <v>44097</v>
      </c>
      <c r="R92" s="16">
        <v>19.971</v>
      </c>
      <c r="S92" s="16">
        <v>25.5</v>
      </c>
      <c r="T92" s="21" t="str">
        <f t="shared" si="4"/>
        <v>Detectável</v>
      </c>
      <c r="U92" s="14">
        <v>44098</v>
      </c>
      <c r="V92" s="18">
        <f t="shared" si="2"/>
        <v>8</v>
      </c>
      <c r="W92" s="19" t="str">
        <f t="shared" si="3"/>
        <v>Detectável</v>
      </c>
    </row>
    <row r="93" spans="1:23" ht="24.75" customHeight="1" x14ac:dyDescent="0.2">
      <c r="A93" s="10">
        <v>92</v>
      </c>
      <c r="B93" s="11" t="s">
        <v>312</v>
      </c>
      <c r="C93" s="12" t="s">
        <v>313</v>
      </c>
      <c r="D93" s="10">
        <v>54</v>
      </c>
      <c r="E93" s="10" t="s">
        <v>25</v>
      </c>
      <c r="F93" s="13" t="s">
        <v>314</v>
      </c>
      <c r="G93" s="14" t="s">
        <v>280</v>
      </c>
      <c r="H93" s="15" t="s">
        <v>27</v>
      </c>
      <c r="I93" s="10">
        <v>6</v>
      </c>
      <c r="J93" s="14">
        <v>44095</v>
      </c>
      <c r="K93" s="15" t="s">
        <v>281</v>
      </c>
      <c r="L93" s="14">
        <v>44096</v>
      </c>
      <c r="M93" s="16">
        <v>19.7</v>
      </c>
      <c r="N93" s="16">
        <v>25.6</v>
      </c>
      <c r="O93" s="14" t="s">
        <v>29</v>
      </c>
      <c r="P93" s="15" t="s">
        <v>294</v>
      </c>
      <c r="Q93" s="14">
        <v>44097</v>
      </c>
      <c r="R93" s="16">
        <v>19.812000000000001</v>
      </c>
      <c r="S93" s="16">
        <v>24.768999999999998</v>
      </c>
      <c r="T93" s="21" t="str">
        <f t="shared" si="4"/>
        <v>Detectável</v>
      </c>
      <c r="U93" s="14">
        <v>44098</v>
      </c>
      <c r="V93" s="18">
        <f t="shared" si="2"/>
        <v>8</v>
      </c>
      <c r="W93" s="19" t="str">
        <f t="shared" si="3"/>
        <v>Detectável</v>
      </c>
    </row>
    <row r="94" spans="1:23" ht="24.75" customHeight="1" x14ac:dyDescent="0.2">
      <c r="A94" s="10">
        <v>93</v>
      </c>
      <c r="B94" s="11" t="s">
        <v>315</v>
      </c>
      <c r="C94" s="12" t="s">
        <v>316</v>
      </c>
      <c r="D94" s="10">
        <v>24</v>
      </c>
      <c r="E94" s="10" t="s">
        <v>34</v>
      </c>
      <c r="F94" s="13" t="s">
        <v>317</v>
      </c>
      <c r="G94" s="14" t="s">
        <v>280</v>
      </c>
      <c r="H94" s="15" t="s">
        <v>43</v>
      </c>
      <c r="I94" s="10">
        <v>6</v>
      </c>
      <c r="J94" s="14">
        <v>44095</v>
      </c>
      <c r="K94" s="15" t="s">
        <v>281</v>
      </c>
      <c r="L94" s="14">
        <v>44096</v>
      </c>
      <c r="M94" s="16">
        <v>19.7</v>
      </c>
      <c r="N94" s="16">
        <v>25.6</v>
      </c>
      <c r="O94" s="14" t="s">
        <v>29</v>
      </c>
      <c r="P94" s="15" t="s">
        <v>294</v>
      </c>
      <c r="Q94" s="14">
        <v>44097</v>
      </c>
      <c r="R94" s="16" t="s">
        <v>36</v>
      </c>
      <c r="S94" s="16">
        <v>25.431999999999999</v>
      </c>
      <c r="T94" s="21" t="str">
        <f t="shared" si="4"/>
        <v>Não Detectável</v>
      </c>
      <c r="U94" s="14">
        <v>44098</v>
      </c>
      <c r="V94" s="18">
        <f t="shared" si="2"/>
        <v>8</v>
      </c>
      <c r="W94" s="19" t="str">
        <f t="shared" si="3"/>
        <v>Não Detectável</v>
      </c>
    </row>
    <row r="95" spans="1:23" ht="24.75" customHeight="1" x14ac:dyDescent="0.2">
      <c r="A95" s="10">
        <v>94</v>
      </c>
      <c r="B95" s="11" t="s">
        <v>318</v>
      </c>
      <c r="C95" s="12" t="s">
        <v>319</v>
      </c>
      <c r="D95" s="10">
        <v>38</v>
      </c>
      <c r="E95" s="10" t="s">
        <v>34</v>
      </c>
      <c r="F95" s="13" t="s">
        <v>320</v>
      </c>
      <c r="G95" s="14" t="s">
        <v>321</v>
      </c>
      <c r="H95" s="15" t="s">
        <v>60</v>
      </c>
      <c r="I95" s="10">
        <v>6</v>
      </c>
      <c r="J95" s="14">
        <v>44096</v>
      </c>
      <c r="K95" s="15" t="s">
        <v>281</v>
      </c>
      <c r="L95" s="14">
        <v>44096</v>
      </c>
      <c r="M95" s="16">
        <v>19.7</v>
      </c>
      <c r="N95" s="16">
        <v>25.6</v>
      </c>
      <c r="O95" s="14" t="s">
        <v>29</v>
      </c>
      <c r="P95" s="15" t="s">
        <v>294</v>
      </c>
      <c r="Q95" s="14">
        <v>44097</v>
      </c>
      <c r="R95" s="16" t="s">
        <v>36</v>
      </c>
      <c r="S95" s="16">
        <v>24.405999999999999</v>
      </c>
      <c r="T95" s="21" t="str">
        <f t="shared" si="4"/>
        <v>Não Detectável</v>
      </c>
      <c r="U95" s="14">
        <v>44098</v>
      </c>
      <c r="V95" s="18">
        <f t="shared" si="2"/>
        <v>8</v>
      </c>
      <c r="W95" s="19" t="str">
        <f t="shared" si="3"/>
        <v>Não Detectável</v>
      </c>
    </row>
    <row r="96" spans="1:23" ht="24.75" customHeight="1" x14ac:dyDescent="0.2">
      <c r="A96" s="10">
        <v>95</v>
      </c>
      <c r="B96" s="11" t="s">
        <v>322</v>
      </c>
      <c r="C96" s="12" t="s">
        <v>323</v>
      </c>
      <c r="D96" s="10">
        <v>39</v>
      </c>
      <c r="E96" s="10" t="s">
        <v>34</v>
      </c>
      <c r="F96" s="13" t="s">
        <v>324</v>
      </c>
      <c r="G96" s="14" t="s">
        <v>321</v>
      </c>
      <c r="H96" s="15" t="s">
        <v>60</v>
      </c>
      <c r="I96" s="10">
        <v>6</v>
      </c>
      <c r="J96" s="14">
        <v>44096</v>
      </c>
      <c r="K96" s="15" t="s">
        <v>281</v>
      </c>
      <c r="L96" s="14">
        <v>44096</v>
      </c>
      <c r="M96" s="16">
        <v>19.7</v>
      </c>
      <c r="N96" s="16">
        <v>25.6</v>
      </c>
      <c r="O96" s="14" t="s">
        <v>29</v>
      </c>
      <c r="P96" s="15" t="s">
        <v>294</v>
      </c>
      <c r="Q96" s="14">
        <v>44097</v>
      </c>
      <c r="R96" s="16" t="s">
        <v>36</v>
      </c>
      <c r="S96" s="16">
        <v>25.324999999999999</v>
      </c>
      <c r="T96" s="21" t="str">
        <f t="shared" si="4"/>
        <v>Não Detectável</v>
      </c>
      <c r="U96" s="14">
        <v>44098</v>
      </c>
      <c r="V96" s="18">
        <f t="shared" si="2"/>
        <v>8</v>
      </c>
      <c r="W96" s="19" t="str">
        <f t="shared" si="3"/>
        <v>Não Detectável</v>
      </c>
    </row>
    <row r="97" spans="1:23" ht="24.75" customHeight="1" x14ac:dyDescent="0.2">
      <c r="A97" s="10">
        <v>96</v>
      </c>
      <c r="B97" s="11" t="s">
        <v>325</v>
      </c>
      <c r="C97" s="12" t="s">
        <v>326</v>
      </c>
      <c r="D97" s="10">
        <v>36</v>
      </c>
      <c r="E97" s="10" t="s">
        <v>34</v>
      </c>
      <c r="F97" s="13" t="s">
        <v>327</v>
      </c>
      <c r="G97" s="14" t="s">
        <v>321</v>
      </c>
      <c r="H97" s="15" t="s">
        <v>60</v>
      </c>
      <c r="I97" s="10">
        <v>6</v>
      </c>
      <c r="J97" s="14">
        <v>44096</v>
      </c>
      <c r="K97" s="15" t="s">
        <v>281</v>
      </c>
      <c r="L97" s="14">
        <v>44096</v>
      </c>
      <c r="M97" s="16">
        <v>19.7</v>
      </c>
      <c r="N97" s="16">
        <v>25.6</v>
      </c>
      <c r="O97" s="14" t="s">
        <v>29</v>
      </c>
      <c r="P97" s="15" t="s">
        <v>294</v>
      </c>
      <c r="Q97" s="14">
        <v>44097</v>
      </c>
      <c r="R97" s="16" t="s">
        <v>36</v>
      </c>
      <c r="S97" s="16">
        <v>25.536000000000001</v>
      </c>
      <c r="T97" s="21" t="str">
        <f t="shared" ref="T97:T112" si="5">IF(R97="","",IF(R97&gt;37,IF(S97="Ind.","Inconclusivo","Não Detectável"),"Detectável"))</f>
        <v>Não Detectável</v>
      </c>
      <c r="U97" s="14">
        <v>44098</v>
      </c>
      <c r="V97" s="18">
        <f t="shared" si="2"/>
        <v>8</v>
      </c>
      <c r="W97" s="19" t="str">
        <f t="shared" si="3"/>
        <v>Não Detectável</v>
      </c>
    </row>
    <row r="98" spans="1:23" ht="24.75" customHeight="1" x14ac:dyDescent="0.2">
      <c r="A98" s="10">
        <v>97</v>
      </c>
      <c r="B98" s="11" t="s">
        <v>328</v>
      </c>
      <c r="C98" s="12" t="s">
        <v>329</v>
      </c>
      <c r="D98" s="10">
        <v>22</v>
      </c>
      <c r="E98" s="10" t="s">
        <v>25</v>
      </c>
      <c r="F98" s="13" t="s">
        <v>330</v>
      </c>
      <c r="G98" s="14" t="s">
        <v>321</v>
      </c>
      <c r="H98" s="15" t="s">
        <v>60</v>
      </c>
      <c r="I98" s="10">
        <v>7</v>
      </c>
      <c r="J98" s="14">
        <v>44096</v>
      </c>
      <c r="K98" s="15" t="s">
        <v>281</v>
      </c>
      <c r="L98" s="14">
        <v>44096</v>
      </c>
      <c r="M98" s="16">
        <v>15.7</v>
      </c>
      <c r="N98" s="16">
        <v>25.7</v>
      </c>
      <c r="O98" s="14" t="s">
        <v>29</v>
      </c>
      <c r="P98" s="15" t="s">
        <v>294</v>
      </c>
      <c r="Q98" s="14">
        <v>44097</v>
      </c>
      <c r="R98" s="16">
        <v>18.219000000000001</v>
      </c>
      <c r="S98" s="16">
        <v>26.221</v>
      </c>
      <c r="T98" s="21" t="str">
        <f t="shared" si="5"/>
        <v>Detectável</v>
      </c>
      <c r="U98" s="14">
        <v>44098</v>
      </c>
      <c r="V98" s="18">
        <f t="shared" si="2"/>
        <v>8</v>
      </c>
      <c r="W98" s="19" t="str">
        <f t="shared" si="3"/>
        <v>Detectável</v>
      </c>
    </row>
    <row r="99" spans="1:23" ht="24.75" customHeight="1" x14ac:dyDescent="0.2">
      <c r="A99" s="10">
        <v>98</v>
      </c>
      <c r="B99" s="11" t="s">
        <v>331</v>
      </c>
      <c r="C99" s="12" t="s">
        <v>332</v>
      </c>
      <c r="D99" s="10">
        <v>23</v>
      </c>
      <c r="E99" s="10" t="s">
        <v>34</v>
      </c>
      <c r="F99" s="13" t="s">
        <v>333</v>
      </c>
      <c r="G99" s="14" t="s">
        <v>321</v>
      </c>
      <c r="H99" s="15" t="s">
        <v>60</v>
      </c>
      <c r="I99" s="10">
        <v>7</v>
      </c>
      <c r="J99" s="14">
        <v>44096</v>
      </c>
      <c r="K99" s="15" t="s">
        <v>281</v>
      </c>
      <c r="L99" s="14">
        <v>44096</v>
      </c>
      <c r="M99" s="16">
        <v>15.7</v>
      </c>
      <c r="N99" s="16">
        <v>25.7</v>
      </c>
      <c r="O99" s="14" t="s">
        <v>29</v>
      </c>
      <c r="P99" s="15" t="s">
        <v>294</v>
      </c>
      <c r="Q99" s="14">
        <v>44097</v>
      </c>
      <c r="R99" s="16" t="s">
        <v>36</v>
      </c>
      <c r="S99" s="16">
        <v>25.812999999999999</v>
      </c>
      <c r="T99" s="21" t="str">
        <f t="shared" si="5"/>
        <v>Não Detectável</v>
      </c>
      <c r="U99" s="14">
        <v>44098</v>
      </c>
      <c r="V99" s="18">
        <f t="shared" si="2"/>
        <v>8</v>
      </c>
      <c r="W99" s="19" t="str">
        <f t="shared" si="3"/>
        <v>Não Detectável</v>
      </c>
    </row>
    <row r="100" spans="1:23" ht="24.75" customHeight="1" x14ac:dyDescent="0.2">
      <c r="A100" s="10">
        <v>99</v>
      </c>
      <c r="B100" s="11" t="s">
        <v>334</v>
      </c>
      <c r="C100" s="12" t="s">
        <v>335</v>
      </c>
      <c r="D100" s="10">
        <v>51</v>
      </c>
      <c r="E100" s="10" t="s">
        <v>25</v>
      </c>
      <c r="F100" s="13" t="s">
        <v>336</v>
      </c>
      <c r="G100" s="14" t="s">
        <v>321</v>
      </c>
      <c r="H100" s="15" t="s">
        <v>60</v>
      </c>
      <c r="I100" s="10">
        <v>7</v>
      </c>
      <c r="J100" s="14">
        <v>44096</v>
      </c>
      <c r="K100" s="15" t="s">
        <v>281</v>
      </c>
      <c r="L100" s="14">
        <v>44096</v>
      </c>
      <c r="M100" s="16">
        <v>15.7</v>
      </c>
      <c r="N100" s="16">
        <v>25.7</v>
      </c>
      <c r="O100" s="14" t="s">
        <v>29</v>
      </c>
      <c r="P100" s="15" t="s">
        <v>294</v>
      </c>
      <c r="Q100" s="14">
        <v>44097</v>
      </c>
      <c r="R100" s="16" t="s">
        <v>36</v>
      </c>
      <c r="S100" s="16">
        <v>26.512</v>
      </c>
      <c r="T100" s="21" t="str">
        <f t="shared" si="5"/>
        <v>Não Detectável</v>
      </c>
      <c r="U100" s="14">
        <v>44098</v>
      </c>
      <c r="V100" s="18">
        <f t="shared" si="2"/>
        <v>8</v>
      </c>
      <c r="W100" s="19" t="str">
        <f t="shared" si="3"/>
        <v>Não Detectável</v>
      </c>
    </row>
    <row r="101" spans="1:23" ht="24.75" customHeight="1" x14ac:dyDescent="0.2">
      <c r="A101" s="10">
        <v>100</v>
      </c>
      <c r="B101" s="11" t="s">
        <v>337</v>
      </c>
      <c r="C101" s="12" t="s">
        <v>338</v>
      </c>
      <c r="D101" s="10">
        <v>37</v>
      </c>
      <c r="E101" s="10" t="s">
        <v>34</v>
      </c>
      <c r="F101" s="13" t="s">
        <v>339</v>
      </c>
      <c r="G101" s="14" t="s">
        <v>321</v>
      </c>
      <c r="H101" s="15" t="s">
        <v>60</v>
      </c>
      <c r="I101" s="10">
        <v>7</v>
      </c>
      <c r="J101" s="14">
        <v>44096</v>
      </c>
      <c r="K101" s="15" t="s">
        <v>281</v>
      </c>
      <c r="L101" s="14">
        <v>44096</v>
      </c>
      <c r="M101" s="16">
        <v>15.7</v>
      </c>
      <c r="N101" s="16">
        <v>25.7</v>
      </c>
      <c r="O101" s="14" t="s">
        <v>29</v>
      </c>
      <c r="P101" s="15" t="s">
        <v>294</v>
      </c>
      <c r="Q101" s="14">
        <v>44097</v>
      </c>
      <c r="R101" s="16" t="s">
        <v>36</v>
      </c>
      <c r="S101" s="16">
        <v>24.039000000000001</v>
      </c>
      <c r="T101" s="21" t="str">
        <f t="shared" si="5"/>
        <v>Não Detectável</v>
      </c>
      <c r="U101" s="14">
        <v>44098</v>
      </c>
      <c r="V101" s="18">
        <f t="shared" si="2"/>
        <v>8</v>
      </c>
      <c r="W101" s="19" t="str">
        <f t="shared" si="3"/>
        <v>Não Detectável</v>
      </c>
    </row>
    <row r="102" spans="1:23" ht="24.75" customHeight="1" x14ac:dyDescent="0.2">
      <c r="A102" s="10">
        <v>101</v>
      </c>
      <c r="B102" s="11" t="s">
        <v>340</v>
      </c>
      <c r="C102" s="12" t="s">
        <v>341</v>
      </c>
      <c r="D102" s="10">
        <v>41</v>
      </c>
      <c r="E102" s="10" t="s">
        <v>34</v>
      </c>
      <c r="F102" s="13" t="s">
        <v>342</v>
      </c>
      <c r="G102" s="14" t="s">
        <v>321</v>
      </c>
      <c r="H102" s="15" t="s">
        <v>60</v>
      </c>
      <c r="I102" s="10">
        <v>7</v>
      </c>
      <c r="J102" s="14">
        <v>44096</v>
      </c>
      <c r="K102" s="15" t="s">
        <v>281</v>
      </c>
      <c r="L102" s="14">
        <v>44096</v>
      </c>
      <c r="M102" s="16">
        <v>15.7</v>
      </c>
      <c r="N102" s="16">
        <v>25.7</v>
      </c>
      <c r="O102" s="14" t="s">
        <v>29</v>
      </c>
      <c r="P102" s="15" t="s">
        <v>294</v>
      </c>
      <c r="Q102" s="14">
        <v>44097</v>
      </c>
      <c r="R102" s="16" t="s">
        <v>36</v>
      </c>
      <c r="S102" s="16">
        <v>26.484999999999999</v>
      </c>
      <c r="T102" s="21" t="str">
        <f t="shared" si="5"/>
        <v>Não Detectável</v>
      </c>
      <c r="U102" s="14">
        <v>44098</v>
      </c>
      <c r="V102" s="18">
        <f t="shared" si="2"/>
        <v>8</v>
      </c>
      <c r="W102" s="19" t="str">
        <f t="shared" si="3"/>
        <v>Não Detectável</v>
      </c>
    </row>
    <row r="103" spans="1:23" ht="24.75" customHeight="1" x14ac:dyDescent="0.2">
      <c r="A103" s="10">
        <v>102</v>
      </c>
      <c r="B103" s="11" t="s">
        <v>343</v>
      </c>
      <c r="C103" s="12" t="s">
        <v>344</v>
      </c>
      <c r="D103" s="10">
        <v>47</v>
      </c>
      <c r="E103" s="10" t="s">
        <v>34</v>
      </c>
      <c r="F103" s="13" t="s">
        <v>345</v>
      </c>
      <c r="G103" s="14" t="s">
        <v>321</v>
      </c>
      <c r="H103" s="15" t="s">
        <v>60</v>
      </c>
      <c r="I103" s="10">
        <v>7</v>
      </c>
      <c r="J103" s="14">
        <v>44096</v>
      </c>
      <c r="K103" s="15" t="s">
        <v>281</v>
      </c>
      <c r="L103" s="14">
        <v>44096</v>
      </c>
      <c r="M103" s="16">
        <v>15.7</v>
      </c>
      <c r="N103" s="16">
        <v>25.7</v>
      </c>
      <c r="O103" s="14" t="s">
        <v>29</v>
      </c>
      <c r="P103" s="15" t="s">
        <v>294</v>
      </c>
      <c r="Q103" s="14">
        <v>44097</v>
      </c>
      <c r="R103" s="16" t="s">
        <v>36</v>
      </c>
      <c r="S103" s="16">
        <v>25.936</v>
      </c>
      <c r="T103" s="21" t="str">
        <f t="shared" si="5"/>
        <v>Não Detectável</v>
      </c>
      <c r="U103" s="14">
        <v>44098</v>
      </c>
      <c r="V103" s="18">
        <f t="shared" si="2"/>
        <v>8</v>
      </c>
      <c r="W103" s="19" t="str">
        <f t="shared" si="3"/>
        <v>Não Detectável</v>
      </c>
    </row>
    <row r="104" spans="1:23" ht="24.75" customHeight="1" x14ac:dyDescent="0.2">
      <c r="A104" s="10">
        <v>103</v>
      </c>
      <c r="B104" s="11" t="s">
        <v>346</v>
      </c>
      <c r="C104" s="12" t="s">
        <v>347</v>
      </c>
      <c r="D104" s="10">
        <v>29</v>
      </c>
      <c r="E104" s="10" t="s">
        <v>34</v>
      </c>
      <c r="F104" s="13" t="s">
        <v>348</v>
      </c>
      <c r="G104" s="14" t="s">
        <v>321</v>
      </c>
      <c r="H104" s="15" t="s">
        <v>60</v>
      </c>
      <c r="I104" s="10">
        <v>7</v>
      </c>
      <c r="J104" s="14">
        <v>44096</v>
      </c>
      <c r="K104" s="15" t="s">
        <v>281</v>
      </c>
      <c r="L104" s="14">
        <v>44096</v>
      </c>
      <c r="M104" s="16">
        <v>15.7</v>
      </c>
      <c r="N104" s="16">
        <v>25.7</v>
      </c>
      <c r="O104" s="14" t="s">
        <v>29</v>
      </c>
      <c r="P104" s="15" t="s">
        <v>294</v>
      </c>
      <c r="Q104" s="14">
        <v>44097</v>
      </c>
      <c r="R104" s="16">
        <v>20.327999999999999</v>
      </c>
      <c r="S104" s="16">
        <v>26.004000000000001</v>
      </c>
      <c r="T104" s="21" t="str">
        <f t="shared" si="5"/>
        <v>Detectável</v>
      </c>
      <c r="U104" s="14">
        <v>44098</v>
      </c>
      <c r="V104" s="18">
        <f t="shared" si="2"/>
        <v>8</v>
      </c>
      <c r="W104" s="19" t="str">
        <f t="shared" si="3"/>
        <v>Detectável</v>
      </c>
    </row>
    <row r="105" spans="1:23" ht="24.75" customHeight="1" x14ac:dyDescent="0.2">
      <c r="A105" s="10">
        <v>104</v>
      </c>
      <c r="B105" s="11" t="s">
        <v>349</v>
      </c>
      <c r="C105" s="12" t="s">
        <v>350</v>
      </c>
      <c r="D105" s="10">
        <v>53</v>
      </c>
      <c r="E105" s="10" t="s">
        <v>25</v>
      </c>
      <c r="F105" s="13" t="s">
        <v>351</v>
      </c>
      <c r="G105" s="14" t="s">
        <v>321</v>
      </c>
      <c r="H105" s="15" t="s">
        <v>60</v>
      </c>
      <c r="I105" s="10">
        <v>7</v>
      </c>
      <c r="J105" s="14">
        <v>44096</v>
      </c>
      <c r="K105" s="15" t="s">
        <v>281</v>
      </c>
      <c r="L105" s="14">
        <v>44096</v>
      </c>
      <c r="M105" s="16">
        <v>15.7</v>
      </c>
      <c r="N105" s="16">
        <v>25.7</v>
      </c>
      <c r="O105" s="14" t="s">
        <v>29</v>
      </c>
      <c r="P105" s="15" t="s">
        <v>294</v>
      </c>
      <c r="Q105" s="14">
        <v>44097</v>
      </c>
      <c r="R105" s="16" t="s">
        <v>36</v>
      </c>
      <c r="S105" s="16">
        <v>25.376999999999999</v>
      </c>
      <c r="T105" s="21" t="str">
        <f t="shared" si="5"/>
        <v>Não Detectável</v>
      </c>
      <c r="U105" s="14">
        <v>44098</v>
      </c>
      <c r="V105" s="18">
        <f t="shared" si="2"/>
        <v>8</v>
      </c>
      <c r="W105" s="19" t="str">
        <f t="shared" si="3"/>
        <v>Não Detectável</v>
      </c>
    </row>
    <row r="106" spans="1:23" ht="24.75" customHeight="1" x14ac:dyDescent="0.2">
      <c r="A106" s="10">
        <v>105</v>
      </c>
      <c r="B106" s="11" t="s">
        <v>352</v>
      </c>
      <c r="C106" s="12" t="s">
        <v>353</v>
      </c>
      <c r="D106" s="10">
        <v>48</v>
      </c>
      <c r="E106" s="10" t="s">
        <v>25</v>
      </c>
      <c r="F106" s="13" t="s">
        <v>354</v>
      </c>
      <c r="G106" s="14" t="s">
        <v>355</v>
      </c>
      <c r="H106" s="15" t="s">
        <v>60</v>
      </c>
      <c r="I106" s="10">
        <v>8</v>
      </c>
      <c r="J106" s="14">
        <v>44097</v>
      </c>
      <c r="K106" s="15" t="s">
        <v>294</v>
      </c>
      <c r="L106" s="14">
        <v>44097</v>
      </c>
      <c r="M106" s="16">
        <v>23.1</v>
      </c>
      <c r="N106" s="16">
        <v>25.52</v>
      </c>
      <c r="O106" s="14" t="s">
        <v>29</v>
      </c>
      <c r="P106" s="15" t="s">
        <v>356</v>
      </c>
      <c r="Q106" s="14">
        <v>44102</v>
      </c>
      <c r="R106" s="16" t="s">
        <v>36</v>
      </c>
      <c r="S106" s="16">
        <v>26.6</v>
      </c>
      <c r="T106" s="21" t="str">
        <f t="shared" si="5"/>
        <v>Não Detectável</v>
      </c>
      <c r="U106" s="14">
        <v>44102</v>
      </c>
      <c r="V106" s="18">
        <f t="shared" si="2"/>
        <v>8</v>
      </c>
      <c r="W106" s="19" t="str">
        <f t="shared" si="3"/>
        <v>Não Detectável</v>
      </c>
    </row>
    <row r="107" spans="1:23" ht="24.75" customHeight="1" x14ac:dyDescent="0.2">
      <c r="A107" s="10">
        <v>106</v>
      </c>
      <c r="B107" s="11" t="s">
        <v>357</v>
      </c>
      <c r="C107" s="12" t="s">
        <v>358</v>
      </c>
      <c r="D107" s="10">
        <v>42</v>
      </c>
      <c r="E107" s="10" t="s">
        <v>25</v>
      </c>
      <c r="F107" s="13" t="s">
        <v>359</v>
      </c>
      <c r="G107" s="14" t="s">
        <v>355</v>
      </c>
      <c r="H107" s="15" t="s">
        <v>60</v>
      </c>
      <c r="I107" s="10">
        <v>8</v>
      </c>
      <c r="J107" s="14">
        <v>44097</v>
      </c>
      <c r="K107" s="15" t="s">
        <v>294</v>
      </c>
      <c r="L107" s="14">
        <v>44097</v>
      </c>
      <c r="M107" s="16">
        <v>23.1</v>
      </c>
      <c r="N107" s="16">
        <v>25.52</v>
      </c>
      <c r="O107" s="14" t="s">
        <v>29</v>
      </c>
      <c r="P107" s="15" t="s">
        <v>360</v>
      </c>
      <c r="Q107" s="14">
        <v>44098</v>
      </c>
      <c r="R107" s="16" t="s">
        <v>36</v>
      </c>
      <c r="S107" s="16">
        <v>25.832000000000001</v>
      </c>
      <c r="T107" s="21" t="str">
        <f t="shared" si="5"/>
        <v>Não Detectável</v>
      </c>
      <c r="U107" s="14">
        <v>44098</v>
      </c>
      <c r="V107" s="18">
        <f t="shared" si="2"/>
        <v>8</v>
      </c>
      <c r="W107" s="19" t="str">
        <f t="shared" si="3"/>
        <v>Não Detectável</v>
      </c>
    </row>
    <row r="108" spans="1:23" ht="24.75" customHeight="1" x14ac:dyDescent="0.2">
      <c r="A108" s="10">
        <v>107</v>
      </c>
      <c r="B108" s="11" t="s">
        <v>361</v>
      </c>
      <c r="C108" s="12" t="s">
        <v>362</v>
      </c>
      <c r="D108" s="10">
        <v>31</v>
      </c>
      <c r="E108" s="10" t="s">
        <v>25</v>
      </c>
      <c r="F108" s="13" t="s">
        <v>363</v>
      </c>
      <c r="G108" s="14" t="s">
        <v>355</v>
      </c>
      <c r="H108" s="15" t="s">
        <v>60</v>
      </c>
      <c r="I108" s="10">
        <v>8</v>
      </c>
      <c r="J108" s="14">
        <v>44097</v>
      </c>
      <c r="K108" s="15" t="s">
        <v>294</v>
      </c>
      <c r="L108" s="14">
        <v>44097</v>
      </c>
      <c r="M108" s="16">
        <v>23.1</v>
      </c>
      <c r="N108" s="16">
        <v>25.52</v>
      </c>
      <c r="O108" s="14" t="s">
        <v>29</v>
      </c>
      <c r="P108" s="15" t="s">
        <v>360</v>
      </c>
      <c r="Q108" s="14">
        <v>44098</v>
      </c>
      <c r="R108" s="16" t="s">
        <v>36</v>
      </c>
      <c r="S108" s="16">
        <v>26.666</v>
      </c>
      <c r="T108" s="21" t="str">
        <f t="shared" si="5"/>
        <v>Não Detectável</v>
      </c>
      <c r="U108" s="14">
        <v>44098</v>
      </c>
      <c r="V108" s="18">
        <f t="shared" si="2"/>
        <v>8</v>
      </c>
      <c r="W108" s="19" t="str">
        <f t="shared" si="3"/>
        <v>Não Detectável</v>
      </c>
    </row>
    <row r="109" spans="1:23" ht="24.75" customHeight="1" x14ac:dyDescent="0.2">
      <c r="A109" s="10">
        <v>108</v>
      </c>
      <c r="B109" s="11" t="s">
        <v>364</v>
      </c>
      <c r="C109" s="12" t="s">
        <v>365</v>
      </c>
      <c r="D109" s="10">
        <v>34</v>
      </c>
      <c r="E109" s="10" t="s">
        <v>34</v>
      </c>
      <c r="F109" s="13" t="s">
        <v>366</v>
      </c>
      <c r="G109" s="14" t="s">
        <v>355</v>
      </c>
      <c r="H109" s="15" t="s">
        <v>60</v>
      </c>
      <c r="I109" s="10">
        <v>8</v>
      </c>
      <c r="J109" s="14">
        <v>44097</v>
      </c>
      <c r="K109" s="15" t="s">
        <v>294</v>
      </c>
      <c r="L109" s="14">
        <v>44097</v>
      </c>
      <c r="M109" s="16">
        <v>23.1</v>
      </c>
      <c r="N109" s="16">
        <v>25.52</v>
      </c>
      <c r="O109" s="14" t="s">
        <v>29</v>
      </c>
      <c r="P109" s="15" t="s">
        <v>360</v>
      </c>
      <c r="Q109" s="14">
        <v>44098</v>
      </c>
      <c r="R109" s="16" t="s">
        <v>36</v>
      </c>
      <c r="S109" s="16">
        <v>25.803000000000001</v>
      </c>
      <c r="T109" s="21" t="str">
        <f t="shared" si="5"/>
        <v>Não Detectável</v>
      </c>
      <c r="U109" s="14">
        <v>44098</v>
      </c>
      <c r="V109" s="18">
        <f t="shared" si="2"/>
        <v>8</v>
      </c>
      <c r="W109" s="19" t="str">
        <f t="shared" si="3"/>
        <v>Não Detectável</v>
      </c>
    </row>
    <row r="110" spans="1:23" ht="24.75" customHeight="1" x14ac:dyDescent="0.2">
      <c r="A110" s="10">
        <v>109</v>
      </c>
      <c r="B110" s="11" t="s">
        <v>367</v>
      </c>
      <c r="C110" s="12" t="s">
        <v>368</v>
      </c>
      <c r="D110" s="10">
        <v>22</v>
      </c>
      <c r="E110" s="10" t="s">
        <v>34</v>
      </c>
      <c r="F110" s="13" t="s">
        <v>369</v>
      </c>
      <c r="G110" s="14" t="s">
        <v>355</v>
      </c>
      <c r="H110" s="15" t="s">
        <v>60</v>
      </c>
      <c r="I110" s="10">
        <v>8</v>
      </c>
      <c r="J110" s="14">
        <v>44097</v>
      </c>
      <c r="K110" s="15" t="s">
        <v>294</v>
      </c>
      <c r="L110" s="14">
        <v>44097</v>
      </c>
      <c r="M110" s="16">
        <v>23.1</v>
      </c>
      <c r="N110" s="16">
        <v>25.52</v>
      </c>
      <c r="O110" s="14" t="s">
        <v>29</v>
      </c>
      <c r="P110" s="15" t="s">
        <v>360</v>
      </c>
      <c r="Q110" s="14">
        <v>44098</v>
      </c>
      <c r="R110" s="16" t="s">
        <v>36</v>
      </c>
      <c r="S110" s="16">
        <v>23.059000000000001</v>
      </c>
      <c r="T110" s="21" t="str">
        <f t="shared" si="5"/>
        <v>Não Detectável</v>
      </c>
      <c r="U110" s="14">
        <v>44098</v>
      </c>
      <c r="V110" s="18">
        <f t="shared" si="2"/>
        <v>8</v>
      </c>
      <c r="W110" s="19" t="str">
        <f t="shared" si="3"/>
        <v>Não Detectável</v>
      </c>
    </row>
    <row r="111" spans="1:23" ht="24.75" customHeight="1" x14ac:dyDescent="0.2">
      <c r="A111" s="10">
        <v>110</v>
      </c>
      <c r="B111" s="11" t="s">
        <v>370</v>
      </c>
      <c r="C111" s="12" t="s">
        <v>371</v>
      </c>
      <c r="D111" s="10">
        <v>19</v>
      </c>
      <c r="E111" s="10" t="s">
        <v>25</v>
      </c>
      <c r="F111" s="13" t="s">
        <v>372</v>
      </c>
      <c r="G111" s="14" t="s">
        <v>355</v>
      </c>
      <c r="H111" s="15" t="s">
        <v>60</v>
      </c>
      <c r="I111" s="10">
        <v>8</v>
      </c>
      <c r="J111" s="14">
        <v>44097</v>
      </c>
      <c r="K111" s="15" t="s">
        <v>294</v>
      </c>
      <c r="L111" s="14">
        <v>44097</v>
      </c>
      <c r="M111" s="16">
        <v>23.1</v>
      </c>
      <c r="N111" s="16">
        <v>25.52</v>
      </c>
      <c r="O111" s="14" t="s">
        <v>29</v>
      </c>
      <c r="P111" s="15" t="s">
        <v>360</v>
      </c>
      <c r="Q111" s="14">
        <v>44098</v>
      </c>
      <c r="R111" s="16" t="s">
        <v>36</v>
      </c>
      <c r="S111" s="16">
        <v>26.498999999999999</v>
      </c>
      <c r="T111" s="21" t="str">
        <f t="shared" si="5"/>
        <v>Não Detectável</v>
      </c>
      <c r="U111" s="14">
        <v>44098</v>
      </c>
      <c r="V111" s="18">
        <f t="shared" si="2"/>
        <v>8</v>
      </c>
      <c r="W111" s="19" t="str">
        <f t="shared" si="3"/>
        <v>Não Detectável</v>
      </c>
    </row>
    <row r="112" spans="1:23" ht="24.75" customHeight="1" x14ac:dyDescent="0.2">
      <c r="A112" s="10">
        <v>111</v>
      </c>
      <c r="B112" s="11" t="s">
        <v>373</v>
      </c>
      <c r="C112" s="12" t="s">
        <v>374</v>
      </c>
      <c r="D112" s="10">
        <v>20</v>
      </c>
      <c r="E112" s="10" t="s">
        <v>25</v>
      </c>
      <c r="F112" s="13" t="s">
        <v>375</v>
      </c>
      <c r="G112" s="14" t="s">
        <v>355</v>
      </c>
      <c r="H112" s="15" t="s">
        <v>60</v>
      </c>
      <c r="I112" s="10">
        <v>8</v>
      </c>
      <c r="J112" s="14">
        <v>44097</v>
      </c>
      <c r="K112" s="15" t="s">
        <v>294</v>
      </c>
      <c r="L112" s="14">
        <v>44097</v>
      </c>
      <c r="M112" s="16">
        <v>23.1</v>
      </c>
      <c r="N112" s="16">
        <v>25.52</v>
      </c>
      <c r="O112" s="14" t="s">
        <v>29</v>
      </c>
      <c r="P112" s="15" t="s">
        <v>360</v>
      </c>
      <c r="Q112" s="14">
        <v>44098</v>
      </c>
      <c r="R112" s="16" t="s">
        <v>36</v>
      </c>
      <c r="S112" s="16">
        <v>26.497</v>
      </c>
      <c r="T112" s="21" t="str">
        <f t="shared" si="5"/>
        <v>Não Detectável</v>
      </c>
      <c r="U112" s="14">
        <v>44098</v>
      </c>
      <c r="V112" s="18">
        <f t="shared" si="2"/>
        <v>8</v>
      </c>
      <c r="W112" s="19" t="str">
        <f t="shared" si="3"/>
        <v>Não Detectável</v>
      </c>
    </row>
    <row r="113" spans="1:23" ht="24.75" customHeight="1" x14ac:dyDescent="0.2">
      <c r="A113" s="10">
        <v>112</v>
      </c>
      <c r="B113" s="11" t="s">
        <v>376</v>
      </c>
      <c r="C113" s="12" t="s">
        <v>377</v>
      </c>
      <c r="D113" s="10">
        <v>39</v>
      </c>
      <c r="E113" s="10" t="s">
        <v>34</v>
      </c>
      <c r="F113" s="13" t="s">
        <v>378</v>
      </c>
      <c r="G113" s="14" t="s">
        <v>355</v>
      </c>
      <c r="H113" s="15" t="s">
        <v>60</v>
      </c>
      <c r="I113" s="10">
        <v>8</v>
      </c>
      <c r="J113" s="14">
        <v>44097</v>
      </c>
      <c r="K113" s="15" t="s">
        <v>294</v>
      </c>
      <c r="L113" s="14">
        <v>44097</v>
      </c>
      <c r="M113" s="16">
        <v>23.1</v>
      </c>
      <c r="N113" s="16">
        <v>25.52</v>
      </c>
      <c r="O113" s="14" t="s">
        <v>29</v>
      </c>
      <c r="P113" s="15" t="s">
        <v>360</v>
      </c>
      <c r="Q113" s="14">
        <v>44098</v>
      </c>
      <c r="R113" s="16">
        <v>18.120999999999999</v>
      </c>
      <c r="S113" s="16">
        <v>25.454000000000001</v>
      </c>
      <c r="T113" s="21" t="s">
        <v>29</v>
      </c>
      <c r="U113" s="14">
        <v>44098</v>
      </c>
      <c r="V113" s="18">
        <f t="shared" si="2"/>
        <v>8</v>
      </c>
      <c r="W113" s="19" t="str">
        <f t="shared" si="3"/>
        <v>Detectável</v>
      </c>
    </row>
    <row r="114" spans="1:23" ht="24.75" customHeight="1" x14ac:dyDescent="0.2">
      <c r="A114" s="10">
        <v>113</v>
      </c>
      <c r="B114" s="11" t="s">
        <v>379</v>
      </c>
      <c r="C114" s="12" t="s">
        <v>380</v>
      </c>
      <c r="D114" s="10">
        <v>32</v>
      </c>
      <c r="E114" s="10" t="s">
        <v>34</v>
      </c>
      <c r="F114" s="13" t="s">
        <v>381</v>
      </c>
      <c r="G114" s="14" t="s">
        <v>355</v>
      </c>
      <c r="H114" s="15" t="s">
        <v>60</v>
      </c>
      <c r="I114" s="10">
        <v>9</v>
      </c>
      <c r="J114" s="14">
        <v>44097</v>
      </c>
      <c r="K114" s="15" t="s">
        <v>360</v>
      </c>
      <c r="L114" s="14">
        <v>44098</v>
      </c>
      <c r="M114" s="16">
        <v>16.337</v>
      </c>
      <c r="N114" s="16">
        <v>24.738</v>
      </c>
      <c r="O114" s="14" t="s">
        <v>29</v>
      </c>
      <c r="P114" s="15" t="s">
        <v>382</v>
      </c>
      <c r="Q114" s="14">
        <v>44099</v>
      </c>
      <c r="R114" s="16" t="s">
        <v>383</v>
      </c>
      <c r="S114" s="16">
        <v>24.082999999999998</v>
      </c>
      <c r="T114" s="21" t="str">
        <f>IF(R114="","",IF(R114&gt;37,IF(S114="Ind.","Inconclusivo","Não Detectável"),"Detectável"))</f>
        <v>Não Detectável</v>
      </c>
      <c r="U114" s="14">
        <v>44099</v>
      </c>
      <c r="V114" s="18">
        <f t="shared" si="2"/>
        <v>8</v>
      </c>
      <c r="W114" s="19" t="str">
        <f t="shared" si="3"/>
        <v>Não Detectável</v>
      </c>
    </row>
    <row r="115" spans="1:23" ht="24.75" customHeight="1" x14ac:dyDescent="0.2">
      <c r="A115" s="10">
        <v>114</v>
      </c>
      <c r="B115" s="11" t="s">
        <v>384</v>
      </c>
      <c r="C115" s="12" t="s">
        <v>385</v>
      </c>
      <c r="D115" s="10">
        <v>31</v>
      </c>
      <c r="E115" s="10" t="s">
        <v>25</v>
      </c>
      <c r="F115" s="13" t="s">
        <v>386</v>
      </c>
      <c r="G115" s="14" t="s">
        <v>355</v>
      </c>
      <c r="H115" s="15" t="s">
        <v>60</v>
      </c>
      <c r="I115" s="10">
        <v>9</v>
      </c>
      <c r="J115" s="14">
        <v>44097</v>
      </c>
      <c r="K115" s="15" t="s">
        <v>360</v>
      </c>
      <c r="L115" s="14">
        <v>44098</v>
      </c>
      <c r="M115" s="16">
        <v>16.337</v>
      </c>
      <c r="N115" s="16">
        <v>24.738</v>
      </c>
      <c r="O115" s="14" t="s">
        <v>29</v>
      </c>
      <c r="P115" s="15" t="s">
        <v>382</v>
      </c>
      <c r="Q115" s="14">
        <v>44099</v>
      </c>
      <c r="R115" s="16" t="s">
        <v>383</v>
      </c>
      <c r="S115" s="16">
        <v>23.995999999999999</v>
      </c>
      <c r="T115" s="21" t="str">
        <f>IF(R115="","",IF(R115&gt;37,IF(S115="Ind.","Inconclusivo","Não Detectável"),"Detectável"))</f>
        <v>Não Detectável</v>
      </c>
      <c r="U115" s="14">
        <v>44099</v>
      </c>
      <c r="V115" s="18">
        <f t="shared" si="2"/>
        <v>8</v>
      </c>
      <c r="W115" s="19" t="str">
        <f t="shared" si="3"/>
        <v>Não Detectável</v>
      </c>
    </row>
    <row r="116" spans="1:23" ht="24.75" customHeight="1" x14ac:dyDescent="0.2">
      <c r="A116" s="10">
        <v>115</v>
      </c>
      <c r="B116" s="11" t="s">
        <v>387</v>
      </c>
      <c r="C116" s="12" t="s">
        <v>388</v>
      </c>
      <c r="D116" s="10">
        <v>34</v>
      </c>
      <c r="E116" s="10" t="s">
        <v>34</v>
      </c>
      <c r="F116" s="13" t="s">
        <v>389</v>
      </c>
      <c r="G116" s="14" t="s">
        <v>355</v>
      </c>
      <c r="H116" s="15" t="s">
        <v>60</v>
      </c>
      <c r="I116" s="10">
        <v>9</v>
      </c>
      <c r="J116" s="14">
        <v>44097</v>
      </c>
      <c r="K116" s="15" t="s">
        <v>360</v>
      </c>
      <c r="L116" s="14">
        <v>44098</v>
      </c>
      <c r="M116" s="16">
        <v>16.337</v>
      </c>
      <c r="N116" s="16">
        <v>24.738</v>
      </c>
      <c r="O116" s="14" t="s">
        <v>29</v>
      </c>
      <c r="P116" s="15" t="s">
        <v>382</v>
      </c>
      <c r="Q116" s="14">
        <v>44099</v>
      </c>
      <c r="R116" s="16" t="s">
        <v>383</v>
      </c>
      <c r="S116" s="16">
        <v>26.864000000000001</v>
      </c>
      <c r="T116" s="21" t="str">
        <f>IF(R116="","",IF(R116&gt;37,IF(S116="Ind.","Inconclusivo","Não Detectável"),"Detectável"))</f>
        <v>Não Detectável</v>
      </c>
      <c r="U116" s="14">
        <v>44099</v>
      </c>
      <c r="V116" s="18">
        <f t="shared" si="2"/>
        <v>8</v>
      </c>
      <c r="W116" s="19" t="str">
        <f t="shared" si="3"/>
        <v>Não Detectável</v>
      </c>
    </row>
    <row r="117" spans="1:23" ht="24.75" customHeight="1" x14ac:dyDescent="0.2">
      <c r="A117" s="10">
        <v>116</v>
      </c>
      <c r="B117" s="11" t="s">
        <v>390</v>
      </c>
      <c r="C117" s="12" t="s">
        <v>391</v>
      </c>
      <c r="D117" s="10">
        <v>66</v>
      </c>
      <c r="E117" s="10" t="s">
        <v>25</v>
      </c>
      <c r="F117" s="13" t="s">
        <v>171</v>
      </c>
      <c r="G117" s="14" t="s">
        <v>355</v>
      </c>
      <c r="H117" s="15" t="s">
        <v>60</v>
      </c>
      <c r="I117" s="10">
        <v>9</v>
      </c>
      <c r="J117" s="14">
        <v>44097</v>
      </c>
      <c r="K117" s="15" t="s">
        <v>360</v>
      </c>
      <c r="L117" s="14">
        <v>44098</v>
      </c>
      <c r="M117" s="16">
        <v>16.337</v>
      </c>
      <c r="N117" s="16">
        <v>24.738</v>
      </c>
      <c r="O117" s="14" t="s">
        <v>29</v>
      </c>
      <c r="P117" s="15" t="s">
        <v>382</v>
      </c>
      <c r="Q117" s="14">
        <v>44099</v>
      </c>
      <c r="R117" s="16">
        <v>15.696999999999999</v>
      </c>
      <c r="S117" s="16">
        <v>24.201000000000001</v>
      </c>
      <c r="T117" s="21" t="s">
        <v>29</v>
      </c>
      <c r="U117" s="14">
        <v>44099</v>
      </c>
      <c r="V117" s="18">
        <f t="shared" si="2"/>
        <v>8</v>
      </c>
      <c r="W117" s="19" t="str">
        <f t="shared" si="3"/>
        <v>Detectável</v>
      </c>
    </row>
    <row r="118" spans="1:23" ht="24.75" customHeight="1" x14ac:dyDescent="0.2">
      <c r="A118" s="10">
        <v>117</v>
      </c>
      <c r="B118" s="11" t="s">
        <v>392</v>
      </c>
      <c r="C118" s="12" t="s">
        <v>393</v>
      </c>
      <c r="D118" s="10">
        <v>64</v>
      </c>
      <c r="E118" s="10" t="s">
        <v>34</v>
      </c>
      <c r="F118" s="13" t="s">
        <v>394</v>
      </c>
      <c r="G118" s="14" t="s">
        <v>355</v>
      </c>
      <c r="H118" s="15" t="s">
        <v>60</v>
      </c>
      <c r="I118" s="10">
        <v>9</v>
      </c>
      <c r="J118" s="14">
        <v>44097</v>
      </c>
      <c r="K118" s="15" t="s">
        <v>360</v>
      </c>
      <c r="L118" s="14">
        <v>44098</v>
      </c>
      <c r="M118" s="16">
        <v>16.337</v>
      </c>
      <c r="N118" s="16">
        <v>24.738</v>
      </c>
      <c r="O118" s="14" t="s">
        <v>29</v>
      </c>
      <c r="P118" s="15" t="s">
        <v>382</v>
      </c>
      <c r="Q118" s="14">
        <v>44099</v>
      </c>
      <c r="R118" s="16">
        <v>27.334</v>
      </c>
      <c r="S118" s="16">
        <v>25.114000000000001</v>
      </c>
      <c r="T118" s="21" t="s">
        <v>29</v>
      </c>
      <c r="U118" s="14">
        <v>44099</v>
      </c>
      <c r="V118" s="18">
        <f t="shared" si="2"/>
        <v>8</v>
      </c>
      <c r="W118" s="19" t="str">
        <f t="shared" si="3"/>
        <v>Detectável</v>
      </c>
    </row>
    <row r="119" spans="1:23" ht="24.75" customHeight="1" x14ac:dyDescent="0.2">
      <c r="A119" s="10">
        <v>118</v>
      </c>
      <c r="B119" s="11" t="s">
        <v>395</v>
      </c>
      <c r="C119" s="12" t="s">
        <v>396</v>
      </c>
      <c r="D119" s="10">
        <v>32</v>
      </c>
      <c r="E119" s="10" t="s">
        <v>25</v>
      </c>
      <c r="F119" s="13" t="s">
        <v>397</v>
      </c>
      <c r="G119" s="14" t="s">
        <v>355</v>
      </c>
      <c r="H119" s="15" t="s">
        <v>60</v>
      </c>
      <c r="I119" s="10">
        <v>9</v>
      </c>
      <c r="J119" s="14">
        <v>44097</v>
      </c>
      <c r="K119" s="15" t="s">
        <v>360</v>
      </c>
      <c r="L119" s="14">
        <v>44098</v>
      </c>
      <c r="M119" s="16">
        <v>16.337</v>
      </c>
      <c r="N119" s="16">
        <v>24.738</v>
      </c>
      <c r="O119" s="14" t="s">
        <v>29</v>
      </c>
      <c r="P119" s="15" t="s">
        <v>382</v>
      </c>
      <c r="Q119" s="14">
        <v>44099</v>
      </c>
      <c r="R119" s="16">
        <v>23.567</v>
      </c>
      <c r="S119" s="16">
        <v>24.053000000000001</v>
      </c>
      <c r="T119" s="21" t="s">
        <v>29</v>
      </c>
      <c r="U119" s="14">
        <v>44099</v>
      </c>
      <c r="V119" s="18">
        <f t="shared" si="2"/>
        <v>8</v>
      </c>
      <c r="W119" s="19" t="str">
        <f t="shared" si="3"/>
        <v>Detectável</v>
      </c>
    </row>
    <row r="120" spans="1:23" ht="24.75" customHeight="1" x14ac:dyDescent="0.2">
      <c r="A120" s="10">
        <v>119</v>
      </c>
      <c r="B120" s="11" t="s">
        <v>398</v>
      </c>
      <c r="C120" s="12" t="s">
        <v>399</v>
      </c>
      <c r="D120" s="10">
        <v>24</v>
      </c>
      <c r="E120" s="10" t="s">
        <v>25</v>
      </c>
      <c r="F120" s="13" t="s">
        <v>400</v>
      </c>
      <c r="G120" s="14" t="s">
        <v>355</v>
      </c>
      <c r="H120" s="15" t="s">
        <v>60</v>
      </c>
      <c r="I120" s="10">
        <v>9</v>
      </c>
      <c r="J120" s="14">
        <v>44097</v>
      </c>
      <c r="K120" s="15" t="s">
        <v>360</v>
      </c>
      <c r="L120" s="14">
        <v>44098</v>
      </c>
      <c r="M120" s="16">
        <v>16.337</v>
      </c>
      <c r="N120" s="16">
        <v>24.738</v>
      </c>
      <c r="O120" s="14" t="s">
        <v>29</v>
      </c>
      <c r="P120" s="15" t="s">
        <v>382</v>
      </c>
      <c r="Q120" s="14">
        <v>44099</v>
      </c>
      <c r="R120" s="16" t="s">
        <v>383</v>
      </c>
      <c r="S120" s="16">
        <v>25.103999999999999</v>
      </c>
      <c r="T120" s="21" t="str">
        <f>IF(R120="","",IF(R120&gt;37,IF(S120="Ind.","Inconclusivo","Não Detectável"),"Detectável"))</f>
        <v>Não Detectável</v>
      </c>
      <c r="U120" s="14">
        <v>44099</v>
      </c>
      <c r="V120" s="18">
        <f t="shared" si="2"/>
        <v>8</v>
      </c>
      <c r="W120" s="19" t="str">
        <f t="shared" si="3"/>
        <v>Não Detectável</v>
      </c>
    </row>
    <row r="121" spans="1:23" ht="24.75" customHeight="1" x14ac:dyDescent="0.2">
      <c r="A121" s="10">
        <v>120</v>
      </c>
      <c r="B121" s="11" t="s">
        <v>401</v>
      </c>
      <c r="C121" s="12" t="s">
        <v>402</v>
      </c>
      <c r="D121" s="10">
        <v>37</v>
      </c>
      <c r="E121" s="10" t="s">
        <v>34</v>
      </c>
      <c r="F121" s="13" t="s">
        <v>403</v>
      </c>
      <c r="G121" s="14" t="s">
        <v>404</v>
      </c>
      <c r="H121" s="15" t="s">
        <v>60</v>
      </c>
      <c r="I121" s="10">
        <v>9</v>
      </c>
      <c r="J121" s="14">
        <v>44098</v>
      </c>
      <c r="K121" s="15" t="s">
        <v>360</v>
      </c>
      <c r="L121" s="14">
        <v>44098</v>
      </c>
      <c r="M121" s="16">
        <v>16.337</v>
      </c>
      <c r="N121" s="16">
        <v>24.738</v>
      </c>
      <c r="O121" s="14" t="s">
        <v>29</v>
      </c>
      <c r="P121" s="15" t="s">
        <v>382</v>
      </c>
      <c r="Q121" s="14">
        <v>44099</v>
      </c>
      <c r="R121" s="16" t="s">
        <v>383</v>
      </c>
      <c r="S121" s="16">
        <v>26.196999999999999</v>
      </c>
      <c r="T121" s="21" t="str">
        <f>IF(R121="","",IF(R121&gt;37,IF(S121="Ind.","Inconclusivo","Não Detectável"),"Detectável"))</f>
        <v>Não Detectável</v>
      </c>
      <c r="U121" s="14">
        <v>44099</v>
      </c>
      <c r="V121" s="18">
        <f t="shared" si="2"/>
        <v>8</v>
      </c>
      <c r="W121" s="19" t="str">
        <f t="shared" si="3"/>
        <v>Não Detectável</v>
      </c>
    </row>
    <row r="122" spans="1:23" ht="24.75" customHeight="1" x14ac:dyDescent="0.2">
      <c r="A122" s="10">
        <v>121</v>
      </c>
      <c r="B122" s="11" t="s">
        <v>405</v>
      </c>
      <c r="C122" s="12" t="s">
        <v>406</v>
      </c>
      <c r="D122" s="10">
        <v>24</v>
      </c>
      <c r="E122" s="10" t="s">
        <v>34</v>
      </c>
      <c r="F122" s="13" t="s">
        <v>407</v>
      </c>
      <c r="G122" s="14" t="s">
        <v>404</v>
      </c>
      <c r="H122" s="15" t="s">
        <v>60</v>
      </c>
      <c r="I122" s="10">
        <v>10</v>
      </c>
      <c r="J122" s="14">
        <v>44098</v>
      </c>
      <c r="K122" s="15" t="s">
        <v>360</v>
      </c>
      <c r="L122" s="14">
        <v>44098</v>
      </c>
      <c r="M122" s="16">
        <v>16.841000000000001</v>
      </c>
      <c r="N122" s="16">
        <v>25.353999999999999</v>
      </c>
      <c r="O122" s="14" t="s">
        <v>29</v>
      </c>
      <c r="P122" s="15" t="s">
        <v>382</v>
      </c>
      <c r="Q122" s="14">
        <v>44099</v>
      </c>
      <c r="R122" s="16" t="s">
        <v>383</v>
      </c>
      <c r="S122" s="16">
        <v>26.192</v>
      </c>
      <c r="T122" s="21" t="str">
        <f>IF(R122="","",IF(R122&gt;37,IF(S122="Ind.","Inconclusivo","Não Detectável"),"Detectável"))</f>
        <v>Não Detectável</v>
      </c>
      <c r="U122" s="14">
        <v>44099</v>
      </c>
      <c r="V122" s="18">
        <f t="shared" si="2"/>
        <v>8</v>
      </c>
      <c r="W122" s="19" t="str">
        <f t="shared" si="3"/>
        <v>Não Detectável</v>
      </c>
    </row>
    <row r="123" spans="1:23" ht="24.75" customHeight="1" x14ac:dyDescent="0.2">
      <c r="A123" s="10">
        <v>122</v>
      </c>
      <c r="B123" s="11" t="s">
        <v>408</v>
      </c>
      <c r="C123" s="12" t="s">
        <v>409</v>
      </c>
      <c r="D123" s="10">
        <v>20</v>
      </c>
      <c r="E123" s="10" t="s">
        <v>25</v>
      </c>
      <c r="F123" s="13" t="s">
        <v>410</v>
      </c>
      <c r="G123" s="14" t="s">
        <v>404</v>
      </c>
      <c r="H123" s="15" t="s">
        <v>60</v>
      </c>
      <c r="I123" s="10">
        <v>10</v>
      </c>
      <c r="J123" s="14">
        <v>44098</v>
      </c>
      <c r="K123" s="15" t="s">
        <v>360</v>
      </c>
      <c r="L123" s="14">
        <v>44098</v>
      </c>
      <c r="M123" s="16">
        <v>16.841000000000001</v>
      </c>
      <c r="N123" s="16">
        <v>25.353999999999999</v>
      </c>
      <c r="O123" s="14" t="s">
        <v>29</v>
      </c>
      <c r="P123" s="15" t="s">
        <v>382</v>
      </c>
      <c r="Q123" s="14">
        <v>44099</v>
      </c>
      <c r="R123" s="16">
        <v>19.507000000000001</v>
      </c>
      <c r="S123" s="16">
        <v>23.355</v>
      </c>
      <c r="T123" s="21" t="s">
        <v>29</v>
      </c>
      <c r="U123" s="14">
        <v>44099</v>
      </c>
      <c r="V123" s="18">
        <f t="shared" si="2"/>
        <v>8</v>
      </c>
      <c r="W123" s="19" t="str">
        <f t="shared" si="3"/>
        <v>Detectável</v>
      </c>
    </row>
    <row r="124" spans="1:23" ht="24.75" customHeight="1" x14ac:dyDescent="0.2">
      <c r="A124" s="10">
        <v>123</v>
      </c>
      <c r="B124" s="11" t="s">
        <v>411</v>
      </c>
      <c r="C124" s="12" t="s">
        <v>412</v>
      </c>
      <c r="D124" s="10">
        <v>51</v>
      </c>
      <c r="E124" s="10" t="s">
        <v>25</v>
      </c>
      <c r="F124" s="13" t="s">
        <v>413</v>
      </c>
      <c r="G124" s="14" t="s">
        <v>404</v>
      </c>
      <c r="H124" s="15" t="s">
        <v>60</v>
      </c>
      <c r="I124" s="10">
        <v>10</v>
      </c>
      <c r="J124" s="14">
        <v>44098</v>
      </c>
      <c r="K124" s="15" t="s">
        <v>360</v>
      </c>
      <c r="L124" s="14">
        <v>44098</v>
      </c>
      <c r="M124" s="16">
        <v>16.841000000000001</v>
      </c>
      <c r="N124" s="16">
        <v>25.353999999999999</v>
      </c>
      <c r="O124" s="14" t="s">
        <v>29</v>
      </c>
      <c r="P124" s="15" t="s">
        <v>382</v>
      </c>
      <c r="Q124" s="14">
        <v>44099</v>
      </c>
      <c r="R124" s="16" t="s">
        <v>383</v>
      </c>
      <c r="S124" s="16">
        <v>27.045999999999999</v>
      </c>
      <c r="T124" s="21" t="str">
        <f>IF(R124="","",IF(R124&gt;37,IF(S124="Ind.","Inconclusivo","Não Detectável"),"Detectável"))</f>
        <v>Não Detectável</v>
      </c>
      <c r="U124" s="14">
        <v>44099</v>
      </c>
      <c r="V124" s="18">
        <f t="shared" si="2"/>
        <v>8</v>
      </c>
      <c r="W124" s="19" t="str">
        <f t="shared" si="3"/>
        <v>Não Detectável</v>
      </c>
    </row>
    <row r="125" spans="1:23" ht="24.75" customHeight="1" x14ac:dyDescent="0.2">
      <c r="A125" s="10">
        <v>124</v>
      </c>
      <c r="B125" s="11" t="s">
        <v>414</v>
      </c>
      <c r="C125" s="12" t="s">
        <v>415</v>
      </c>
      <c r="D125" s="10">
        <v>31</v>
      </c>
      <c r="E125" s="10" t="s">
        <v>25</v>
      </c>
      <c r="F125" s="13" t="s">
        <v>416</v>
      </c>
      <c r="G125" s="14" t="s">
        <v>404</v>
      </c>
      <c r="H125" s="15" t="s">
        <v>60</v>
      </c>
      <c r="I125" s="10">
        <v>10</v>
      </c>
      <c r="J125" s="14">
        <v>44098</v>
      </c>
      <c r="K125" s="15" t="s">
        <v>360</v>
      </c>
      <c r="L125" s="14">
        <v>44098</v>
      </c>
      <c r="M125" s="16">
        <v>16.841000000000001</v>
      </c>
      <c r="N125" s="16">
        <v>25.353999999999999</v>
      </c>
      <c r="O125" s="14" t="s">
        <v>29</v>
      </c>
      <c r="P125" s="15" t="s">
        <v>382</v>
      </c>
      <c r="Q125" s="14">
        <v>44099</v>
      </c>
      <c r="R125" s="16">
        <v>20.922999999999998</v>
      </c>
      <c r="S125" s="16">
        <v>26.016999999999999</v>
      </c>
      <c r="T125" s="21" t="s">
        <v>29</v>
      </c>
      <c r="U125" s="14">
        <v>44099</v>
      </c>
      <c r="V125" s="18">
        <f t="shared" si="2"/>
        <v>8</v>
      </c>
      <c r="W125" s="19" t="str">
        <f t="shared" si="3"/>
        <v>Detectável</v>
      </c>
    </row>
    <row r="126" spans="1:23" ht="24.75" customHeight="1" x14ac:dyDescent="0.2">
      <c r="A126" s="10">
        <v>125</v>
      </c>
      <c r="B126" s="11" t="s">
        <v>417</v>
      </c>
      <c r="C126" s="12" t="s">
        <v>418</v>
      </c>
      <c r="D126" s="10">
        <v>35</v>
      </c>
      <c r="E126" s="10" t="s">
        <v>25</v>
      </c>
      <c r="F126" s="13" t="s">
        <v>419</v>
      </c>
      <c r="G126" s="14" t="s">
        <v>404</v>
      </c>
      <c r="H126" s="15" t="s">
        <v>60</v>
      </c>
      <c r="I126" s="10">
        <v>10</v>
      </c>
      <c r="J126" s="14">
        <v>44098</v>
      </c>
      <c r="K126" s="15" t="s">
        <v>360</v>
      </c>
      <c r="L126" s="14">
        <v>44098</v>
      </c>
      <c r="M126" s="16">
        <v>16.841000000000001</v>
      </c>
      <c r="N126" s="16">
        <v>25.353999999999999</v>
      </c>
      <c r="O126" s="14" t="s">
        <v>29</v>
      </c>
      <c r="P126" s="15" t="s">
        <v>382</v>
      </c>
      <c r="Q126" s="14">
        <v>44099</v>
      </c>
      <c r="R126" s="16">
        <v>14.657999999999999</v>
      </c>
      <c r="S126" s="16">
        <v>25.385999999999999</v>
      </c>
      <c r="T126" s="21" t="s">
        <v>29</v>
      </c>
      <c r="U126" s="14">
        <v>44099</v>
      </c>
      <c r="V126" s="18">
        <f t="shared" si="2"/>
        <v>8</v>
      </c>
      <c r="W126" s="19" t="str">
        <f t="shared" si="3"/>
        <v>Detectável</v>
      </c>
    </row>
    <row r="127" spans="1:23" ht="24.75" customHeight="1" x14ac:dyDescent="0.2">
      <c r="A127" s="10">
        <v>126</v>
      </c>
      <c r="B127" s="11" t="s">
        <v>420</v>
      </c>
      <c r="C127" s="12" t="s">
        <v>421</v>
      </c>
      <c r="D127" s="10">
        <v>27</v>
      </c>
      <c r="E127" s="10" t="s">
        <v>25</v>
      </c>
      <c r="F127" s="13" t="s">
        <v>422</v>
      </c>
      <c r="G127" s="14" t="s">
        <v>404</v>
      </c>
      <c r="H127" s="15" t="s">
        <v>60</v>
      </c>
      <c r="I127" s="10">
        <v>10</v>
      </c>
      <c r="J127" s="14">
        <v>44098</v>
      </c>
      <c r="K127" s="15" t="s">
        <v>360</v>
      </c>
      <c r="L127" s="14">
        <v>44098</v>
      </c>
      <c r="M127" s="16">
        <v>16.841000000000001</v>
      </c>
      <c r="N127" s="16">
        <v>25.353999999999999</v>
      </c>
      <c r="O127" s="14" t="s">
        <v>29</v>
      </c>
      <c r="P127" s="15" t="s">
        <v>382</v>
      </c>
      <c r="Q127" s="14">
        <v>44099</v>
      </c>
      <c r="R127" s="16" t="s">
        <v>383</v>
      </c>
      <c r="S127" s="16">
        <v>24.713999999999999</v>
      </c>
      <c r="T127" s="21" t="str">
        <f>IF(R127="","",IF(R127&gt;37,IF(S127="Ind.","Inconclusivo","Não Detectável"),"Detectável"))</f>
        <v>Não Detectável</v>
      </c>
      <c r="U127" s="14">
        <v>44099</v>
      </c>
      <c r="V127" s="18">
        <f t="shared" si="2"/>
        <v>8</v>
      </c>
      <c r="W127" s="19" t="str">
        <f t="shared" si="3"/>
        <v>Não Detectável</v>
      </c>
    </row>
    <row r="128" spans="1:23" ht="24.75" customHeight="1" x14ac:dyDescent="0.2">
      <c r="A128" s="10">
        <v>127</v>
      </c>
      <c r="B128" s="11" t="s">
        <v>423</v>
      </c>
      <c r="C128" s="12" t="s">
        <v>424</v>
      </c>
      <c r="D128" s="10">
        <v>24</v>
      </c>
      <c r="E128" s="10" t="s">
        <v>25</v>
      </c>
      <c r="F128" s="13" t="s">
        <v>425</v>
      </c>
      <c r="G128" s="14" t="s">
        <v>404</v>
      </c>
      <c r="H128" s="15" t="s">
        <v>60</v>
      </c>
      <c r="I128" s="10">
        <v>10</v>
      </c>
      <c r="J128" s="14">
        <v>44098</v>
      </c>
      <c r="K128" s="15" t="s">
        <v>360</v>
      </c>
      <c r="L128" s="14">
        <v>44098</v>
      </c>
      <c r="M128" s="16">
        <v>16.841000000000001</v>
      </c>
      <c r="N128" s="16">
        <v>25.353999999999999</v>
      </c>
      <c r="O128" s="14" t="s">
        <v>29</v>
      </c>
      <c r="P128" s="15" t="s">
        <v>382</v>
      </c>
      <c r="Q128" s="14">
        <v>44099</v>
      </c>
      <c r="R128" s="16" t="s">
        <v>383</v>
      </c>
      <c r="S128" s="16">
        <v>25.335999999999999</v>
      </c>
      <c r="T128" s="21" t="str">
        <f>IF(R128="","",IF(R128&gt;37,IF(S128="Ind.","Inconclusivo","Não Detectável"),"Detectável"))</f>
        <v>Não Detectável</v>
      </c>
      <c r="U128" s="14">
        <v>44099</v>
      </c>
      <c r="V128" s="18">
        <f t="shared" si="2"/>
        <v>8</v>
      </c>
      <c r="W128" s="19" t="str">
        <f t="shared" si="3"/>
        <v>Não Detectável</v>
      </c>
    </row>
    <row r="129" spans="1:23" ht="24.75" customHeight="1" x14ac:dyDescent="0.2">
      <c r="A129" s="10">
        <v>128</v>
      </c>
      <c r="B129" s="11" t="s">
        <v>426</v>
      </c>
      <c r="C129" s="12" t="s">
        <v>427</v>
      </c>
      <c r="D129" s="10">
        <v>42</v>
      </c>
      <c r="E129" s="10" t="s">
        <v>34</v>
      </c>
      <c r="F129" s="13" t="s">
        <v>428</v>
      </c>
      <c r="G129" s="14" t="s">
        <v>404</v>
      </c>
      <c r="H129" s="15" t="s">
        <v>60</v>
      </c>
      <c r="I129" s="10">
        <v>10</v>
      </c>
      <c r="J129" s="14">
        <v>44098</v>
      </c>
      <c r="K129" s="15" t="s">
        <v>360</v>
      </c>
      <c r="L129" s="14">
        <v>44098</v>
      </c>
      <c r="M129" s="16">
        <v>16.841000000000001</v>
      </c>
      <c r="N129" s="16">
        <v>25.353999999999999</v>
      </c>
      <c r="O129" s="14" t="s">
        <v>29</v>
      </c>
      <c r="P129" s="15" t="s">
        <v>382</v>
      </c>
      <c r="Q129" s="14">
        <v>44099</v>
      </c>
      <c r="R129" s="16">
        <v>17.003</v>
      </c>
      <c r="S129" s="16">
        <v>24.111999999999998</v>
      </c>
      <c r="T129" s="21" t="s">
        <v>29</v>
      </c>
      <c r="U129" s="14">
        <v>44099</v>
      </c>
      <c r="V129" s="18">
        <f t="shared" si="2"/>
        <v>8</v>
      </c>
      <c r="W129" s="19" t="str">
        <f t="shared" si="3"/>
        <v>Detectável</v>
      </c>
    </row>
    <row r="130" spans="1:23" ht="24.75" customHeight="1" x14ac:dyDescent="0.2">
      <c r="A130" s="10">
        <v>129</v>
      </c>
      <c r="B130" s="11" t="s">
        <v>429</v>
      </c>
      <c r="C130" s="12" t="s">
        <v>430</v>
      </c>
      <c r="D130" s="10">
        <v>88</v>
      </c>
      <c r="E130" s="10" t="s">
        <v>25</v>
      </c>
      <c r="F130" s="13" t="s">
        <v>431</v>
      </c>
      <c r="G130" s="14" t="s">
        <v>432</v>
      </c>
      <c r="H130" s="15" t="s">
        <v>60</v>
      </c>
      <c r="I130" s="10">
        <v>11</v>
      </c>
      <c r="J130" s="14">
        <v>44099</v>
      </c>
      <c r="K130" s="15" t="s">
        <v>382</v>
      </c>
      <c r="L130" s="14">
        <v>44099</v>
      </c>
      <c r="M130" s="16">
        <v>20.6</v>
      </c>
      <c r="N130" s="16">
        <v>25.7</v>
      </c>
      <c r="O130" s="14" t="s">
        <v>29</v>
      </c>
      <c r="P130" s="15" t="s">
        <v>356</v>
      </c>
      <c r="Q130" s="14">
        <v>44102</v>
      </c>
      <c r="R130" s="16">
        <v>19.7</v>
      </c>
      <c r="S130" s="16">
        <v>28.4</v>
      </c>
      <c r="T130" s="21" t="str">
        <f t="shared" ref="T130:T137" si="6">IF(R130="","",IF(R130&gt;37,IF(S130="Ind.","Inconclusivo","Não Detectável"),"Detectável"))</f>
        <v>Detectável</v>
      </c>
      <c r="U130" s="14">
        <v>44102</v>
      </c>
      <c r="V130" s="18">
        <f t="shared" ref="V130:V193" si="7">COUNTIF(I:I,I130)</f>
        <v>8</v>
      </c>
      <c r="W130" s="19" t="str">
        <f t="shared" ref="W130:W193" si="8">IF(O130="Não Detectável","Não Detectável",IF(T130="","",T130))</f>
        <v>Detectável</v>
      </c>
    </row>
    <row r="131" spans="1:23" ht="24.75" customHeight="1" x14ac:dyDescent="0.2">
      <c r="A131" s="10">
        <v>130</v>
      </c>
      <c r="B131" s="11" t="s">
        <v>433</v>
      </c>
      <c r="C131" s="12" t="s">
        <v>434</v>
      </c>
      <c r="D131" s="10">
        <v>49</v>
      </c>
      <c r="E131" s="10" t="s">
        <v>25</v>
      </c>
      <c r="F131" s="13" t="s">
        <v>435</v>
      </c>
      <c r="G131" s="14" t="s">
        <v>432</v>
      </c>
      <c r="H131" s="15" t="s">
        <v>60</v>
      </c>
      <c r="I131" s="10">
        <v>11</v>
      </c>
      <c r="J131" s="14">
        <v>44099</v>
      </c>
      <c r="K131" s="15" t="s">
        <v>382</v>
      </c>
      <c r="L131" s="14">
        <v>44099</v>
      </c>
      <c r="M131" s="16">
        <v>20.6</v>
      </c>
      <c r="N131" s="16">
        <v>25.7</v>
      </c>
      <c r="O131" s="14" t="s">
        <v>29</v>
      </c>
      <c r="P131" s="15" t="s">
        <v>356</v>
      </c>
      <c r="Q131" s="14">
        <v>44102</v>
      </c>
      <c r="R131" s="16">
        <v>18.899999999999999</v>
      </c>
      <c r="S131" s="16">
        <v>25.2</v>
      </c>
      <c r="T131" s="21" t="str">
        <f t="shared" si="6"/>
        <v>Detectável</v>
      </c>
      <c r="U131" s="14">
        <v>44102</v>
      </c>
      <c r="V131" s="18">
        <f t="shared" si="7"/>
        <v>8</v>
      </c>
      <c r="W131" s="19" t="str">
        <f t="shared" si="8"/>
        <v>Detectável</v>
      </c>
    </row>
    <row r="132" spans="1:23" ht="24.75" customHeight="1" x14ac:dyDescent="0.2">
      <c r="A132" s="10">
        <v>131</v>
      </c>
      <c r="B132" s="11" t="s">
        <v>436</v>
      </c>
      <c r="C132" s="12" t="s">
        <v>437</v>
      </c>
      <c r="D132" s="10">
        <v>37</v>
      </c>
      <c r="E132" s="10" t="s">
        <v>34</v>
      </c>
      <c r="F132" s="13" t="s">
        <v>438</v>
      </c>
      <c r="G132" s="14" t="s">
        <v>432</v>
      </c>
      <c r="H132" s="15" t="s">
        <v>60</v>
      </c>
      <c r="I132" s="10">
        <v>11</v>
      </c>
      <c r="J132" s="14">
        <v>44099</v>
      </c>
      <c r="K132" s="15" t="s">
        <v>382</v>
      </c>
      <c r="L132" s="14">
        <v>44099</v>
      </c>
      <c r="M132" s="16">
        <v>20.6</v>
      </c>
      <c r="N132" s="16">
        <v>25.7</v>
      </c>
      <c r="O132" s="14" t="s">
        <v>29</v>
      </c>
      <c r="P132" s="15" t="s">
        <v>439</v>
      </c>
      <c r="Q132" s="14">
        <v>44103</v>
      </c>
      <c r="R132" s="16" t="s">
        <v>36</v>
      </c>
      <c r="S132" s="16">
        <v>29.9</v>
      </c>
      <c r="T132" s="21" t="str">
        <f t="shared" si="6"/>
        <v>Não Detectável</v>
      </c>
      <c r="U132" s="14">
        <v>44103</v>
      </c>
      <c r="V132" s="18">
        <f t="shared" si="7"/>
        <v>8</v>
      </c>
      <c r="W132" s="19" t="str">
        <f t="shared" si="8"/>
        <v>Não Detectável</v>
      </c>
    </row>
    <row r="133" spans="1:23" ht="24.75" customHeight="1" x14ac:dyDescent="0.2">
      <c r="A133" s="10">
        <v>132</v>
      </c>
      <c r="B133" s="11" t="s">
        <v>440</v>
      </c>
      <c r="C133" s="12" t="s">
        <v>441</v>
      </c>
      <c r="D133" s="10">
        <v>41</v>
      </c>
      <c r="E133" s="10" t="s">
        <v>34</v>
      </c>
      <c r="F133" s="13" t="s">
        <v>58</v>
      </c>
      <c r="G133" s="14" t="s">
        <v>432</v>
      </c>
      <c r="H133" s="15" t="s">
        <v>60</v>
      </c>
      <c r="I133" s="10">
        <v>11</v>
      </c>
      <c r="J133" s="14">
        <v>44099</v>
      </c>
      <c r="K133" s="15" t="s">
        <v>382</v>
      </c>
      <c r="L133" s="14">
        <v>44099</v>
      </c>
      <c r="M133" s="16">
        <v>20.6</v>
      </c>
      <c r="N133" s="16">
        <v>25.7</v>
      </c>
      <c r="O133" s="14" t="s">
        <v>29</v>
      </c>
      <c r="P133" s="15" t="s">
        <v>439</v>
      </c>
      <c r="Q133" s="14">
        <v>44103</v>
      </c>
      <c r="R133" s="16" t="s">
        <v>36</v>
      </c>
      <c r="S133" s="16">
        <v>30.1</v>
      </c>
      <c r="T133" s="21" t="str">
        <f t="shared" si="6"/>
        <v>Não Detectável</v>
      </c>
      <c r="U133" s="14">
        <v>44103</v>
      </c>
      <c r="V133" s="18">
        <f t="shared" si="7"/>
        <v>8</v>
      </c>
      <c r="W133" s="19" t="str">
        <f t="shared" si="8"/>
        <v>Não Detectável</v>
      </c>
    </row>
    <row r="134" spans="1:23" ht="24.75" customHeight="1" x14ac:dyDescent="0.2">
      <c r="A134" s="10">
        <v>133</v>
      </c>
      <c r="B134" s="11" t="s">
        <v>442</v>
      </c>
      <c r="C134" s="12" t="s">
        <v>443</v>
      </c>
      <c r="D134" s="10">
        <v>23</v>
      </c>
      <c r="E134" s="10" t="s">
        <v>25</v>
      </c>
      <c r="F134" s="13" t="s">
        <v>444</v>
      </c>
      <c r="G134" s="14" t="s">
        <v>432</v>
      </c>
      <c r="H134" s="15" t="s">
        <v>60</v>
      </c>
      <c r="I134" s="10">
        <v>11</v>
      </c>
      <c r="J134" s="14">
        <v>44099</v>
      </c>
      <c r="K134" s="15" t="s">
        <v>382</v>
      </c>
      <c r="L134" s="14">
        <v>44099</v>
      </c>
      <c r="M134" s="16">
        <v>20.6</v>
      </c>
      <c r="N134" s="16">
        <v>25.7</v>
      </c>
      <c r="O134" s="14" t="s">
        <v>29</v>
      </c>
      <c r="P134" s="15" t="s">
        <v>356</v>
      </c>
      <c r="Q134" s="14">
        <v>44102</v>
      </c>
      <c r="R134" s="16" t="s">
        <v>36</v>
      </c>
      <c r="S134" s="16">
        <v>28.6</v>
      </c>
      <c r="T134" s="21" t="str">
        <f t="shared" si="6"/>
        <v>Não Detectável</v>
      </c>
      <c r="U134" s="14">
        <v>44102</v>
      </c>
      <c r="V134" s="18">
        <f t="shared" si="7"/>
        <v>8</v>
      </c>
      <c r="W134" s="19" t="str">
        <f t="shared" si="8"/>
        <v>Não Detectável</v>
      </c>
    </row>
    <row r="135" spans="1:23" ht="24.75" customHeight="1" x14ac:dyDescent="0.2">
      <c r="A135" s="10">
        <v>134</v>
      </c>
      <c r="B135" s="11" t="s">
        <v>445</v>
      </c>
      <c r="C135" s="12" t="s">
        <v>446</v>
      </c>
      <c r="D135" s="10">
        <v>40</v>
      </c>
      <c r="E135" s="10" t="s">
        <v>25</v>
      </c>
      <c r="F135" s="13" t="s">
        <v>447</v>
      </c>
      <c r="G135" s="14" t="s">
        <v>432</v>
      </c>
      <c r="H135" s="15" t="s">
        <v>60</v>
      </c>
      <c r="I135" s="10">
        <v>11</v>
      </c>
      <c r="J135" s="14">
        <v>44099</v>
      </c>
      <c r="K135" s="15" t="s">
        <v>382</v>
      </c>
      <c r="L135" s="14">
        <v>44099</v>
      </c>
      <c r="M135" s="16">
        <v>20.6</v>
      </c>
      <c r="N135" s="16">
        <v>25.7</v>
      </c>
      <c r="O135" s="14" t="s">
        <v>29</v>
      </c>
      <c r="P135" s="15" t="s">
        <v>356</v>
      </c>
      <c r="Q135" s="14">
        <v>44102</v>
      </c>
      <c r="R135" s="16">
        <v>21.5</v>
      </c>
      <c r="S135" s="16">
        <v>24.6</v>
      </c>
      <c r="T135" s="21" t="str">
        <f t="shared" si="6"/>
        <v>Detectável</v>
      </c>
      <c r="U135" s="14">
        <v>44102</v>
      </c>
      <c r="V135" s="18">
        <f t="shared" si="7"/>
        <v>8</v>
      </c>
      <c r="W135" s="19" t="str">
        <f t="shared" si="8"/>
        <v>Detectável</v>
      </c>
    </row>
    <row r="136" spans="1:23" ht="24.75" customHeight="1" x14ac:dyDescent="0.2">
      <c r="A136" s="10">
        <v>135</v>
      </c>
      <c r="B136" s="11" t="s">
        <v>448</v>
      </c>
      <c r="C136" s="12" t="s">
        <v>449</v>
      </c>
      <c r="D136" s="10">
        <v>37</v>
      </c>
      <c r="E136" s="10" t="s">
        <v>25</v>
      </c>
      <c r="F136" s="13" t="s">
        <v>450</v>
      </c>
      <c r="G136" s="14" t="s">
        <v>432</v>
      </c>
      <c r="H136" s="15" t="s">
        <v>60</v>
      </c>
      <c r="I136" s="10">
        <v>11</v>
      </c>
      <c r="J136" s="14">
        <v>44099</v>
      </c>
      <c r="K136" s="15" t="s">
        <v>382</v>
      </c>
      <c r="L136" s="14">
        <v>44099</v>
      </c>
      <c r="M136" s="16">
        <v>20.6</v>
      </c>
      <c r="N136" s="16">
        <v>25.7</v>
      </c>
      <c r="O136" s="14" t="s">
        <v>29</v>
      </c>
      <c r="P136" s="15" t="s">
        <v>356</v>
      </c>
      <c r="Q136" s="14">
        <v>44102</v>
      </c>
      <c r="R136" s="16">
        <v>17.399999999999999</v>
      </c>
      <c r="S136" s="16">
        <v>27</v>
      </c>
      <c r="T136" s="21" t="str">
        <f t="shared" si="6"/>
        <v>Detectável</v>
      </c>
      <c r="U136" s="14">
        <v>44102</v>
      </c>
      <c r="V136" s="18">
        <f t="shared" si="7"/>
        <v>8</v>
      </c>
      <c r="W136" s="19" t="str">
        <f t="shared" si="8"/>
        <v>Detectável</v>
      </c>
    </row>
    <row r="137" spans="1:23" ht="24.75" customHeight="1" x14ac:dyDescent="0.2">
      <c r="A137" s="10">
        <v>136</v>
      </c>
      <c r="B137" s="11" t="s">
        <v>451</v>
      </c>
      <c r="C137" s="12" t="s">
        <v>452</v>
      </c>
      <c r="D137" s="10">
        <v>24</v>
      </c>
      <c r="E137" s="10" t="s">
        <v>25</v>
      </c>
      <c r="F137" s="13" t="s">
        <v>453</v>
      </c>
      <c r="G137" s="14" t="s">
        <v>432</v>
      </c>
      <c r="H137" s="15" t="s">
        <v>60</v>
      </c>
      <c r="I137" s="10">
        <v>11</v>
      </c>
      <c r="J137" s="14">
        <v>44099</v>
      </c>
      <c r="K137" s="15" t="s">
        <v>382</v>
      </c>
      <c r="L137" s="14">
        <v>44099</v>
      </c>
      <c r="M137" s="16">
        <v>20.6</v>
      </c>
      <c r="N137" s="16">
        <v>25.7</v>
      </c>
      <c r="O137" s="14" t="s">
        <v>29</v>
      </c>
      <c r="P137" s="15" t="s">
        <v>356</v>
      </c>
      <c r="Q137" s="14">
        <v>44102</v>
      </c>
      <c r="R137" s="16" t="s">
        <v>36</v>
      </c>
      <c r="S137" s="16">
        <v>25.7</v>
      </c>
      <c r="T137" s="21" t="str">
        <f t="shared" si="6"/>
        <v>Não Detectável</v>
      </c>
      <c r="U137" s="14">
        <v>44102</v>
      </c>
      <c r="V137" s="18">
        <f t="shared" si="7"/>
        <v>8</v>
      </c>
      <c r="W137" s="19" t="str">
        <f t="shared" si="8"/>
        <v>Não Detectável</v>
      </c>
    </row>
    <row r="138" spans="1:23" ht="24.75" customHeight="1" x14ac:dyDescent="0.2">
      <c r="A138" s="10">
        <v>137</v>
      </c>
      <c r="B138" s="11" t="s">
        <v>454</v>
      </c>
      <c r="C138" s="12" t="s">
        <v>455</v>
      </c>
      <c r="D138" s="10">
        <v>19</v>
      </c>
      <c r="E138" s="10" t="s">
        <v>25</v>
      </c>
      <c r="F138" s="13" t="s">
        <v>447</v>
      </c>
      <c r="G138" s="14" t="s">
        <v>432</v>
      </c>
      <c r="H138" s="15" t="s">
        <v>60</v>
      </c>
      <c r="I138" s="10" t="s">
        <v>60</v>
      </c>
      <c r="J138" s="14">
        <v>44099</v>
      </c>
      <c r="K138" s="15" t="s">
        <v>60</v>
      </c>
      <c r="L138" s="14" t="s">
        <v>60</v>
      </c>
      <c r="M138" s="16" t="s">
        <v>60</v>
      </c>
      <c r="N138" s="16" t="s">
        <v>60</v>
      </c>
      <c r="O138" s="14" t="s">
        <v>60</v>
      </c>
      <c r="P138" s="15" t="s">
        <v>382</v>
      </c>
      <c r="Q138" s="14">
        <v>44099</v>
      </c>
      <c r="R138" s="16">
        <v>32</v>
      </c>
      <c r="S138" s="16">
        <v>26</v>
      </c>
      <c r="T138" s="21" t="s">
        <v>29</v>
      </c>
      <c r="U138" s="14">
        <v>44099</v>
      </c>
      <c r="V138" s="18">
        <f t="shared" si="7"/>
        <v>31</v>
      </c>
      <c r="W138" s="19" t="str">
        <f t="shared" si="8"/>
        <v>Detectável</v>
      </c>
    </row>
    <row r="139" spans="1:23" ht="24.75" customHeight="1" x14ac:dyDescent="0.2">
      <c r="A139" s="10">
        <v>138</v>
      </c>
      <c r="B139" s="11" t="s">
        <v>456</v>
      </c>
      <c r="C139" s="12" t="s">
        <v>457</v>
      </c>
      <c r="D139" s="10">
        <v>50</v>
      </c>
      <c r="E139" s="10" t="s">
        <v>25</v>
      </c>
      <c r="F139" s="13" t="s">
        <v>458</v>
      </c>
      <c r="G139" s="14" t="s">
        <v>432</v>
      </c>
      <c r="H139" s="15" t="s">
        <v>60</v>
      </c>
      <c r="I139" s="10" t="s">
        <v>60</v>
      </c>
      <c r="J139" s="14">
        <v>44099</v>
      </c>
      <c r="K139" s="15" t="s">
        <v>60</v>
      </c>
      <c r="L139" s="14" t="s">
        <v>60</v>
      </c>
      <c r="M139" s="16" t="s">
        <v>60</v>
      </c>
      <c r="N139" s="16" t="s">
        <v>60</v>
      </c>
      <c r="O139" s="14" t="s">
        <v>60</v>
      </c>
      <c r="P139" s="15" t="s">
        <v>382</v>
      </c>
      <c r="Q139" s="14">
        <v>44099</v>
      </c>
      <c r="R139" s="16" t="s">
        <v>36</v>
      </c>
      <c r="S139" s="16">
        <v>25</v>
      </c>
      <c r="T139" s="21" t="s">
        <v>31</v>
      </c>
      <c r="U139" s="14">
        <v>44099</v>
      </c>
      <c r="V139" s="18">
        <f t="shared" si="7"/>
        <v>31</v>
      </c>
      <c r="W139" s="19" t="str">
        <f t="shared" si="8"/>
        <v>Não Detectável</v>
      </c>
    </row>
    <row r="140" spans="1:23" ht="24.75" customHeight="1" x14ac:dyDescent="0.2">
      <c r="A140" s="10">
        <v>139</v>
      </c>
      <c r="B140" s="11" t="s">
        <v>459</v>
      </c>
      <c r="C140" s="12" t="s">
        <v>460</v>
      </c>
      <c r="D140" s="10">
        <v>70</v>
      </c>
      <c r="E140" s="10" t="s">
        <v>34</v>
      </c>
      <c r="F140" s="13" t="s">
        <v>461</v>
      </c>
      <c r="G140" s="14" t="s">
        <v>432</v>
      </c>
      <c r="H140" s="15" t="s">
        <v>60</v>
      </c>
      <c r="I140" s="10" t="s">
        <v>60</v>
      </c>
      <c r="J140" s="14">
        <v>44099</v>
      </c>
      <c r="K140" s="15" t="s">
        <v>60</v>
      </c>
      <c r="L140" s="14" t="s">
        <v>60</v>
      </c>
      <c r="M140" s="16" t="s">
        <v>60</v>
      </c>
      <c r="N140" s="16" t="s">
        <v>60</v>
      </c>
      <c r="O140" s="14" t="s">
        <v>60</v>
      </c>
      <c r="P140" s="15" t="s">
        <v>382</v>
      </c>
      <c r="Q140" s="14">
        <v>44099</v>
      </c>
      <c r="R140" s="16">
        <v>25.4</v>
      </c>
      <c r="S140" s="16">
        <v>27.2</v>
      </c>
      <c r="T140" s="21" t="s">
        <v>29</v>
      </c>
      <c r="U140" s="14">
        <v>44099</v>
      </c>
      <c r="V140" s="18">
        <f t="shared" si="7"/>
        <v>31</v>
      </c>
      <c r="W140" s="19" t="str">
        <f t="shared" si="8"/>
        <v>Detectável</v>
      </c>
    </row>
    <row r="141" spans="1:23" ht="24.75" customHeight="1" x14ac:dyDescent="0.2">
      <c r="A141" s="10">
        <v>140</v>
      </c>
      <c r="B141" s="11" t="s">
        <v>462</v>
      </c>
      <c r="C141" s="12" t="s">
        <v>463</v>
      </c>
      <c r="D141" s="10">
        <v>45</v>
      </c>
      <c r="E141" s="10" t="s">
        <v>25</v>
      </c>
      <c r="F141" s="13" t="s">
        <v>464</v>
      </c>
      <c r="G141" s="14" t="s">
        <v>465</v>
      </c>
      <c r="H141" s="15" t="s">
        <v>60</v>
      </c>
      <c r="I141" s="10">
        <v>12</v>
      </c>
      <c r="J141" s="14">
        <v>44102</v>
      </c>
      <c r="K141" s="15" t="s">
        <v>356</v>
      </c>
      <c r="L141" s="14">
        <v>44102</v>
      </c>
      <c r="M141" s="16" t="s">
        <v>36</v>
      </c>
      <c r="N141" s="16">
        <v>24.6</v>
      </c>
      <c r="O141" s="21" t="s">
        <v>31</v>
      </c>
      <c r="P141" s="15" t="s">
        <v>60</v>
      </c>
      <c r="Q141" s="15" t="s">
        <v>60</v>
      </c>
      <c r="R141" s="15" t="s">
        <v>60</v>
      </c>
      <c r="S141" s="15" t="s">
        <v>60</v>
      </c>
      <c r="T141" s="15" t="s">
        <v>60</v>
      </c>
      <c r="U141" s="14">
        <v>44104</v>
      </c>
      <c r="V141" s="18">
        <f t="shared" si="7"/>
        <v>3</v>
      </c>
      <c r="W141" s="19" t="str">
        <f t="shared" si="8"/>
        <v>Não Detectável</v>
      </c>
    </row>
    <row r="142" spans="1:23" ht="24.75" customHeight="1" x14ac:dyDescent="0.2">
      <c r="A142" s="10">
        <v>141</v>
      </c>
      <c r="B142" s="11" t="s">
        <v>466</v>
      </c>
      <c r="C142" s="12" t="s">
        <v>467</v>
      </c>
      <c r="D142" s="10">
        <v>38</v>
      </c>
      <c r="E142" s="10" t="s">
        <v>25</v>
      </c>
      <c r="F142" s="13" t="s">
        <v>468</v>
      </c>
      <c r="G142" s="14" t="s">
        <v>465</v>
      </c>
      <c r="H142" s="15" t="s">
        <v>60</v>
      </c>
      <c r="I142" s="10">
        <v>12</v>
      </c>
      <c r="J142" s="14">
        <v>44102</v>
      </c>
      <c r="K142" s="15" t="s">
        <v>356</v>
      </c>
      <c r="L142" s="14">
        <v>44102</v>
      </c>
      <c r="M142" s="16" t="s">
        <v>36</v>
      </c>
      <c r="N142" s="16">
        <v>24.6</v>
      </c>
      <c r="O142" s="21" t="s">
        <v>31</v>
      </c>
      <c r="P142" s="15" t="s">
        <v>60</v>
      </c>
      <c r="Q142" s="15" t="s">
        <v>60</v>
      </c>
      <c r="R142" s="15" t="s">
        <v>60</v>
      </c>
      <c r="S142" s="15" t="s">
        <v>60</v>
      </c>
      <c r="T142" s="15" t="s">
        <v>60</v>
      </c>
      <c r="U142" s="14">
        <v>44104</v>
      </c>
      <c r="V142" s="18">
        <f t="shared" si="7"/>
        <v>3</v>
      </c>
      <c r="W142" s="19" t="str">
        <f t="shared" si="8"/>
        <v>Não Detectável</v>
      </c>
    </row>
    <row r="143" spans="1:23" ht="24.75" customHeight="1" x14ac:dyDescent="0.2">
      <c r="A143" s="10">
        <v>142</v>
      </c>
      <c r="B143" s="11" t="s">
        <v>469</v>
      </c>
      <c r="C143" s="12" t="s">
        <v>470</v>
      </c>
      <c r="D143" s="10">
        <v>26</v>
      </c>
      <c r="E143" s="10" t="s">
        <v>25</v>
      </c>
      <c r="F143" s="13" t="s">
        <v>471</v>
      </c>
      <c r="G143" s="14" t="s">
        <v>465</v>
      </c>
      <c r="H143" s="15" t="s">
        <v>60</v>
      </c>
      <c r="I143" s="10">
        <v>12</v>
      </c>
      <c r="J143" s="14">
        <v>44102</v>
      </c>
      <c r="K143" s="15" t="s">
        <v>356</v>
      </c>
      <c r="L143" s="14">
        <v>44102</v>
      </c>
      <c r="M143" s="16" t="s">
        <v>36</v>
      </c>
      <c r="N143" s="16">
        <v>24.6</v>
      </c>
      <c r="O143" s="21" t="s">
        <v>31</v>
      </c>
      <c r="P143" s="15" t="s">
        <v>60</v>
      </c>
      <c r="Q143" s="15" t="s">
        <v>60</v>
      </c>
      <c r="R143" s="15" t="s">
        <v>60</v>
      </c>
      <c r="S143" s="15" t="s">
        <v>60</v>
      </c>
      <c r="T143" s="15" t="s">
        <v>60</v>
      </c>
      <c r="U143" s="14">
        <v>44104</v>
      </c>
      <c r="V143" s="18">
        <f t="shared" si="7"/>
        <v>3</v>
      </c>
      <c r="W143" s="19" t="str">
        <f t="shared" si="8"/>
        <v>Não Detectável</v>
      </c>
    </row>
    <row r="144" spans="1:23" ht="24.75" customHeight="1" x14ac:dyDescent="0.2">
      <c r="A144" s="10">
        <v>143</v>
      </c>
      <c r="B144" s="11" t="s">
        <v>472</v>
      </c>
      <c r="C144" s="12" t="s">
        <v>473</v>
      </c>
      <c r="D144" s="10">
        <v>62</v>
      </c>
      <c r="E144" s="10" t="s">
        <v>25</v>
      </c>
      <c r="F144" s="13" t="s">
        <v>474</v>
      </c>
      <c r="G144" s="14" t="s">
        <v>465</v>
      </c>
      <c r="H144" s="15" t="s">
        <v>60</v>
      </c>
      <c r="I144" s="10">
        <v>13</v>
      </c>
      <c r="J144" s="14">
        <v>44102</v>
      </c>
      <c r="K144" s="15" t="s">
        <v>356</v>
      </c>
      <c r="L144" s="14">
        <v>44102</v>
      </c>
      <c r="M144" s="16" t="s">
        <v>36</v>
      </c>
      <c r="N144" s="16">
        <v>25.8</v>
      </c>
      <c r="O144" s="21" t="s">
        <v>31</v>
      </c>
      <c r="P144" s="15" t="s">
        <v>60</v>
      </c>
      <c r="Q144" s="15" t="s">
        <v>60</v>
      </c>
      <c r="R144" s="15" t="s">
        <v>60</v>
      </c>
      <c r="S144" s="15" t="s">
        <v>60</v>
      </c>
      <c r="T144" s="15" t="s">
        <v>60</v>
      </c>
      <c r="U144" s="14">
        <v>44104</v>
      </c>
      <c r="V144" s="18">
        <f t="shared" si="7"/>
        <v>3</v>
      </c>
      <c r="W144" s="19" t="str">
        <f t="shared" si="8"/>
        <v>Não Detectável</v>
      </c>
    </row>
    <row r="145" spans="1:23" ht="24.75" customHeight="1" x14ac:dyDescent="0.2">
      <c r="A145" s="10">
        <v>144</v>
      </c>
      <c r="B145" s="11" t="s">
        <v>475</v>
      </c>
      <c r="C145" s="12" t="s">
        <v>476</v>
      </c>
      <c r="D145" s="10">
        <v>60</v>
      </c>
      <c r="E145" s="10" t="s">
        <v>25</v>
      </c>
      <c r="F145" s="13" t="s">
        <v>477</v>
      </c>
      <c r="G145" s="14" t="s">
        <v>465</v>
      </c>
      <c r="H145" s="15" t="s">
        <v>60</v>
      </c>
      <c r="I145" s="10">
        <v>13</v>
      </c>
      <c r="J145" s="14">
        <v>44102</v>
      </c>
      <c r="K145" s="15" t="s">
        <v>356</v>
      </c>
      <c r="L145" s="14">
        <v>44102</v>
      </c>
      <c r="M145" s="16" t="s">
        <v>36</v>
      </c>
      <c r="N145" s="16">
        <v>25.8</v>
      </c>
      <c r="O145" s="21" t="s">
        <v>31</v>
      </c>
      <c r="P145" s="15" t="s">
        <v>60</v>
      </c>
      <c r="Q145" s="15" t="s">
        <v>60</v>
      </c>
      <c r="R145" s="15" t="s">
        <v>60</v>
      </c>
      <c r="S145" s="15" t="s">
        <v>60</v>
      </c>
      <c r="T145" s="15" t="s">
        <v>60</v>
      </c>
      <c r="U145" s="14">
        <v>44104</v>
      </c>
      <c r="V145" s="18">
        <f t="shared" si="7"/>
        <v>3</v>
      </c>
      <c r="W145" s="19" t="str">
        <f t="shared" si="8"/>
        <v>Não Detectável</v>
      </c>
    </row>
    <row r="146" spans="1:23" ht="24.75" customHeight="1" x14ac:dyDescent="0.2">
      <c r="A146" s="10">
        <v>145</v>
      </c>
      <c r="B146" s="11" t="s">
        <v>478</v>
      </c>
      <c r="C146" s="12" t="s">
        <v>479</v>
      </c>
      <c r="D146" s="10">
        <v>39</v>
      </c>
      <c r="E146" s="10" t="s">
        <v>25</v>
      </c>
      <c r="F146" s="13" t="s">
        <v>480</v>
      </c>
      <c r="G146" s="14" t="s">
        <v>465</v>
      </c>
      <c r="H146" s="15" t="s">
        <v>60</v>
      </c>
      <c r="I146" s="10">
        <v>13</v>
      </c>
      <c r="J146" s="14">
        <v>44102</v>
      </c>
      <c r="K146" s="15" t="s">
        <v>356</v>
      </c>
      <c r="L146" s="14">
        <v>44102</v>
      </c>
      <c r="M146" s="16" t="s">
        <v>36</v>
      </c>
      <c r="N146" s="16">
        <v>25.8</v>
      </c>
      <c r="O146" s="21" t="s">
        <v>31</v>
      </c>
      <c r="P146" s="15" t="s">
        <v>60</v>
      </c>
      <c r="Q146" s="15" t="s">
        <v>60</v>
      </c>
      <c r="R146" s="15" t="s">
        <v>60</v>
      </c>
      <c r="S146" s="15" t="s">
        <v>60</v>
      </c>
      <c r="T146" s="15" t="s">
        <v>60</v>
      </c>
      <c r="U146" s="14">
        <v>44104</v>
      </c>
      <c r="V146" s="18">
        <f t="shared" si="7"/>
        <v>3</v>
      </c>
      <c r="W146" s="19" t="str">
        <f t="shared" si="8"/>
        <v>Não Detectável</v>
      </c>
    </row>
    <row r="147" spans="1:23" ht="24.75" customHeight="1" x14ac:dyDescent="0.2">
      <c r="A147" s="10">
        <v>146</v>
      </c>
      <c r="B147" s="11" t="s">
        <v>481</v>
      </c>
      <c r="C147" s="12" t="s">
        <v>482</v>
      </c>
      <c r="D147" s="10">
        <v>34</v>
      </c>
      <c r="E147" s="10" t="s">
        <v>34</v>
      </c>
      <c r="F147" s="13" t="s">
        <v>483</v>
      </c>
      <c r="G147" s="14" t="s">
        <v>465</v>
      </c>
      <c r="H147" s="15" t="s">
        <v>60</v>
      </c>
      <c r="I147" s="10">
        <v>14</v>
      </c>
      <c r="J147" s="14">
        <v>44102</v>
      </c>
      <c r="K147" s="15" t="s">
        <v>356</v>
      </c>
      <c r="L147" s="14">
        <v>44102</v>
      </c>
      <c r="M147" s="16">
        <v>28.9</v>
      </c>
      <c r="N147" s="16">
        <v>25.2</v>
      </c>
      <c r="O147" s="14" t="s">
        <v>29</v>
      </c>
      <c r="P147" s="15" t="s">
        <v>484</v>
      </c>
      <c r="Q147" s="14">
        <v>44103</v>
      </c>
      <c r="R147" s="16" t="s">
        <v>36</v>
      </c>
      <c r="S147" s="16">
        <v>25</v>
      </c>
      <c r="T147" s="21" t="str">
        <f t="shared" ref="T147:T152" si="9">IF(R147="","",IF(R147&gt;37,IF(S147="Ind.","Inconclusivo","Não Detectável"),"Detectável"))</f>
        <v>Não Detectável</v>
      </c>
      <c r="U147" s="14">
        <v>44103</v>
      </c>
      <c r="V147" s="18">
        <f t="shared" si="7"/>
        <v>3</v>
      </c>
      <c r="W147" s="19" t="str">
        <f t="shared" si="8"/>
        <v>Não Detectável</v>
      </c>
    </row>
    <row r="148" spans="1:23" ht="24.75" customHeight="1" x14ac:dyDescent="0.2">
      <c r="A148" s="10">
        <v>147</v>
      </c>
      <c r="B148" s="11" t="s">
        <v>485</v>
      </c>
      <c r="C148" s="12" t="s">
        <v>486</v>
      </c>
      <c r="D148" s="10">
        <v>34</v>
      </c>
      <c r="E148" s="10" t="s">
        <v>34</v>
      </c>
      <c r="F148" s="13" t="s">
        <v>487</v>
      </c>
      <c r="G148" s="14" t="s">
        <v>465</v>
      </c>
      <c r="H148" s="15" t="s">
        <v>60</v>
      </c>
      <c r="I148" s="10">
        <v>14</v>
      </c>
      <c r="J148" s="14">
        <v>44102</v>
      </c>
      <c r="K148" s="15" t="s">
        <v>356</v>
      </c>
      <c r="L148" s="14">
        <v>44102</v>
      </c>
      <c r="M148" s="16">
        <v>28.9</v>
      </c>
      <c r="N148" s="16">
        <v>25.2</v>
      </c>
      <c r="O148" s="14" t="s">
        <v>29</v>
      </c>
      <c r="P148" s="15" t="s">
        <v>484</v>
      </c>
      <c r="Q148" s="14">
        <v>44103</v>
      </c>
      <c r="R148" s="16" t="s">
        <v>36</v>
      </c>
      <c r="S148" s="16">
        <v>25.5</v>
      </c>
      <c r="T148" s="21" t="str">
        <f t="shared" si="9"/>
        <v>Não Detectável</v>
      </c>
      <c r="U148" s="14">
        <v>44103</v>
      </c>
      <c r="V148" s="18">
        <f t="shared" si="7"/>
        <v>3</v>
      </c>
      <c r="W148" s="19" t="str">
        <f t="shared" si="8"/>
        <v>Não Detectável</v>
      </c>
    </row>
    <row r="149" spans="1:23" ht="24.75" customHeight="1" x14ac:dyDescent="0.2">
      <c r="A149" s="10">
        <v>148</v>
      </c>
      <c r="B149" s="11" t="s">
        <v>488</v>
      </c>
      <c r="C149" s="12" t="s">
        <v>489</v>
      </c>
      <c r="D149" s="10">
        <v>25</v>
      </c>
      <c r="E149" s="10" t="s">
        <v>25</v>
      </c>
      <c r="F149" s="13" t="s">
        <v>490</v>
      </c>
      <c r="G149" s="14" t="s">
        <v>465</v>
      </c>
      <c r="H149" s="15" t="s">
        <v>60</v>
      </c>
      <c r="I149" s="10">
        <v>14</v>
      </c>
      <c r="J149" s="14">
        <v>44102</v>
      </c>
      <c r="K149" s="15" t="s">
        <v>356</v>
      </c>
      <c r="L149" s="14">
        <v>44102</v>
      </c>
      <c r="M149" s="16">
        <v>28.9</v>
      </c>
      <c r="N149" s="16">
        <v>25.2</v>
      </c>
      <c r="O149" s="14" t="s">
        <v>29</v>
      </c>
      <c r="P149" s="15" t="s">
        <v>484</v>
      </c>
      <c r="Q149" s="14">
        <v>44103</v>
      </c>
      <c r="R149" s="16">
        <v>27.5</v>
      </c>
      <c r="S149" s="16">
        <v>25.3</v>
      </c>
      <c r="T149" s="21" t="str">
        <f t="shared" si="9"/>
        <v>Detectável</v>
      </c>
      <c r="U149" s="14">
        <v>44103</v>
      </c>
      <c r="V149" s="18">
        <f t="shared" si="7"/>
        <v>3</v>
      </c>
      <c r="W149" s="19" t="str">
        <f t="shared" si="8"/>
        <v>Detectável</v>
      </c>
    </row>
    <row r="150" spans="1:23" ht="24.75" customHeight="1" x14ac:dyDescent="0.2">
      <c r="A150" s="10">
        <v>149</v>
      </c>
      <c r="B150" s="11" t="s">
        <v>491</v>
      </c>
      <c r="C150" s="12" t="s">
        <v>492</v>
      </c>
      <c r="D150" s="10">
        <v>36</v>
      </c>
      <c r="E150" s="10" t="s">
        <v>34</v>
      </c>
      <c r="F150" s="13" t="s">
        <v>493</v>
      </c>
      <c r="G150" s="14" t="s">
        <v>465</v>
      </c>
      <c r="H150" s="15" t="s">
        <v>60</v>
      </c>
      <c r="I150" s="10">
        <v>15</v>
      </c>
      <c r="J150" s="14">
        <v>44102</v>
      </c>
      <c r="K150" s="15" t="s">
        <v>356</v>
      </c>
      <c r="L150" s="14">
        <v>44102</v>
      </c>
      <c r="M150" s="16">
        <v>18.2</v>
      </c>
      <c r="N150" s="16">
        <v>24.6</v>
      </c>
      <c r="O150" s="14" t="s">
        <v>29</v>
      </c>
      <c r="P150" s="15" t="s">
        <v>484</v>
      </c>
      <c r="Q150" s="14">
        <v>44103</v>
      </c>
      <c r="R150" s="16" t="s">
        <v>36</v>
      </c>
      <c r="S150" s="16">
        <v>24.5</v>
      </c>
      <c r="T150" s="21" t="str">
        <f t="shared" si="9"/>
        <v>Não Detectável</v>
      </c>
      <c r="U150" s="14">
        <v>44103</v>
      </c>
      <c r="V150" s="18">
        <f t="shared" si="7"/>
        <v>3</v>
      </c>
      <c r="W150" s="19" t="str">
        <f t="shared" si="8"/>
        <v>Não Detectável</v>
      </c>
    </row>
    <row r="151" spans="1:23" ht="24.75" customHeight="1" x14ac:dyDescent="0.2">
      <c r="A151" s="10">
        <v>150</v>
      </c>
      <c r="B151" s="11" t="s">
        <v>494</v>
      </c>
      <c r="C151" s="12" t="s">
        <v>495</v>
      </c>
      <c r="D151" s="10">
        <v>25</v>
      </c>
      <c r="E151" s="10" t="s">
        <v>25</v>
      </c>
      <c r="F151" s="13" t="s">
        <v>496</v>
      </c>
      <c r="G151" s="14" t="s">
        <v>465</v>
      </c>
      <c r="H151" s="15" t="s">
        <v>60</v>
      </c>
      <c r="I151" s="10">
        <v>15</v>
      </c>
      <c r="J151" s="14">
        <v>44102</v>
      </c>
      <c r="K151" s="15" t="s">
        <v>356</v>
      </c>
      <c r="L151" s="14">
        <v>44102</v>
      </c>
      <c r="M151" s="16">
        <v>18.2</v>
      </c>
      <c r="N151" s="16">
        <v>24.6</v>
      </c>
      <c r="O151" s="14" t="s">
        <v>29</v>
      </c>
      <c r="P151" s="15" t="s">
        <v>484</v>
      </c>
      <c r="Q151" s="14">
        <v>44103</v>
      </c>
      <c r="R151" s="16">
        <v>16.600000000000001</v>
      </c>
      <c r="S151" s="16">
        <v>25</v>
      </c>
      <c r="T151" s="21" t="str">
        <f t="shared" si="9"/>
        <v>Detectável</v>
      </c>
      <c r="U151" s="14">
        <v>44103</v>
      </c>
      <c r="V151" s="18">
        <f t="shared" si="7"/>
        <v>3</v>
      </c>
      <c r="W151" s="19" t="str">
        <f t="shared" si="8"/>
        <v>Detectável</v>
      </c>
    </row>
    <row r="152" spans="1:23" ht="24.75" customHeight="1" x14ac:dyDescent="0.2">
      <c r="A152" s="10">
        <v>151</v>
      </c>
      <c r="B152" s="11" t="s">
        <v>497</v>
      </c>
      <c r="C152" s="12" t="s">
        <v>498</v>
      </c>
      <c r="D152" s="10">
        <v>65</v>
      </c>
      <c r="E152" s="10" t="s">
        <v>25</v>
      </c>
      <c r="F152" s="13" t="s">
        <v>499</v>
      </c>
      <c r="G152" s="14" t="s">
        <v>465</v>
      </c>
      <c r="H152" s="15" t="s">
        <v>60</v>
      </c>
      <c r="I152" s="10">
        <v>15</v>
      </c>
      <c r="J152" s="14">
        <v>44102</v>
      </c>
      <c r="K152" s="15" t="s">
        <v>356</v>
      </c>
      <c r="L152" s="14">
        <v>44102</v>
      </c>
      <c r="M152" s="16">
        <v>18.2</v>
      </c>
      <c r="N152" s="16">
        <v>24.6</v>
      </c>
      <c r="O152" s="14" t="s">
        <v>29</v>
      </c>
      <c r="P152" s="15" t="s">
        <v>484</v>
      </c>
      <c r="Q152" s="14">
        <v>44103</v>
      </c>
      <c r="R152" s="16" t="s">
        <v>36</v>
      </c>
      <c r="S152" s="16">
        <v>24.9</v>
      </c>
      <c r="T152" s="21" t="str">
        <f t="shared" si="9"/>
        <v>Não Detectável</v>
      </c>
      <c r="U152" s="14">
        <v>44103</v>
      </c>
      <c r="V152" s="18">
        <f t="shared" si="7"/>
        <v>3</v>
      </c>
      <c r="W152" s="19" t="str">
        <f t="shared" si="8"/>
        <v>Não Detectável</v>
      </c>
    </row>
    <row r="153" spans="1:23" ht="24.75" customHeight="1" x14ac:dyDescent="0.2">
      <c r="A153" s="10">
        <v>152</v>
      </c>
      <c r="B153" s="11" t="s">
        <v>500</v>
      </c>
      <c r="C153" s="12" t="s">
        <v>501</v>
      </c>
      <c r="D153" s="10">
        <v>53</v>
      </c>
      <c r="E153" s="10" t="s">
        <v>25</v>
      </c>
      <c r="F153" s="13" t="s">
        <v>502</v>
      </c>
      <c r="G153" s="14" t="s">
        <v>465</v>
      </c>
      <c r="H153" s="15" t="s">
        <v>60</v>
      </c>
      <c r="I153" s="10">
        <v>16</v>
      </c>
      <c r="J153" s="14">
        <v>44102</v>
      </c>
      <c r="K153" s="15" t="s">
        <v>484</v>
      </c>
      <c r="L153" s="14">
        <v>44103</v>
      </c>
      <c r="M153" s="16" t="s">
        <v>36</v>
      </c>
      <c r="N153" s="16">
        <v>25.8</v>
      </c>
      <c r="O153" s="21" t="s">
        <v>31</v>
      </c>
      <c r="P153" s="15" t="s">
        <v>60</v>
      </c>
      <c r="Q153" s="14" t="s">
        <v>60</v>
      </c>
      <c r="R153" s="16" t="s">
        <v>60</v>
      </c>
      <c r="S153" s="16" t="s">
        <v>60</v>
      </c>
      <c r="T153" s="21" t="s">
        <v>60</v>
      </c>
      <c r="U153" s="14">
        <v>44104</v>
      </c>
      <c r="V153" s="18">
        <f t="shared" si="7"/>
        <v>3</v>
      </c>
      <c r="W153" s="19" t="str">
        <f t="shared" si="8"/>
        <v>Não Detectável</v>
      </c>
    </row>
    <row r="154" spans="1:23" ht="24.75" customHeight="1" x14ac:dyDescent="0.2">
      <c r="A154" s="10">
        <v>153</v>
      </c>
      <c r="B154" s="11" t="s">
        <v>503</v>
      </c>
      <c r="C154" s="12" t="s">
        <v>504</v>
      </c>
      <c r="D154" s="10">
        <v>37</v>
      </c>
      <c r="E154" s="10" t="s">
        <v>25</v>
      </c>
      <c r="F154" s="13" t="s">
        <v>505</v>
      </c>
      <c r="G154" s="14" t="s">
        <v>506</v>
      </c>
      <c r="H154" s="15" t="s">
        <v>60</v>
      </c>
      <c r="I154" s="10">
        <v>16</v>
      </c>
      <c r="J154" s="14">
        <v>44103</v>
      </c>
      <c r="K154" s="15" t="s">
        <v>484</v>
      </c>
      <c r="L154" s="14">
        <v>44103</v>
      </c>
      <c r="M154" s="16" t="s">
        <v>36</v>
      </c>
      <c r="N154" s="16">
        <v>25.8</v>
      </c>
      <c r="O154" s="21" t="s">
        <v>31</v>
      </c>
      <c r="P154" s="15" t="s">
        <v>60</v>
      </c>
      <c r="Q154" s="14" t="s">
        <v>60</v>
      </c>
      <c r="R154" s="16" t="s">
        <v>60</v>
      </c>
      <c r="S154" s="16" t="s">
        <v>60</v>
      </c>
      <c r="T154" s="21" t="s">
        <v>60</v>
      </c>
      <c r="U154" s="14">
        <v>44104</v>
      </c>
      <c r="V154" s="18">
        <f t="shared" si="7"/>
        <v>3</v>
      </c>
      <c r="W154" s="19" t="str">
        <f t="shared" si="8"/>
        <v>Não Detectável</v>
      </c>
    </row>
    <row r="155" spans="1:23" ht="24.75" customHeight="1" x14ac:dyDescent="0.2">
      <c r="A155" s="10">
        <v>154</v>
      </c>
      <c r="B155" s="11" t="s">
        <v>507</v>
      </c>
      <c r="C155" s="12" t="s">
        <v>508</v>
      </c>
      <c r="D155" s="10">
        <v>20</v>
      </c>
      <c r="E155" s="10" t="s">
        <v>25</v>
      </c>
      <c r="F155" s="13" t="s">
        <v>509</v>
      </c>
      <c r="G155" s="14" t="s">
        <v>506</v>
      </c>
      <c r="H155" s="15" t="s">
        <v>60</v>
      </c>
      <c r="I155" s="10">
        <v>16</v>
      </c>
      <c r="J155" s="14">
        <v>44103</v>
      </c>
      <c r="K155" s="15" t="s">
        <v>484</v>
      </c>
      <c r="L155" s="14">
        <v>44103</v>
      </c>
      <c r="M155" s="16" t="s">
        <v>36</v>
      </c>
      <c r="N155" s="16">
        <v>25.8</v>
      </c>
      <c r="O155" s="21" t="s">
        <v>31</v>
      </c>
      <c r="P155" s="15" t="s">
        <v>60</v>
      </c>
      <c r="Q155" s="14" t="s">
        <v>60</v>
      </c>
      <c r="R155" s="16" t="s">
        <v>60</v>
      </c>
      <c r="S155" s="16" t="s">
        <v>60</v>
      </c>
      <c r="T155" s="21" t="s">
        <v>60</v>
      </c>
      <c r="U155" s="14">
        <v>44104</v>
      </c>
      <c r="V155" s="18">
        <f t="shared" si="7"/>
        <v>3</v>
      </c>
      <c r="W155" s="19" t="str">
        <f t="shared" si="8"/>
        <v>Não Detectável</v>
      </c>
    </row>
    <row r="156" spans="1:23" ht="24.75" customHeight="1" x14ac:dyDescent="0.2">
      <c r="A156" s="10">
        <v>155</v>
      </c>
      <c r="B156" s="11" t="s">
        <v>510</v>
      </c>
      <c r="C156" s="12" t="s">
        <v>511</v>
      </c>
      <c r="D156" s="10">
        <v>48</v>
      </c>
      <c r="E156" s="10" t="s">
        <v>34</v>
      </c>
      <c r="F156" s="13" t="s">
        <v>512</v>
      </c>
      <c r="G156" s="14" t="s">
        <v>506</v>
      </c>
      <c r="H156" s="15" t="s">
        <v>60</v>
      </c>
      <c r="I156" s="10">
        <v>17</v>
      </c>
      <c r="J156" s="14">
        <v>44103</v>
      </c>
      <c r="K156" s="15" t="s">
        <v>513</v>
      </c>
      <c r="L156" s="14">
        <v>44104</v>
      </c>
      <c r="M156" s="16" t="s">
        <v>36</v>
      </c>
      <c r="N156" s="16">
        <v>27.7</v>
      </c>
      <c r="O156" s="21" t="s">
        <v>31</v>
      </c>
      <c r="P156" s="15" t="s">
        <v>60</v>
      </c>
      <c r="Q156" s="14" t="s">
        <v>60</v>
      </c>
      <c r="R156" s="16" t="s">
        <v>60</v>
      </c>
      <c r="S156" s="16" t="s">
        <v>60</v>
      </c>
      <c r="T156" s="21" t="s">
        <v>60</v>
      </c>
      <c r="U156" s="14">
        <v>44105</v>
      </c>
      <c r="V156" s="18">
        <f t="shared" si="7"/>
        <v>3</v>
      </c>
      <c r="W156" s="19" t="str">
        <f t="shared" si="8"/>
        <v>Não Detectável</v>
      </c>
    </row>
    <row r="157" spans="1:23" ht="24.75" customHeight="1" x14ac:dyDescent="0.2">
      <c r="A157" s="10">
        <v>156</v>
      </c>
      <c r="B157" s="11" t="s">
        <v>514</v>
      </c>
      <c r="C157" s="12" t="s">
        <v>515</v>
      </c>
      <c r="D157" s="10">
        <v>21</v>
      </c>
      <c r="E157" s="10" t="s">
        <v>34</v>
      </c>
      <c r="F157" s="13" t="s">
        <v>516</v>
      </c>
      <c r="G157" s="14" t="s">
        <v>506</v>
      </c>
      <c r="H157" s="15" t="s">
        <v>60</v>
      </c>
      <c r="I157" s="10">
        <v>17</v>
      </c>
      <c r="J157" s="14">
        <v>44103</v>
      </c>
      <c r="K157" s="15" t="s">
        <v>513</v>
      </c>
      <c r="L157" s="14">
        <v>44104</v>
      </c>
      <c r="M157" s="16" t="s">
        <v>36</v>
      </c>
      <c r="N157" s="16">
        <v>27.7</v>
      </c>
      <c r="O157" s="21" t="s">
        <v>31</v>
      </c>
      <c r="P157" s="15" t="s">
        <v>60</v>
      </c>
      <c r="Q157" s="14" t="s">
        <v>60</v>
      </c>
      <c r="R157" s="16" t="s">
        <v>60</v>
      </c>
      <c r="S157" s="16" t="s">
        <v>60</v>
      </c>
      <c r="T157" s="21" t="s">
        <v>60</v>
      </c>
      <c r="U157" s="14">
        <v>44105</v>
      </c>
      <c r="V157" s="18">
        <f t="shared" si="7"/>
        <v>3</v>
      </c>
      <c r="W157" s="19" t="str">
        <f t="shared" si="8"/>
        <v>Não Detectável</v>
      </c>
    </row>
    <row r="158" spans="1:23" ht="24.75" customHeight="1" x14ac:dyDescent="0.2">
      <c r="A158" s="10">
        <v>157</v>
      </c>
      <c r="B158" s="11" t="s">
        <v>517</v>
      </c>
      <c r="C158" s="12" t="s">
        <v>518</v>
      </c>
      <c r="D158" s="10">
        <v>41</v>
      </c>
      <c r="E158" s="10" t="s">
        <v>25</v>
      </c>
      <c r="F158" s="13" t="s">
        <v>519</v>
      </c>
      <c r="G158" s="14" t="s">
        <v>506</v>
      </c>
      <c r="H158" s="15" t="s">
        <v>60</v>
      </c>
      <c r="I158" s="10">
        <v>17</v>
      </c>
      <c r="J158" s="14">
        <v>44103</v>
      </c>
      <c r="K158" s="15" t="s">
        <v>513</v>
      </c>
      <c r="L158" s="14">
        <v>44104</v>
      </c>
      <c r="M158" s="16" t="s">
        <v>36</v>
      </c>
      <c r="N158" s="16">
        <v>27.7</v>
      </c>
      <c r="O158" s="21" t="s">
        <v>31</v>
      </c>
      <c r="P158" s="15" t="s">
        <v>60</v>
      </c>
      <c r="Q158" s="14" t="s">
        <v>60</v>
      </c>
      <c r="R158" s="16" t="s">
        <v>60</v>
      </c>
      <c r="S158" s="16" t="s">
        <v>60</v>
      </c>
      <c r="T158" s="21" t="s">
        <v>60</v>
      </c>
      <c r="U158" s="14">
        <v>44105</v>
      </c>
      <c r="V158" s="18">
        <f t="shared" si="7"/>
        <v>3</v>
      </c>
      <c r="W158" s="19" t="str">
        <f t="shared" si="8"/>
        <v>Não Detectável</v>
      </c>
    </row>
    <row r="159" spans="1:23" ht="24.75" customHeight="1" x14ac:dyDescent="0.2">
      <c r="A159" s="10">
        <v>158</v>
      </c>
      <c r="B159" s="11" t="s">
        <v>520</v>
      </c>
      <c r="C159" s="12" t="s">
        <v>521</v>
      </c>
      <c r="D159" s="10">
        <v>18</v>
      </c>
      <c r="E159" s="10" t="s">
        <v>25</v>
      </c>
      <c r="F159" s="13" t="s">
        <v>522</v>
      </c>
      <c r="G159" s="14" t="s">
        <v>506</v>
      </c>
      <c r="H159" s="15" t="s">
        <v>60</v>
      </c>
      <c r="I159" s="10">
        <v>18</v>
      </c>
      <c r="J159" s="14">
        <v>44103</v>
      </c>
      <c r="K159" s="15" t="s">
        <v>484</v>
      </c>
      <c r="L159" s="14">
        <v>44103</v>
      </c>
      <c r="M159" s="16" t="s">
        <v>36</v>
      </c>
      <c r="N159" s="16">
        <v>26.9</v>
      </c>
      <c r="O159" s="21" t="s">
        <v>31</v>
      </c>
      <c r="P159" s="15" t="s">
        <v>60</v>
      </c>
      <c r="Q159" s="14" t="s">
        <v>60</v>
      </c>
      <c r="R159" s="16" t="s">
        <v>60</v>
      </c>
      <c r="S159" s="16" t="s">
        <v>60</v>
      </c>
      <c r="T159" s="21" t="s">
        <v>60</v>
      </c>
      <c r="U159" s="14">
        <v>44104</v>
      </c>
      <c r="V159" s="18">
        <f t="shared" si="7"/>
        <v>3</v>
      </c>
      <c r="W159" s="19" t="str">
        <f t="shared" si="8"/>
        <v>Não Detectável</v>
      </c>
    </row>
    <row r="160" spans="1:23" ht="24.75" customHeight="1" x14ac:dyDescent="0.2">
      <c r="A160" s="10">
        <v>159</v>
      </c>
      <c r="B160" s="11" t="s">
        <v>523</v>
      </c>
      <c r="C160" s="12" t="s">
        <v>524</v>
      </c>
      <c r="D160" s="10">
        <v>26</v>
      </c>
      <c r="E160" s="10" t="s">
        <v>25</v>
      </c>
      <c r="F160" s="13" t="s">
        <v>525</v>
      </c>
      <c r="G160" s="14" t="s">
        <v>506</v>
      </c>
      <c r="H160" s="15" t="s">
        <v>60</v>
      </c>
      <c r="I160" s="10">
        <v>18</v>
      </c>
      <c r="J160" s="14">
        <v>44103</v>
      </c>
      <c r="K160" s="15" t="s">
        <v>484</v>
      </c>
      <c r="L160" s="14">
        <v>44103</v>
      </c>
      <c r="M160" s="16" t="s">
        <v>36</v>
      </c>
      <c r="N160" s="16">
        <v>26.9</v>
      </c>
      <c r="O160" s="21" t="s">
        <v>31</v>
      </c>
      <c r="P160" s="15" t="s">
        <v>60</v>
      </c>
      <c r="Q160" s="14" t="s">
        <v>60</v>
      </c>
      <c r="R160" s="16" t="s">
        <v>60</v>
      </c>
      <c r="S160" s="16" t="s">
        <v>60</v>
      </c>
      <c r="T160" s="21" t="s">
        <v>60</v>
      </c>
      <c r="U160" s="14">
        <v>44104</v>
      </c>
      <c r="V160" s="18">
        <f t="shared" si="7"/>
        <v>3</v>
      </c>
      <c r="W160" s="19" t="str">
        <f t="shared" si="8"/>
        <v>Não Detectável</v>
      </c>
    </row>
    <row r="161" spans="1:23" ht="24.75" customHeight="1" x14ac:dyDescent="0.2">
      <c r="A161" s="10">
        <v>160</v>
      </c>
      <c r="B161" s="11" t="s">
        <v>526</v>
      </c>
      <c r="C161" s="12" t="s">
        <v>527</v>
      </c>
      <c r="D161" s="10">
        <v>62</v>
      </c>
      <c r="E161" s="10" t="s">
        <v>34</v>
      </c>
      <c r="F161" s="13" t="s">
        <v>528</v>
      </c>
      <c r="G161" s="14" t="s">
        <v>506</v>
      </c>
      <c r="H161" s="15" t="s">
        <v>60</v>
      </c>
      <c r="I161" s="10">
        <v>18</v>
      </c>
      <c r="J161" s="14">
        <v>44103</v>
      </c>
      <c r="K161" s="15" t="s">
        <v>484</v>
      </c>
      <c r="L161" s="14">
        <v>44103</v>
      </c>
      <c r="M161" s="16" t="s">
        <v>36</v>
      </c>
      <c r="N161" s="16">
        <v>26.9</v>
      </c>
      <c r="O161" s="21" t="s">
        <v>31</v>
      </c>
      <c r="P161" s="15" t="s">
        <v>60</v>
      </c>
      <c r="Q161" s="14" t="s">
        <v>60</v>
      </c>
      <c r="R161" s="16" t="s">
        <v>60</v>
      </c>
      <c r="S161" s="16" t="s">
        <v>60</v>
      </c>
      <c r="T161" s="21" t="s">
        <v>60</v>
      </c>
      <c r="U161" s="14">
        <v>44104</v>
      </c>
      <c r="V161" s="18">
        <f t="shared" si="7"/>
        <v>3</v>
      </c>
      <c r="W161" s="19" t="str">
        <f t="shared" si="8"/>
        <v>Não Detectável</v>
      </c>
    </row>
    <row r="162" spans="1:23" ht="24.75" customHeight="1" x14ac:dyDescent="0.2">
      <c r="A162" s="10">
        <v>161</v>
      </c>
      <c r="B162" s="11" t="s">
        <v>529</v>
      </c>
      <c r="C162" s="12" t="s">
        <v>530</v>
      </c>
      <c r="D162" s="10">
        <v>27</v>
      </c>
      <c r="E162" s="10" t="s">
        <v>34</v>
      </c>
      <c r="F162" s="13" t="s">
        <v>531</v>
      </c>
      <c r="G162" s="14" t="s">
        <v>506</v>
      </c>
      <c r="H162" s="15" t="s">
        <v>60</v>
      </c>
      <c r="I162" s="10">
        <v>19</v>
      </c>
      <c r="J162" s="14">
        <v>44103</v>
      </c>
      <c r="K162" s="15" t="s">
        <v>484</v>
      </c>
      <c r="L162" s="14">
        <v>44103</v>
      </c>
      <c r="M162" s="16" t="s">
        <v>36</v>
      </c>
      <c r="N162" s="16">
        <v>26.4</v>
      </c>
      <c r="O162" s="21" t="s">
        <v>31</v>
      </c>
      <c r="P162" s="15" t="s">
        <v>60</v>
      </c>
      <c r="Q162" s="14" t="s">
        <v>60</v>
      </c>
      <c r="R162" s="16" t="s">
        <v>60</v>
      </c>
      <c r="S162" s="16" t="s">
        <v>60</v>
      </c>
      <c r="T162" s="21" t="s">
        <v>60</v>
      </c>
      <c r="U162" s="14">
        <v>44104</v>
      </c>
      <c r="V162" s="18">
        <f t="shared" si="7"/>
        <v>3</v>
      </c>
      <c r="W162" s="19" t="str">
        <f t="shared" si="8"/>
        <v>Não Detectável</v>
      </c>
    </row>
    <row r="163" spans="1:23" ht="24.75" customHeight="1" x14ac:dyDescent="0.2">
      <c r="A163" s="10">
        <v>162</v>
      </c>
      <c r="B163" s="11" t="s">
        <v>532</v>
      </c>
      <c r="C163" s="12" t="s">
        <v>533</v>
      </c>
      <c r="D163" s="10">
        <v>50</v>
      </c>
      <c r="E163" s="10" t="s">
        <v>25</v>
      </c>
      <c r="F163" s="13" t="s">
        <v>534</v>
      </c>
      <c r="G163" s="14" t="s">
        <v>506</v>
      </c>
      <c r="H163" s="15" t="s">
        <v>60</v>
      </c>
      <c r="I163" s="10">
        <v>19</v>
      </c>
      <c r="J163" s="14">
        <v>44103</v>
      </c>
      <c r="K163" s="15" t="s">
        <v>484</v>
      </c>
      <c r="L163" s="14">
        <v>44103</v>
      </c>
      <c r="M163" s="16" t="s">
        <v>36</v>
      </c>
      <c r="N163" s="16">
        <v>26.4</v>
      </c>
      <c r="O163" s="21" t="s">
        <v>31</v>
      </c>
      <c r="P163" s="15" t="s">
        <v>60</v>
      </c>
      <c r="Q163" s="14" t="s">
        <v>60</v>
      </c>
      <c r="R163" s="16" t="s">
        <v>60</v>
      </c>
      <c r="S163" s="16" t="s">
        <v>60</v>
      </c>
      <c r="T163" s="21" t="s">
        <v>60</v>
      </c>
      <c r="U163" s="14">
        <v>44104</v>
      </c>
      <c r="V163" s="18">
        <f t="shared" si="7"/>
        <v>3</v>
      </c>
      <c r="W163" s="19" t="str">
        <f t="shared" si="8"/>
        <v>Não Detectável</v>
      </c>
    </row>
    <row r="164" spans="1:23" ht="24.75" customHeight="1" x14ac:dyDescent="0.2">
      <c r="A164" s="10">
        <v>163</v>
      </c>
      <c r="B164" s="11" t="s">
        <v>535</v>
      </c>
      <c r="C164" s="12" t="s">
        <v>536</v>
      </c>
      <c r="D164" s="10">
        <v>45</v>
      </c>
      <c r="E164" s="10" t="s">
        <v>25</v>
      </c>
      <c r="F164" s="13" t="s">
        <v>537</v>
      </c>
      <c r="G164" s="14" t="s">
        <v>506</v>
      </c>
      <c r="H164" s="15" t="s">
        <v>60</v>
      </c>
      <c r="I164" s="10">
        <v>19</v>
      </c>
      <c r="J164" s="14">
        <v>44103</v>
      </c>
      <c r="K164" s="15" t="s">
        <v>484</v>
      </c>
      <c r="L164" s="14">
        <v>44103</v>
      </c>
      <c r="M164" s="16" t="s">
        <v>36</v>
      </c>
      <c r="N164" s="16">
        <v>26.4</v>
      </c>
      <c r="O164" s="21" t="s">
        <v>31</v>
      </c>
      <c r="P164" s="15" t="s">
        <v>60</v>
      </c>
      <c r="Q164" s="14" t="s">
        <v>60</v>
      </c>
      <c r="R164" s="16" t="s">
        <v>60</v>
      </c>
      <c r="S164" s="16" t="s">
        <v>60</v>
      </c>
      <c r="T164" s="21" t="s">
        <v>60</v>
      </c>
      <c r="U164" s="14">
        <v>44104</v>
      </c>
      <c r="V164" s="18">
        <f t="shared" si="7"/>
        <v>3</v>
      </c>
      <c r="W164" s="19" t="str">
        <f t="shared" si="8"/>
        <v>Não Detectável</v>
      </c>
    </row>
    <row r="165" spans="1:23" ht="24.75" customHeight="1" x14ac:dyDescent="0.2">
      <c r="A165" s="10">
        <v>164</v>
      </c>
      <c r="B165" s="11" t="s">
        <v>538</v>
      </c>
      <c r="C165" s="12" t="s">
        <v>539</v>
      </c>
      <c r="D165" s="10">
        <v>22</v>
      </c>
      <c r="E165" s="10" t="s">
        <v>34</v>
      </c>
      <c r="F165" s="13" t="s">
        <v>540</v>
      </c>
      <c r="G165" s="14" t="s">
        <v>506</v>
      </c>
      <c r="H165" s="15" t="s">
        <v>60</v>
      </c>
      <c r="I165" s="10">
        <v>20</v>
      </c>
      <c r="J165" s="14">
        <v>44103</v>
      </c>
      <c r="K165" s="15" t="s">
        <v>484</v>
      </c>
      <c r="L165" s="14">
        <v>44103</v>
      </c>
      <c r="M165" s="16" t="s">
        <v>36</v>
      </c>
      <c r="N165" s="16">
        <v>27.5</v>
      </c>
      <c r="O165" s="21" t="s">
        <v>31</v>
      </c>
      <c r="P165" s="15" t="s">
        <v>60</v>
      </c>
      <c r="Q165" s="14" t="s">
        <v>60</v>
      </c>
      <c r="R165" s="16" t="s">
        <v>60</v>
      </c>
      <c r="S165" s="16" t="s">
        <v>60</v>
      </c>
      <c r="T165" s="21" t="s">
        <v>60</v>
      </c>
      <c r="U165" s="14">
        <v>44104</v>
      </c>
      <c r="V165" s="18">
        <f t="shared" si="7"/>
        <v>3</v>
      </c>
      <c r="W165" s="19" t="str">
        <f t="shared" si="8"/>
        <v>Não Detectável</v>
      </c>
    </row>
    <row r="166" spans="1:23" ht="24.75" customHeight="1" x14ac:dyDescent="0.2">
      <c r="A166" s="10">
        <v>165</v>
      </c>
      <c r="B166" s="11" t="s">
        <v>541</v>
      </c>
      <c r="C166" s="12" t="s">
        <v>542</v>
      </c>
      <c r="D166" s="10">
        <v>25</v>
      </c>
      <c r="E166" s="10" t="s">
        <v>34</v>
      </c>
      <c r="F166" s="13" t="s">
        <v>543</v>
      </c>
      <c r="G166" s="14" t="s">
        <v>506</v>
      </c>
      <c r="H166" s="15" t="s">
        <v>60</v>
      </c>
      <c r="I166" s="10">
        <v>20</v>
      </c>
      <c r="J166" s="14">
        <v>44103</v>
      </c>
      <c r="K166" s="15" t="s">
        <v>484</v>
      </c>
      <c r="L166" s="14">
        <v>44103</v>
      </c>
      <c r="M166" s="16" t="s">
        <v>36</v>
      </c>
      <c r="N166" s="16">
        <v>27.5</v>
      </c>
      <c r="O166" s="21" t="s">
        <v>31</v>
      </c>
      <c r="P166" s="15" t="s">
        <v>60</v>
      </c>
      <c r="Q166" s="14" t="s">
        <v>60</v>
      </c>
      <c r="R166" s="16" t="s">
        <v>60</v>
      </c>
      <c r="S166" s="16" t="s">
        <v>60</v>
      </c>
      <c r="T166" s="21" t="s">
        <v>60</v>
      </c>
      <c r="U166" s="14">
        <v>44104</v>
      </c>
      <c r="V166" s="18">
        <f t="shared" si="7"/>
        <v>3</v>
      </c>
      <c r="W166" s="19" t="str">
        <f t="shared" si="8"/>
        <v>Não Detectável</v>
      </c>
    </row>
    <row r="167" spans="1:23" ht="24.75" customHeight="1" x14ac:dyDescent="0.2">
      <c r="A167" s="10">
        <v>166</v>
      </c>
      <c r="B167" s="11" t="s">
        <v>544</v>
      </c>
      <c r="C167" s="12" t="s">
        <v>545</v>
      </c>
      <c r="D167" s="10">
        <v>34</v>
      </c>
      <c r="E167" s="10" t="s">
        <v>34</v>
      </c>
      <c r="F167" s="13" t="s">
        <v>546</v>
      </c>
      <c r="G167" s="14" t="s">
        <v>506</v>
      </c>
      <c r="H167" s="15" t="s">
        <v>60</v>
      </c>
      <c r="I167" s="10">
        <v>20</v>
      </c>
      <c r="J167" s="14">
        <v>44103</v>
      </c>
      <c r="K167" s="15" t="s">
        <v>484</v>
      </c>
      <c r="L167" s="14">
        <v>44103</v>
      </c>
      <c r="M167" s="16" t="s">
        <v>36</v>
      </c>
      <c r="N167" s="16">
        <v>27.5</v>
      </c>
      <c r="O167" s="21" t="s">
        <v>31</v>
      </c>
      <c r="P167" s="15" t="s">
        <v>60</v>
      </c>
      <c r="Q167" s="14" t="s">
        <v>60</v>
      </c>
      <c r="R167" s="16" t="s">
        <v>60</v>
      </c>
      <c r="S167" s="16" t="s">
        <v>60</v>
      </c>
      <c r="T167" s="21" t="s">
        <v>60</v>
      </c>
      <c r="U167" s="14">
        <v>44104</v>
      </c>
      <c r="V167" s="18">
        <f t="shared" si="7"/>
        <v>3</v>
      </c>
      <c r="W167" s="19" t="str">
        <f t="shared" si="8"/>
        <v>Não Detectável</v>
      </c>
    </row>
    <row r="168" spans="1:23" ht="24.75" customHeight="1" x14ac:dyDescent="0.2">
      <c r="A168" s="10">
        <v>167</v>
      </c>
      <c r="B168" s="11" t="s">
        <v>547</v>
      </c>
      <c r="C168" s="12" t="s">
        <v>548</v>
      </c>
      <c r="D168" s="10">
        <v>30</v>
      </c>
      <c r="E168" s="10" t="s">
        <v>25</v>
      </c>
      <c r="F168" s="13" t="s">
        <v>549</v>
      </c>
      <c r="G168" s="14" t="s">
        <v>506</v>
      </c>
      <c r="H168" s="15" t="s">
        <v>60</v>
      </c>
      <c r="I168" s="10">
        <v>21</v>
      </c>
      <c r="J168" s="14">
        <v>44103</v>
      </c>
      <c r="K168" s="15" t="s">
        <v>484</v>
      </c>
      <c r="L168" s="14">
        <v>44103</v>
      </c>
      <c r="M168" s="16" t="s">
        <v>36</v>
      </c>
      <c r="N168" s="16">
        <v>27.1</v>
      </c>
      <c r="O168" s="21" t="s">
        <v>31</v>
      </c>
      <c r="P168" s="15" t="s">
        <v>60</v>
      </c>
      <c r="Q168" s="14" t="s">
        <v>60</v>
      </c>
      <c r="R168" s="16" t="s">
        <v>60</v>
      </c>
      <c r="S168" s="16" t="s">
        <v>60</v>
      </c>
      <c r="T168" s="21" t="s">
        <v>60</v>
      </c>
      <c r="U168" s="14">
        <v>44104</v>
      </c>
      <c r="V168" s="18">
        <f t="shared" si="7"/>
        <v>3</v>
      </c>
      <c r="W168" s="19" t="str">
        <f t="shared" si="8"/>
        <v>Não Detectável</v>
      </c>
    </row>
    <row r="169" spans="1:23" ht="24.75" customHeight="1" x14ac:dyDescent="0.2">
      <c r="A169" s="10">
        <v>168</v>
      </c>
      <c r="B169" s="11" t="s">
        <v>550</v>
      </c>
      <c r="C169" s="12" t="s">
        <v>551</v>
      </c>
      <c r="D169" s="10">
        <v>22</v>
      </c>
      <c r="E169" s="10" t="s">
        <v>34</v>
      </c>
      <c r="F169" s="13" t="s">
        <v>552</v>
      </c>
      <c r="G169" s="14" t="s">
        <v>506</v>
      </c>
      <c r="H169" s="15" t="s">
        <v>60</v>
      </c>
      <c r="I169" s="10">
        <v>21</v>
      </c>
      <c r="J169" s="14">
        <v>44103</v>
      </c>
      <c r="K169" s="15" t="s">
        <v>484</v>
      </c>
      <c r="L169" s="14">
        <v>44103</v>
      </c>
      <c r="M169" s="16" t="s">
        <v>36</v>
      </c>
      <c r="N169" s="16">
        <v>27.1</v>
      </c>
      <c r="O169" s="21" t="s">
        <v>31</v>
      </c>
      <c r="P169" s="15" t="s">
        <v>60</v>
      </c>
      <c r="Q169" s="14" t="s">
        <v>60</v>
      </c>
      <c r="R169" s="16" t="s">
        <v>60</v>
      </c>
      <c r="S169" s="16" t="s">
        <v>60</v>
      </c>
      <c r="T169" s="21" t="s">
        <v>60</v>
      </c>
      <c r="U169" s="14">
        <v>44104</v>
      </c>
      <c r="V169" s="18">
        <f t="shared" si="7"/>
        <v>3</v>
      </c>
      <c r="W169" s="19" t="str">
        <f t="shared" si="8"/>
        <v>Não Detectável</v>
      </c>
    </row>
    <row r="170" spans="1:23" ht="24.75" customHeight="1" x14ac:dyDescent="0.2">
      <c r="A170" s="10">
        <v>169</v>
      </c>
      <c r="B170" s="11" t="s">
        <v>553</v>
      </c>
      <c r="C170" s="12" t="s">
        <v>554</v>
      </c>
      <c r="D170" s="10">
        <v>53</v>
      </c>
      <c r="E170" s="10" t="s">
        <v>25</v>
      </c>
      <c r="F170" s="13" t="s">
        <v>555</v>
      </c>
      <c r="G170" s="14" t="s">
        <v>506</v>
      </c>
      <c r="H170" s="15" t="s">
        <v>60</v>
      </c>
      <c r="I170" s="10">
        <v>21</v>
      </c>
      <c r="J170" s="14">
        <v>44103</v>
      </c>
      <c r="K170" s="15" t="s">
        <v>484</v>
      </c>
      <c r="L170" s="14">
        <v>44103</v>
      </c>
      <c r="M170" s="16" t="s">
        <v>36</v>
      </c>
      <c r="N170" s="16">
        <v>27.1</v>
      </c>
      <c r="O170" s="21" t="s">
        <v>31</v>
      </c>
      <c r="P170" s="15" t="s">
        <v>60</v>
      </c>
      <c r="Q170" s="14" t="s">
        <v>60</v>
      </c>
      <c r="R170" s="16" t="s">
        <v>60</v>
      </c>
      <c r="S170" s="16" t="s">
        <v>60</v>
      </c>
      <c r="T170" s="21" t="s">
        <v>60</v>
      </c>
      <c r="U170" s="14">
        <v>44104</v>
      </c>
      <c r="V170" s="18">
        <f t="shared" si="7"/>
        <v>3</v>
      </c>
      <c r="W170" s="19" t="str">
        <f t="shared" si="8"/>
        <v>Não Detectável</v>
      </c>
    </row>
    <row r="171" spans="1:23" ht="24.75" customHeight="1" x14ac:dyDescent="0.2">
      <c r="A171" s="18">
        <v>170</v>
      </c>
      <c r="B171" s="22" t="s">
        <v>556</v>
      </c>
      <c r="C171" s="23" t="s">
        <v>557</v>
      </c>
      <c r="D171" s="18">
        <v>84</v>
      </c>
      <c r="E171" s="18" t="s">
        <v>34</v>
      </c>
      <c r="F171" s="24" t="s">
        <v>558</v>
      </c>
      <c r="G171" s="25" t="s">
        <v>506</v>
      </c>
      <c r="H171" s="26" t="s">
        <v>60</v>
      </c>
      <c r="I171" s="18">
        <v>22</v>
      </c>
      <c r="J171" s="25">
        <v>44103</v>
      </c>
      <c r="K171" s="15" t="s">
        <v>513</v>
      </c>
      <c r="L171" s="14">
        <v>44104</v>
      </c>
      <c r="M171" s="16">
        <v>18</v>
      </c>
      <c r="N171" s="16">
        <v>25.9</v>
      </c>
      <c r="O171" s="14" t="s">
        <v>29</v>
      </c>
      <c r="P171" s="15" t="s">
        <v>559</v>
      </c>
      <c r="Q171" s="14">
        <v>44105</v>
      </c>
      <c r="R171" s="16">
        <v>19.600000000000001</v>
      </c>
      <c r="S171" s="16">
        <v>24.3</v>
      </c>
      <c r="T171" s="21" t="s">
        <v>29</v>
      </c>
      <c r="U171" s="14">
        <v>44105</v>
      </c>
      <c r="V171" s="18">
        <f t="shared" si="7"/>
        <v>3</v>
      </c>
      <c r="W171" s="19" t="str">
        <f t="shared" si="8"/>
        <v>Detectável</v>
      </c>
    </row>
    <row r="172" spans="1:23" ht="24.75" customHeight="1" x14ac:dyDescent="0.2">
      <c r="A172" s="18">
        <v>171</v>
      </c>
      <c r="B172" s="22" t="s">
        <v>560</v>
      </c>
      <c r="C172" s="23" t="s">
        <v>561</v>
      </c>
      <c r="D172" s="18">
        <v>24</v>
      </c>
      <c r="E172" s="18" t="s">
        <v>25</v>
      </c>
      <c r="F172" s="24" t="s">
        <v>562</v>
      </c>
      <c r="G172" s="25" t="s">
        <v>563</v>
      </c>
      <c r="H172" s="26" t="s">
        <v>60</v>
      </c>
      <c r="I172" s="18">
        <v>22</v>
      </c>
      <c r="J172" s="25">
        <v>44104</v>
      </c>
      <c r="K172" s="15" t="s">
        <v>513</v>
      </c>
      <c r="L172" s="14">
        <v>44104</v>
      </c>
      <c r="M172" s="16">
        <v>18</v>
      </c>
      <c r="N172" s="16">
        <v>25.9</v>
      </c>
      <c r="O172" s="14" t="s">
        <v>29</v>
      </c>
      <c r="P172" s="15" t="s">
        <v>559</v>
      </c>
      <c r="Q172" s="14">
        <v>44105</v>
      </c>
      <c r="R172" s="16">
        <v>16.7</v>
      </c>
      <c r="S172" s="16">
        <v>25.2</v>
      </c>
      <c r="T172" s="21" t="s">
        <v>29</v>
      </c>
      <c r="U172" s="14">
        <v>44105</v>
      </c>
      <c r="V172" s="18">
        <f t="shared" si="7"/>
        <v>3</v>
      </c>
      <c r="W172" s="19" t="str">
        <f t="shared" si="8"/>
        <v>Detectável</v>
      </c>
    </row>
    <row r="173" spans="1:23" ht="24.75" customHeight="1" x14ac:dyDescent="0.2">
      <c r="A173" s="18">
        <v>172</v>
      </c>
      <c r="B173" s="22" t="s">
        <v>564</v>
      </c>
      <c r="C173" s="23" t="s">
        <v>565</v>
      </c>
      <c r="D173" s="18">
        <v>24</v>
      </c>
      <c r="E173" s="18" t="s">
        <v>34</v>
      </c>
      <c r="F173" s="24" t="s">
        <v>566</v>
      </c>
      <c r="G173" s="25" t="s">
        <v>563</v>
      </c>
      <c r="H173" s="26" t="s">
        <v>60</v>
      </c>
      <c r="I173" s="18">
        <v>22</v>
      </c>
      <c r="J173" s="25">
        <v>44104</v>
      </c>
      <c r="K173" s="15" t="s">
        <v>513</v>
      </c>
      <c r="L173" s="14">
        <v>44104</v>
      </c>
      <c r="M173" s="16">
        <v>18</v>
      </c>
      <c r="N173" s="16">
        <v>25.9</v>
      </c>
      <c r="O173" s="14" t="s">
        <v>29</v>
      </c>
      <c r="P173" s="15" t="s">
        <v>559</v>
      </c>
      <c r="Q173" s="14">
        <v>44105</v>
      </c>
      <c r="R173" s="16" t="s">
        <v>36</v>
      </c>
      <c r="S173" s="16">
        <v>24.6</v>
      </c>
      <c r="T173" s="21" t="s">
        <v>31</v>
      </c>
      <c r="U173" s="14">
        <v>44105</v>
      </c>
      <c r="V173" s="18">
        <f t="shared" si="7"/>
        <v>3</v>
      </c>
      <c r="W173" s="19" t="str">
        <f t="shared" si="8"/>
        <v>Não Detectável</v>
      </c>
    </row>
    <row r="174" spans="1:23" ht="24.75" customHeight="1" x14ac:dyDescent="0.2">
      <c r="A174" s="18">
        <v>173</v>
      </c>
      <c r="B174" s="22" t="s">
        <v>567</v>
      </c>
      <c r="C174" s="23" t="s">
        <v>568</v>
      </c>
      <c r="D174" s="18">
        <v>55</v>
      </c>
      <c r="E174" s="18" t="s">
        <v>34</v>
      </c>
      <c r="F174" s="24" t="s">
        <v>569</v>
      </c>
      <c r="G174" s="25" t="s">
        <v>563</v>
      </c>
      <c r="H174" s="26" t="s">
        <v>60</v>
      </c>
      <c r="I174" s="18">
        <v>23</v>
      </c>
      <c r="J174" s="25">
        <v>44104</v>
      </c>
      <c r="K174" s="15" t="s">
        <v>513</v>
      </c>
      <c r="L174" s="14">
        <v>44104</v>
      </c>
      <c r="M174" s="16" t="s">
        <v>36</v>
      </c>
      <c r="N174" s="16">
        <v>26.8</v>
      </c>
      <c r="O174" s="21" t="s">
        <v>31</v>
      </c>
      <c r="P174" s="15" t="s">
        <v>60</v>
      </c>
      <c r="Q174" s="14" t="s">
        <v>60</v>
      </c>
      <c r="R174" s="16" t="s">
        <v>60</v>
      </c>
      <c r="S174" s="16" t="s">
        <v>60</v>
      </c>
      <c r="T174" s="21" t="s">
        <v>60</v>
      </c>
      <c r="U174" s="14">
        <v>44105</v>
      </c>
      <c r="V174" s="18">
        <f t="shared" si="7"/>
        <v>3</v>
      </c>
      <c r="W174" s="19" t="str">
        <f t="shared" si="8"/>
        <v>Não Detectável</v>
      </c>
    </row>
    <row r="175" spans="1:23" ht="24.75" customHeight="1" x14ac:dyDescent="0.2">
      <c r="A175" s="18">
        <v>174</v>
      </c>
      <c r="B175" s="22" t="s">
        <v>570</v>
      </c>
      <c r="C175" s="23" t="s">
        <v>571</v>
      </c>
      <c r="D175" s="18">
        <v>47</v>
      </c>
      <c r="E175" s="18" t="s">
        <v>34</v>
      </c>
      <c r="F175" s="24" t="s">
        <v>572</v>
      </c>
      <c r="G175" s="25" t="s">
        <v>563</v>
      </c>
      <c r="H175" s="26" t="s">
        <v>60</v>
      </c>
      <c r="I175" s="18">
        <v>23</v>
      </c>
      <c r="J175" s="25">
        <v>44104</v>
      </c>
      <c r="K175" s="15" t="s">
        <v>513</v>
      </c>
      <c r="L175" s="14">
        <v>44104</v>
      </c>
      <c r="M175" s="16" t="s">
        <v>36</v>
      </c>
      <c r="N175" s="16">
        <v>26.8</v>
      </c>
      <c r="O175" s="21" t="s">
        <v>31</v>
      </c>
      <c r="P175" s="15" t="s">
        <v>60</v>
      </c>
      <c r="Q175" s="14" t="s">
        <v>60</v>
      </c>
      <c r="R175" s="16" t="s">
        <v>60</v>
      </c>
      <c r="S175" s="16" t="s">
        <v>60</v>
      </c>
      <c r="T175" s="21" t="s">
        <v>60</v>
      </c>
      <c r="U175" s="14">
        <v>44105</v>
      </c>
      <c r="V175" s="18">
        <f t="shared" si="7"/>
        <v>3</v>
      </c>
      <c r="W175" s="19" t="str">
        <f t="shared" si="8"/>
        <v>Não Detectável</v>
      </c>
    </row>
    <row r="176" spans="1:23" ht="24.75" customHeight="1" x14ac:dyDescent="0.2">
      <c r="A176" s="18">
        <v>175</v>
      </c>
      <c r="B176" s="22" t="s">
        <v>573</v>
      </c>
      <c r="C176" s="23" t="s">
        <v>574</v>
      </c>
      <c r="D176" s="18">
        <v>75</v>
      </c>
      <c r="E176" s="18" t="s">
        <v>34</v>
      </c>
      <c r="F176" s="24" t="s">
        <v>575</v>
      </c>
      <c r="G176" s="25" t="s">
        <v>563</v>
      </c>
      <c r="H176" s="26" t="s">
        <v>60</v>
      </c>
      <c r="I176" s="18">
        <v>23</v>
      </c>
      <c r="J176" s="25">
        <v>44104</v>
      </c>
      <c r="K176" s="15" t="s">
        <v>513</v>
      </c>
      <c r="L176" s="14">
        <v>44104</v>
      </c>
      <c r="M176" s="16" t="s">
        <v>36</v>
      </c>
      <c r="N176" s="16">
        <v>26.8</v>
      </c>
      <c r="O176" s="21" t="s">
        <v>31</v>
      </c>
      <c r="P176" s="15" t="s">
        <v>60</v>
      </c>
      <c r="Q176" s="14" t="s">
        <v>60</v>
      </c>
      <c r="R176" s="16" t="s">
        <v>60</v>
      </c>
      <c r="S176" s="16" t="s">
        <v>60</v>
      </c>
      <c r="T176" s="21" t="s">
        <v>60</v>
      </c>
      <c r="U176" s="14">
        <v>44105</v>
      </c>
      <c r="V176" s="18">
        <f t="shared" si="7"/>
        <v>3</v>
      </c>
      <c r="W176" s="19" t="str">
        <f t="shared" si="8"/>
        <v>Não Detectável</v>
      </c>
    </row>
    <row r="177" spans="1:23" ht="24.75" customHeight="1" x14ac:dyDescent="0.2">
      <c r="A177" s="18">
        <v>176</v>
      </c>
      <c r="B177" s="22" t="s">
        <v>576</v>
      </c>
      <c r="C177" s="23" t="s">
        <v>577</v>
      </c>
      <c r="D177" s="18">
        <v>33</v>
      </c>
      <c r="E177" s="18" t="s">
        <v>34</v>
      </c>
      <c r="F177" s="24" t="s">
        <v>578</v>
      </c>
      <c r="G177" s="25" t="s">
        <v>563</v>
      </c>
      <c r="H177" s="26" t="s">
        <v>60</v>
      </c>
      <c r="I177" s="18">
        <v>24</v>
      </c>
      <c r="J177" s="25">
        <v>44104</v>
      </c>
      <c r="K177" s="15" t="s">
        <v>513</v>
      </c>
      <c r="L177" s="14">
        <v>44104</v>
      </c>
      <c r="M177" s="16" t="s">
        <v>36</v>
      </c>
      <c r="N177" s="16">
        <v>27</v>
      </c>
      <c r="O177" s="21" t="s">
        <v>31</v>
      </c>
      <c r="P177" s="15" t="s">
        <v>60</v>
      </c>
      <c r="Q177" s="14" t="s">
        <v>60</v>
      </c>
      <c r="R177" s="16" t="s">
        <v>60</v>
      </c>
      <c r="S177" s="16" t="s">
        <v>60</v>
      </c>
      <c r="T177" s="21" t="s">
        <v>60</v>
      </c>
      <c r="U177" s="14">
        <v>44105</v>
      </c>
      <c r="V177" s="18">
        <f t="shared" si="7"/>
        <v>3</v>
      </c>
      <c r="W177" s="19" t="str">
        <f t="shared" si="8"/>
        <v>Não Detectável</v>
      </c>
    </row>
    <row r="178" spans="1:23" ht="24.75" customHeight="1" x14ac:dyDescent="0.2">
      <c r="A178" s="18">
        <v>177</v>
      </c>
      <c r="B178" s="22" t="s">
        <v>579</v>
      </c>
      <c r="C178" s="23" t="s">
        <v>580</v>
      </c>
      <c r="D178" s="18">
        <v>29</v>
      </c>
      <c r="E178" s="18" t="s">
        <v>34</v>
      </c>
      <c r="F178" s="24" t="s">
        <v>58</v>
      </c>
      <c r="G178" s="25" t="s">
        <v>563</v>
      </c>
      <c r="H178" s="26" t="s">
        <v>60</v>
      </c>
      <c r="I178" s="18">
        <v>24</v>
      </c>
      <c r="J178" s="25">
        <v>44104</v>
      </c>
      <c r="K178" s="15" t="s">
        <v>513</v>
      </c>
      <c r="L178" s="14">
        <v>44104</v>
      </c>
      <c r="M178" s="16" t="s">
        <v>36</v>
      </c>
      <c r="N178" s="16">
        <v>27</v>
      </c>
      <c r="O178" s="21" t="s">
        <v>31</v>
      </c>
      <c r="P178" s="15" t="s">
        <v>60</v>
      </c>
      <c r="Q178" s="14" t="s">
        <v>60</v>
      </c>
      <c r="R178" s="16" t="s">
        <v>60</v>
      </c>
      <c r="S178" s="16" t="s">
        <v>60</v>
      </c>
      <c r="T178" s="21" t="s">
        <v>60</v>
      </c>
      <c r="U178" s="14">
        <v>44105</v>
      </c>
      <c r="V178" s="18">
        <f t="shared" si="7"/>
        <v>3</v>
      </c>
      <c r="W178" s="19" t="str">
        <f t="shared" si="8"/>
        <v>Não Detectável</v>
      </c>
    </row>
    <row r="179" spans="1:23" ht="24.75" customHeight="1" x14ac:dyDescent="0.2">
      <c r="A179" s="18">
        <v>178</v>
      </c>
      <c r="B179" s="22" t="s">
        <v>581</v>
      </c>
      <c r="C179" s="23" t="s">
        <v>582</v>
      </c>
      <c r="D179" s="18">
        <v>32</v>
      </c>
      <c r="E179" s="18" t="s">
        <v>34</v>
      </c>
      <c r="F179" s="24" t="s">
        <v>583</v>
      </c>
      <c r="G179" s="25" t="s">
        <v>563</v>
      </c>
      <c r="H179" s="26" t="s">
        <v>60</v>
      </c>
      <c r="I179" s="18">
        <v>24</v>
      </c>
      <c r="J179" s="25">
        <v>44104</v>
      </c>
      <c r="K179" s="15" t="s">
        <v>513</v>
      </c>
      <c r="L179" s="14">
        <v>44104</v>
      </c>
      <c r="M179" s="16" t="s">
        <v>36</v>
      </c>
      <c r="N179" s="16">
        <v>27</v>
      </c>
      <c r="O179" s="21" t="s">
        <v>31</v>
      </c>
      <c r="P179" s="15" t="s">
        <v>60</v>
      </c>
      <c r="Q179" s="14" t="s">
        <v>60</v>
      </c>
      <c r="R179" s="16" t="s">
        <v>60</v>
      </c>
      <c r="S179" s="16" t="s">
        <v>60</v>
      </c>
      <c r="T179" s="21" t="s">
        <v>60</v>
      </c>
      <c r="U179" s="14">
        <v>44105</v>
      </c>
      <c r="V179" s="18">
        <f t="shared" si="7"/>
        <v>3</v>
      </c>
      <c r="W179" s="19" t="str">
        <f t="shared" si="8"/>
        <v>Não Detectável</v>
      </c>
    </row>
    <row r="180" spans="1:23" ht="24.75" customHeight="1" x14ac:dyDescent="0.2">
      <c r="A180" s="18">
        <v>179</v>
      </c>
      <c r="B180" s="22" t="s">
        <v>584</v>
      </c>
      <c r="C180" s="23" t="s">
        <v>585</v>
      </c>
      <c r="D180" s="18">
        <v>41</v>
      </c>
      <c r="E180" s="18" t="s">
        <v>34</v>
      </c>
      <c r="F180" s="24" t="s">
        <v>58</v>
      </c>
      <c r="G180" s="25" t="s">
        <v>563</v>
      </c>
      <c r="H180" s="26" t="s">
        <v>60</v>
      </c>
      <c r="I180" s="18">
        <v>25</v>
      </c>
      <c r="J180" s="25">
        <v>44104</v>
      </c>
      <c r="K180" s="15" t="s">
        <v>559</v>
      </c>
      <c r="L180" s="14">
        <v>44105</v>
      </c>
      <c r="M180" s="16" t="s">
        <v>36</v>
      </c>
      <c r="N180" s="16">
        <v>26.5</v>
      </c>
      <c r="O180" s="21" t="s">
        <v>31</v>
      </c>
      <c r="P180" s="15" t="s">
        <v>60</v>
      </c>
      <c r="Q180" s="14" t="s">
        <v>60</v>
      </c>
      <c r="R180" s="16" t="s">
        <v>60</v>
      </c>
      <c r="S180" s="16" t="s">
        <v>60</v>
      </c>
      <c r="T180" s="21" t="s">
        <v>60</v>
      </c>
      <c r="U180" s="14">
        <v>44105</v>
      </c>
      <c r="V180" s="18">
        <f t="shared" si="7"/>
        <v>3</v>
      </c>
      <c r="W180" s="19" t="str">
        <f t="shared" si="8"/>
        <v>Não Detectável</v>
      </c>
    </row>
    <row r="181" spans="1:23" ht="24.75" customHeight="1" x14ac:dyDescent="0.2">
      <c r="A181" s="18">
        <v>180</v>
      </c>
      <c r="B181" s="22" t="s">
        <v>586</v>
      </c>
      <c r="C181" s="23" t="s">
        <v>587</v>
      </c>
      <c r="D181" s="18">
        <v>35</v>
      </c>
      <c r="E181" s="18" t="s">
        <v>34</v>
      </c>
      <c r="F181" s="24" t="s">
        <v>588</v>
      </c>
      <c r="G181" s="25" t="s">
        <v>563</v>
      </c>
      <c r="H181" s="26" t="s">
        <v>60</v>
      </c>
      <c r="I181" s="18">
        <v>25</v>
      </c>
      <c r="J181" s="25">
        <v>44104</v>
      </c>
      <c r="K181" s="15" t="s">
        <v>559</v>
      </c>
      <c r="L181" s="14">
        <v>44105</v>
      </c>
      <c r="M181" s="16" t="s">
        <v>36</v>
      </c>
      <c r="N181" s="16">
        <v>26.5</v>
      </c>
      <c r="O181" s="21" t="s">
        <v>31</v>
      </c>
      <c r="P181" s="15" t="s">
        <v>60</v>
      </c>
      <c r="Q181" s="14" t="s">
        <v>60</v>
      </c>
      <c r="R181" s="16" t="s">
        <v>60</v>
      </c>
      <c r="S181" s="16" t="s">
        <v>60</v>
      </c>
      <c r="T181" s="21" t="s">
        <v>60</v>
      </c>
      <c r="U181" s="14">
        <v>44105</v>
      </c>
      <c r="V181" s="18">
        <f t="shared" si="7"/>
        <v>3</v>
      </c>
      <c r="W181" s="19" t="str">
        <f t="shared" si="8"/>
        <v>Não Detectável</v>
      </c>
    </row>
    <row r="182" spans="1:23" ht="24.75" customHeight="1" x14ac:dyDescent="0.2">
      <c r="A182" s="18">
        <v>181</v>
      </c>
      <c r="B182" s="22" t="s">
        <v>589</v>
      </c>
      <c r="C182" s="23" t="s">
        <v>590</v>
      </c>
      <c r="D182" s="18">
        <v>45</v>
      </c>
      <c r="E182" s="18" t="s">
        <v>34</v>
      </c>
      <c r="F182" s="24" t="s">
        <v>591</v>
      </c>
      <c r="G182" s="25" t="s">
        <v>592</v>
      </c>
      <c r="H182" s="26" t="s">
        <v>60</v>
      </c>
      <c r="I182" s="18">
        <v>25</v>
      </c>
      <c r="J182" s="25">
        <v>44105</v>
      </c>
      <c r="K182" s="15" t="s">
        <v>559</v>
      </c>
      <c r="L182" s="14">
        <v>44105</v>
      </c>
      <c r="M182" s="16" t="s">
        <v>36</v>
      </c>
      <c r="N182" s="16">
        <v>26.5</v>
      </c>
      <c r="O182" s="21" t="s">
        <v>31</v>
      </c>
      <c r="P182" s="15" t="s">
        <v>60</v>
      </c>
      <c r="Q182" s="14" t="s">
        <v>60</v>
      </c>
      <c r="R182" s="16" t="s">
        <v>60</v>
      </c>
      <c r="S182" s="16" t="s">
        <v>60</v>
      </c>
      <c r="T182" s="21" t="s">
        <v>60</v>
      </c>
      <c r="U182" s="14">
        <v>44105</v>
      </c>
      <c r="V182" s="18">
        <f t="shared" si="7"/>
        <v>3</v>
      </c>
      <c r="W182" s="19" t="str">
        <f t="shared" si="8"/>
        <v>Não Detectável</v>
      </c>
    </row>
    <row r="183" spans="1:23" ht="24.75" customHeight="1" x14ac:dyDescent="0.2">
      <c r="A183" s="18">
        <v>182</v>
      </c>
      <c r="B183" s="22" t="s">
        <v>593</v>
      </c>
      <c r="C183" s="23" t="s">
        <v>594</v>
      </c>
      <c r="D183" s="18">
        <v>47</v>
      </c>
      <c r="E183" s="18" t="s">
        <v>25</v>
      </c>
      <c r="F183" s="24" t="s">
        <v>595</v>
      </c>
      <c r="G183" s="25" t="s">
        <v>592</v>
      </c>
      <c r="H183" s="26" t="s">
        <v>60</v>
      </c>
      <c r="I183" s="18">
        <v>26</v>
      </c>
      <c r="J183" s="25">
        <v>44105</v>
      </c>
      <c r="K183" s="15" t="s">
        <v>559</v>
      </c>
      <c r="L183" s="14">
        <v>44105</v>
      </c>
      <c r="M183" s="16" t="s">
        <v>36</v>
      </c>
      <c r="N183" s="16">
        <v>24.6</v>
      </c>
      <c r="O183" s="21" t="s">
        <v>31</v>
      </c>
      <c r="P183" s="15" t="s">
        <v>60</v>
      </c>
      <c r="Q183" s="14" t="s">
        <v>60</v>
      </c>
      <c r="R183" s="16" t="s">
        <v>60</v>
      </c>
      <c r="S183" s="16" t="s">
        <v>60</v>
      </c>
      <c r="T183" s="21" t="s">
        <v>60</v>
      </c>
      <c r="U183" s="14">
        <v>44105</v>
      </c>
      <c r="V183" s="18">
        <f t="shared" si="7"/>
        <v>3</v>
      </c>
      <c r="W183" s="19" t="str">
        <f t="shared" si="8"/>
        <v>Não Detectável</v>
      </c>
    </row>
    <row r="184" spans="1:23" ht="24.75" customHeight="1" x14ac:dyDescent="0.2">
      <c r="A184" s="18">
        <v>183</v>
      </c>
      <c r="B184" s="22" t="s">
        <v>596</v>
      </c>
      <c r="C184" s="23" t="s">
        <v>597</v>
      </c>
      <c r="D184" s="18">
        <v>25</v>
      </c>
      <c r="E184" s="18" t="s">
        <v>34</v>
      </c>
      <c r="F184" s="24" t="s">
        <v>598</v>
      </c>
      <c r="G184" s="25" t="s">
        <v>592</v>
      </c>
      <c r="H184" s="26" t="s">
        <v>60</v>
      </c>
      <c r="I184" s="18">
        <v>26</v>
      </c>
      <c r="J184" s="25">
        <v>44105</v>
      </c>
      <c r="K184" s="15" t="s">
        <v>559</v>
      </c>
      <c r="L184" s="14">
        <v>44105</v>
      </c>
      <c r="M184" s="16" t="s">
        <v>36</v>
      </c>
      <c r="N184" s="16">
        <v>24.6</v>
      </c>
      <c r="O184" s="21" t="s">
        <v>31</v>
      </c>
      <c r="P184" s="15" t="s">
        <v>60</v>
      </c>
      <c r="Q184" s="14" t="s">
        <v>60</v>
      </c>
      <c r="R184" s="16" t="s">
        <v>60</v>
      </c>
      <c r="S184" s="16" t="s">
        <v>60</v>
      </c>
      <c r="T184" s="21" t="s">
        <v>60</v>
      </c>
      <c r="U184" s="14">
        <v>44105</v>
      </c>
      <c r="V184" s="18">
        <f t="shared" si="7"/>
        <v>3</v>
      </c>
      <c r="W184" s="19" t="str">
        <f t="shared" si="8"/>
        <v>Não Detectável</v>
      </c>
    </row>
    <row r="185" spans="1:23" ht="24.75" customHeight="1" x14ac:dyDescent="0.2">
      <c r="A185" s="18">
        <v>184</v>
      </c>
      <c r="B185" s="22" t="s">
        <v>599</v>
      </c>
      <c r="C185" s="23" t="s">
        <v>600</v>
      </c>
      <c r="D185" s="18">
        <v>49</v>
      </c>
      <c r="E185" s="18" t="s">
        <v>34</v>
      </c>
      <c r="F185" s="24" t="s">
        <v>601</v>
      </c>
      <c r="G185" s="25" t="s">
        <v>592</v>
      </c>
      <c r="H185" s="26" t="s">
        <v>60</v>
      </c>
      <c r="I185" s="18">
        <v>26</v>
      </c>
      <c r="J185" s="25">
        <v>44105</v>
      </c>
      <c r="K185" s="15" t="s">
        <v>559</v>
      </c>
      <c r="L185" s="14">
        <v>44105</v>
      </c>
      <c r="M185" s="16" t="s">
        <v>36</v>
      </c>
      <c r="N185" s="16">
        <v>24.6</v>
      </c>
      <c r="O185" s="21" t="s">
        <v>31</v>
      </c>
      <c r="P185" s="15" t="s">
        <v>60</v>
      </c>
      <c r="Q185" s="14" t="s">
        <v>60</v>
      </c>
      <c r="R185" s="16" t="s">
        <v>60</v>
      </c>
      <c r="S185" s="16" t="s">
        <v>60</v>
      </c>
      <c r="T185" s="21" t="s">
        <v>60</v>
      </c>
      <c r="U185" s="14">
        <v>44105</v>
      </c>
      <c r="V185" s="18">
        <f t="shared" si="7"/>
        <v>3</v>
      </c>
      <c r="W185" s="19" t="str">
        <f t="shared" si="8"/>
        <v>Não Detectável</v>
      </c>
    </row>
    <row r="186" spans="1:23" ht="24.75" customHeight="1" x14ac:dyDescent="0.2">
      <c r="A186" s="18">
        <v>185</v>
      </c>
      <c r="B186" s="22" t="s">
        <v>602</v>
      </c>
      <c r="C186" s="23" t="s">
        <v>603</v>
      </c>
      <c r="D186" s="18">
        <v>28</v>
      </c>
      <c r="E186" s="18" t="s">
        <v>25</v>
      </c>
      <c r="F186" s="24" t="s">
        <v>604</v>
      </c>
      <c r="G186" s="25" t="s">
        <v>592</v>
      </c>
      <c r="H186" s="26" t="s">
        <v>60</v>
      </c>
      <c r="I186" s="18">
        <v>27</v>
      </c>
      <c r="J186" s="25">
        <v>44105</v>
      </c>
      <c r="K186" s="15" t="s">
        <v>559</v>
      </c>
      <c r="L186" s="14">
        <v>44105</v>
      </c>
      <c r="M186" s="16" t="s">
        <v>36</v>
      </c>
      <c r="N186" s="16">
        <v>25.9</v>
      </c>
      <c r="O186" s="21" t="s">
        <v>31</v>
      </c>
      <c r="P186" s="15" t="s">
        <v>60</v>
      </c>
      <c r="Q186" s="14" t="s">
        <v>60</v>
      </c>
      <c r="R186" s="16" t="s">
        <v>60</v>
      </c>
      <c r="S186" s="16" t="s">
        <v>60</v>
      </c>
      <c r="T186" s="21" t="s">
        <v>60</v>
      </c>
      <c r="U186" s="14">
        <v>44105</v>
      </c>
      <c r="V186" s="18">
        <f t="shared" si="7"/>
        <v>3</v>
      </c>
      <c r="W186" s="19" t="str">
        <f t="shared" si="8"/>
        <v>Não Detectável</v>
      </c>
    </row>
    <row r="187" spans="1:23" ht="24.75" customHeight="1" x14ac:dyDescent="0.2">
      <c r="A187" s="18">
        <v>186</v>
      </c>
      <c r="B187" s="22" t="s">
        <v>605</v>
      </c>
      <c r="C187" s="23" t="s">
        <v>606</v>
      </c>
      <c r="D187" s="18">
        <v>44</v>
      </c>
      <c r="E187" s="18" t="s">
        <v>34</v>
      </c>
      <c r="F187" s="24" t="s">
        <v>607</v>
      </c>
      <c r="G187" s="25" t="s">
        <v>592</v>
      </c>
      <c r="H187" s="26" t="s">
        <v>60</v>
      </c>
      <c r="I187" s="18">
        <v>27</v>
      </c>
      <c r="J187" s="25">
        <v>44105</v>
      </c>
      <c r="K187" s="15" t="s">
        <v>559</v>
      </c>
      <c r="L187" s="14">
        <v>44105</v>
      </c>
      <c r="M187" s="16" t="s">
        <v>36</v>
      </c>
      <c r="N187" s="16">
        <v>25.9</v>
      </c>
      <c r="O187" s="21" t="s">
        <v>31</v>
      </c>
      <c r="P187" s="15" t="s">
        <v>60</v>
      </c>
      <c r="Q187" s="14" t="s">
        <v>60</v>
      </c>
      <c r="R187" s="16" t="s">
        <v>60</v>
      </c>
      <c r="S187" s="16" t="s">
        <v>60</v>
      </c>
      <c r="T187" s="21" t="s">
        <v>60</v>
      </c>
      <c r="U187" s="14">
        <v>44105</v>
      </c>
      <c r="V187" s="18">
        <f t="shared" si="7"/>
        <v>3</v>
      </c>
      <c r="W187" s="19" t="str">
        <f t="shared" si="8"/>
        <v>Não Detectável</v>
      </c>
    </row>
    <row r="188" spans="1:23" ht="24.75" customHeight="1" x14ac:dyDescent="0.2">
      <c r="A188" s="18">
        <v>187</v>
      </c>
      <c r="B188" s="22" t="s">
        <v>608</v>
      </c>
      <c r="C188" s="23" t="s">
        <v>609</v>
      </c>
      <c r="D188" s="18">
        <v>52</v>
      </c>
      <c r="E188" s="18" t="s">
        <v>25</v>
      </c>
      <c r="F188" s="24" t="s">
        <v>610</v>
      </c>
      <c r="G188" s="25" t="s">
        <v>592</v>
      </c>
      <c r="H188" s="26" t="s">
        <v>60</v>
      </c>
      <c r="I188" s="18">
        <v>27</v>
      </c>
      <c r="J188" s="25">
        <v>44105</v>
      </c>
      <c r="K188" s="15" t="s">
        <v>559</v>
      </c>
      <c r="L188" s="14">
        <v>44105</v>
      </c>
      <c r="M188" s="16" t="s">
        <v>36</v>
      </c>
      <c r="N188" s="16">
        <v>25.9</v>
      </c>
      <c r="O188" s="21" t="s">
        <v>31</v>
      </c>
      <c r="P188" s="15" t="s">
        <v>60</v>
      </c>
      <c r="Q188" s="14" t="s">
        <v>60</v>
      </c>
      <c r="R188" s="16" t="s">
        <v>60</v>
      </c>
      <c r="S188" s="16" t="s">
        <v>60</v>
      </c>
      <c r="T188" s="21" t="s">
        <v>60</v>
      </c>
      <c r="U188" s="14">
        <v>44105</v>
      </c>
      <c r="V188" s="18">
        <f t="shared" si="7"/>
        <v>3</v>
      </c>
      <c r="W188" s="19" t="str">
        <f t="shared" si="8"/>
        <v>Não Detectável</v>
      </c>
    </row>
    <row r="189" spans="1:23" ht="24.75" customHeight="1" x14ac:dyDescent="0.2">
      <c r="A189" s="18">
        <v>188</v>
      </c>
      <c r="B189" s="22" t="s">
        <v>611</v>
      </c>
      <c r="C189" s="23" t="s">
        <v>612</v>
      </c>
      <c r="D189" s="18">
        <v>31</v>
      </c>
      <c r="E189" s="18" t="s">
        <v>25</v>
      </c>
      <c r="F189" s="24" t="s">
        <v>613</v>
      </c>
      <c r="G189" s="25" t="s">
        <v>592</v>
      </c>
      <c r="H189" s="26" t="s">
        <v>60</v>
      </c>
      <c r="I189" s="18">
        <v>28</v>
      </c>
      <c r="J189" s="25">
        <v>44105</v>
      </c>
      <c r="K189" s="15" t="s">
        <v>559</v>
      </c>
      <c r="L189" s="14">
        <v>44105</v>
      </c>
      <c r="M189" s="16" t="s">
        <v>36</v>
      </c>
      <c r="N189" s="16">
        <v>25</v>
      </c>
      <c r="O189" s="21" t="s">
        <v>31</v>
      </c>
      <c r="P189" s="15" t="s">
        <v>60</v>
      </c>
      <c r="Q189" s="14" t="s">
        <v>60</v>
      </c>
      <c r="R189" s="16" t="s">
        <v>60</v>
      </c>
      <c r="S189" s="16" t="s">
        <v>60</v>
      </c>
      <c r="T189" s="21" t="s">
        <v>60</v>
      </c>
      <c r="U189" s="14">
        <v>44105</v>
      </c>
      <c r="V189" s="18">
        <f t="shared" si="7"/>
        <v>3</v>
      </c>
      <c r="W189" s="19" t="str">
        <f t="shared" si="8"/>
        <v>Não Detectável</v>
      </c>
    </row>
    <row r="190" spans="1:23" ht="24.75" customHeight="1" x14ac:dyDescent="0.2">
      <c r="A190" s="18">
        <v>189</v>
      </c>
      <c r="B190" s="22" t="s">
        <v>614</v>
      </c>
      <c r="C190" s="23" t="s">
        <v>615</v>
      </c>
      <c r="D190" s="18">
        <v>28</v>
      </c>
      <c r="E190" s="18" t="s">
        <v>34</v>
      </c>
      <c r="F190" s="24" t="s">
        <v>616</v>
      </c>
      <c r="G190" s="25" t="s">
        <v>592</v>
      </c>
      <c r="H190" s="26" t="s">
        <v>60</v>
      </c>
      <c r="I190" s="18">
        <v>28</v>
      </c>
      <c r="J190" s="25">
        <v>44105</v>
      </c>
      <c r="K190" s="15" t="s">
        <v>559</v>
      </c>
      <c r="L190" s="14">
        <v>44105</v>
      </c>
      <c r="M190" s="16" t="s">
        <v>36</v>
      </c>
      <c r="N190" s="16">
        <v>25</v>
      </c>
      <c r="O190" s="21" t="s">
        <v>31</v>
      </c>
      <c r="P190" s="15" t="s">
        <v>60</v>
      </c>
      <c r="Q190" s="14" t="s">
        <v>60</v>
      </c>
      <c r="R190" s="16" t="s">
        <v>60</v>
      </c>
      <c r="S190" s="16" t="s">
        <v>60</v>
      </c>
      <c r="T190" s="21" t="s">
        <v>60</v>
      </c>
      <c r="U190" s="14">
        <v>44105</v>
      </c>
      <c r="V190" s="18">
        <f t="shared" si="7"/>
        <v>3</v>
      </c>
      <c r="W190" s="19" t="str">
        <f t="shared" si="8"/>
        <v>Não Detectável</v>
      </c>
    </row>
    <row r="191" spans="1:23" ht="24.75" customHeight="1" x14ac:dyDescent="0.2">
      <c r="A191" s="18">
        <v>190</v>
      </c>
      <c r="B191" s="22" t="s">
        <v>617</v>
      </c>
      <c r="C191" s="23" t="s">
        <v>618</v>
      </c>
      <c r="D191" s="18">
        <v>42</v>
      </c>
      <c r="E191" s="18" t="s">
        <v>34</v>
      </c>
      <c r="F191" s="24" t="s">
        <v>619</v>
      </c>
      <c r="G191" s="25" t="s">
        <v>592</v>
      </c>
      <c r="H191" s="26" t="s">
        <v>60</v>
      </c>
      <c r="I191" s="18">
        <v>28</v>
      </c>
      <c r="J191" s="25">
        <v>44105</v>
      </c>
      <c r="K191" s="15" t="s">
        <v>559</v>
      </c>
      <c r="L191" s="14">
        <v>44105</v>
      </c>
      <c r="M191" s="16" t="s">
        <v>36</v>
      </c>
      <c r="N191" s="16">
        <v>25</v>
      </c>
      <c r="O191" s="21" t="s">
        <v>31</v>
      </c>
      <c r="P191" s="15" t="s">
        <v>60</v>
      </c>
      <c r="Q191" s="14" t="s">
        <v>60</v>
      </c>
      <c r="R191" s="16" t="s">
        <v>60</v>
      </c>
      <c r="S191" s="16" t="s">
        <v>60</v>
      </c>
      <c r="T191" s="21" t="s">
        <v>60</v>
      </c>
      <c r="U191" s="14">
        <v>44105</v>
      </c>
      <c r="V191" s="18">
        <f t="shared" si="7"/>
        <v>3</v>
      </c>
      <c r="W191" s="19" t="str">
        <f t="shared" si="8"/>
        <v>Não Detectável</v>
      </c>
    </row>
    <row r="192" spans="1:23" ht="24.75" customHeight="1" x14ac:dyDescent="0.2">
      <c r="A192" s="18">
        <v>191</v>
      </c>
      <c r="B192" s="22" t="s">
        <v>620</v>
      </c>
      <c r="C192" s="23" t="s">
        <v>621</v>
      </c>
      <c r="D192" s="18">
        <v>61</v>
      </c>
      <c r="E192" s="18" t="s">
        <v>34</v>
      </c>
      <c r="F192" s="24" t="s">
        <v>622</v>
      </c>
      <c r="G192" s="25" t="s">
        <v>592</v>
      </c>
      <c r="H192" s="26" t="s">
        <v>60</v>
      </c>
      <c r="I192" s="18">
        <v>29</v>
      </c>
      <c r="J192" s="25">
        <v>44105</v>
      </c>
      <c r="K192" s="15" t="s">
        <v>559</v>
      </c>
      <c r="L192" s="14">
        <v>44105</v>
      </c>
      <c r="M192" s="16">
        <v>25</v>
      </c>
      <c r="N192" s="16">
        <v>25.3</v>
      </c>
      <c r="O192" s="27" t="s">
        <v>29</v>
      </c>
      <c r="P192" s="26" t="s">
        <v>623</v>
      </c>
      <c r="Q192" s="25">
        <v>44106</v>
      </c>
      <c r="R192" s="28" t="s">
        <v>36</v>
      </c>
      <c r="S192" s="28">
        <v>28.1</v>
      </c>
      <c r="T192" s="29" t="s">
        <v>31</v>
      </c>
      <c r="U192" s="25">
        <v>44106</v>
      </c>
      <c r="V192" s="18">
        <f t="shared" si="7"/>
        <v>3</v>
      </c>
      <c r="W192" s="30" t="str">
        <f t="shared" si="8"/>
        <v>Não Detectável</v>
      </c>
    </row>
    <row r="193" spans="1:23" ht="24.75" customHeight="1" x14ac:dyDescent="0.2">
      <c r="A193" s="18">
        <v>192</v>
      </c>
      <c r="B193" s="22" t="s">
        <v>624</v>
      </c>
      <c r="C193" s="23" t="s">
        <v>625</v>
      </c>
      <c r="D193" s="18">
        <v>61</v>
      </c>
      <c r="E193" s="18" t="s">
        <v>25</v>
      </c>
      <c r="F193" s="24" t="s">
        <v>626</v>
      </c>
      <c r="G193" s="25" t="s">
        <v>592</v>
      </c>
      <c r="H193" s="26" t="s">
        <v>60</v>
      </c>
      <c r="I193" s="18">
        <v>29</v>
      </c>
      <c r="J193" s="25">
        <v>44105</v>
      </c>
      <c r="K193" s="15" t="s">
        <v>559</v>
      </c>
      <c r="L193" s="14">
        <v>44105</v>
      </c>
      <c r="M193" s="16">
        <v>25</v>
      </c>
      <c r="N193" s="16">
        <v>25.3</v>
      </c>
      <c r="O193" s="27" t="s">
        <v>29</v>
      </c>
      <c r="P193" s="26" t="s">
        <v>623</v>
      </c>
      <c r="Q193" s="25">
        <v>44106</v>
      </c>
      <c r="R193" s="28" t="s">
        <v>36</v>
      </c>
      <c r="S193" s="28">
        <v>25.8</v>
      </c>
      <c r="T193" s="29" t="s">
        <v>31</v>
      </c>
      <c r="U193" s="25">
        <v>44106</v>
      </c>
      <c r="V193" s="18">
        <f t="shared" si="7"/>
        <v>3</v>
      </c>
      <c r="W193" s="30" t="str">
        <f t="shared" si="8"/>
        <v>Não Detectável</v>
      </c>
    </row>
    <row r="194" spans="1:23" ht="24.75" customHeight="1" x14ac:dyDescent="0.2">
      <c r="A194" s="18">
        <v>193</v>
      </c>
      <c r="B194" s="22" t="s">
        <v>627</v>
      </c>
      <c r="C194" s="23" t="s">
        <v>628</v>
      </c>
      <c r="D194" s="18">
        <v>38</v>
      </c>
      <c r="E194" s="18" t="s">
        <v>25</v>
      </c>
      <c r="F194" s="24" t="s">
        <v>629</v>
      </c>
      <c r="G194" s="25" t="s">
        <v>592</v>
      </c>
      <c r="H194" s="26" t="s">
        <v>60</v>
      </c>
      <c r="I194" s="18">
        <v>29</v>
      </c>
      <c r="J194" s="25">
        <v>44105</v>
      </c>
      <c r="K194" s="15" t="s">
        <v>559</v>
      </c>
      <c r="L194" s="14">
        <v>44105</v>
      </c>
      <c r="M194" s="16">
        <v>25</v>
      </c>
      <c r="N194" s="16">
        <v>25.3</v>
      </c>
      <c r="O194" s="27" t="s">
        <v>29</v>
      </c>
      <c r="P194" s="26" t="s">
        <v>623</v>
      </c>
      <c r="Q194" s="25">
        <v>44106</v>
      </c>
      <c r="R194" s="28">
        <v>22.6</v>
      </c>
      <c r="S194" s="28">
        <v>25.3</v>
      </c>
      <c r="T194" s="29" t="s">
        <v>29</v>
      </c>
      <c r="U194" s="25">
        <v>44106</v>
      </c>
      <c r="V194" s="18">
        <f t="shared" ref="V194:V198" si="10">COUNTIF(I:I,I194)</f>
        <v>3</v>
      </c>
      <c r="W194" s="30" t="str">
        <f t="shared" ref="W194:W257" si="11">IF(O194="Não Detectável","Não Detectável",IF(T194="","",T194))</f>
        <v>Detectável</v>
      </c>
    </row>
    <row r="195" spans="1:23" ht="24.75" customHeight="1" x14ac:dyDescent="0.2">
      <c r="A195" s="18">
        <v>194</v>
      </c>
      <c r="B195" s="22" t="s">
        <v>630</v>
      </c>
      <c r="C195" s="23" t="s">
        <v>631</v>
      </c>
      <c r="D195" s="18">
        <v>33</v>
      </c>
      <c r="E195" s="18" t="s">
        <v>25</v>
      </c>
      <c r="F195" s="24" t="s">
        <v>632</v>
      </c>
      <c r="G195" s="25">
        <v>44105</v>
      </c>
      <c r="H195" s="26" t="s">
        <v>60</v>
      </c>
      <c r="I195" s="18">
        <v>30</v>
      </c>
      <c r="J195" s="25">
        <v>44106</v>
      </c>
      <c r="K195" s="15" t="s">
        <v>623</v>
      </c>
      <c r="L195" s="14">
        <v>44106</v>
      </c>
      <c r="M195" s="16">
        <v>23.6</v>
      </c>
      <c r="N195" s="16">
        <v>25.2</v>
      </c>
      <c r="O195" s="27" t="s">
        <v>29</v>
      </c>
      <c r="P195" s="26" t="s">
        <v>633</v>
      </c>
      <c r="Q195" s="25">
        <v>44109</v>
      </c>
      <c r="R195" s="28">
        <v>23.065000000000001</v>
      </c>
      <c r="S195" s="28">
        <v>26.341999999999999</v>
      </c>
      <c r="T195" s="29" t="s">
        <v>29</v>
      </c>
      <c r="U195" s="25">
        <v>44109</v>
      </c>
      <c r="V195" s="18">
        <f t="shared" si="10"/>
        <v>3</v>
      </c>
      <c r="W195" s="30" t="str">
        <f t="shared" si="11"/>
        <v>Detectável</v>
      </c>
    </row>
    <row r="196" spans="1:23" ht="24.75" customHeight="1" x14ac:dyDescent="0.2">
      <c r="A196" s="18">
        <v>195</v>
      </c>
      <c r="B196" s="22" t="s">
        <v>634</v>
      </c>
      <c r="C196" s="23" t="s">
        <v>635</v>
      </c>
      <c r="D196" s="18">
        <v>31</v>
      </c>
      <c r="E196" s="18" t="s">
        <v>34</v>
      </c>
      <c r="F196" s="24" t="s">
        <v>636</v>
      </c>
      <c r="G196" s="25">
        <v>44105</v>
      </c>
      <c r="H196" s="26" t="s">
        <v>60</v>
      </c>
      <c r="I196" s="18">
        <v>30</v>
      </c>
      <c r="J196" s="25">
        <v>44106</v>
      </c>
      <c r="K196" s="15" t="s">
        <v>623</v>
      </c>
      <c r="L196" s="14">
        <v>44106</v>
      </c>
      <c r="M196" s="16">
        <v>23.6</v>
      </c>
      <c r="N196" s="16">
        <v>25.2</v>
      </c>
      <c r="O196" s="27" t="s">
        <v>29</v>
      </c>
      <c r="P196" s="26" t="s">
        <v>633</v>
      </c>
      <c r="Q196" s="25">
        <v>44109</v>
      </c>
      <c r="R196" s="28">
        <v>29.445</v>
      </c>
      <c r="S196" s="28">
        <v>28.251000000000001</v>
      </c>
      <c r="T196" s="29" t="s">
        <v>29</v>
      </c>
      <c r="U196" s="25">
        <v>44109</v>
      </c>
      <c r="V196" s="18">
        <f t="shared" si="10"/>
        <v>3</v>
      </c>
      <c r="W196" s="30" t="str">
        <f t="shared" si="11"/>
        <v>Detectável</v>
      </c>
    </row>
    <row r="197" spans="1:23" ht="24.75" customHeight="1" x14ac:dyDescent="0.2">
      <c r="A197" s="18">
        <v>196</v>
      </c>
      <c r="B197" s="22" t="s">
        <v>637</v>
      </c>
      <c r="C197" s="23" t="s">
        <v>638</v>
      </c>
      <c r="D197" s="18">
        <v>35</v>
      </c>
      <c r="E197" s="18" t="s">
        <v>25</v>
      </c>
      <c r="F197" s="24" t="s">
        <v>639</v>
      </c>
      <c r="G197" s="25">
        <v>44105</v>
      </c>
      <c r="H197" s="26" t="s">
        <v>60</v>
      </c>
      <c r="I197" s="18">
        <v>30</v>
      </c>
      <c r="J197" s="25">
        <v>44106</v>
      </c>
      <c r="K197" s="15" t="s">
        <v>623</v>
      </c>
      <c r="L197" s="14">
        <v>44106</v>
      </c>
      <c r="M197" s="16">
        <v>23.6</v>
      </c>
      <c r="N197" s="16">
        <v>25.2</v>
      </c>
      <c r="O197" s="27" t="s">
        <v>29</v>
      </c>
      <c r="P197" s="26" t="s">
        <v>633</v>
      </c>
      <c r="Q197" s="25">
        <v>44109</v>
      </c>
      <c r="R197" s="28" t="s">
        <v>36</v>
      </c>
      <c r="S197" s="28">
        <v>27.456</v>
      </c>
      <c r="T197" s="29" t="s">
        <v>31</v>
      </c>
      <c r="U197" s="25">
        <v>44109</v>
      </c>
      <c r="V197" s="18">
        <f t="shared" si="10"/>
        <v>3</v>
      </c>
      <c r="W197" s="30" t="str">
        <f t="shared" si="11"/>
        <v>Não Detectável</v>
      </c>
    </row>
    <row r="198" spans="1:23" ht="24.75" customHeight="1" x14ac:dyDescent="0.2">
      <c r="A198" s="18">
        <v>197</v>
      </c>
      <c r="B198" s="22" t="s">
        <v>640</v>
      </c>
      <c r="C198" s="23" t="s">
        <v>641</v>
      </c>
      <c r="D198" s="18">
        <v>23</v>
      </c>
      <c r="E198" s="18" t="s">
        <v>25</v>
      </c>
      <c r="F198" s="24" t="s">
        <v>642</v>
      </c>
      <c r="G198" s="25">
        <v>44105</v>
      </c>
      <c r="H198" s="26" t="s">
        <v>60</v>
      </c>
      <c r="I198" s="18">
        <v>31</v>
      </c>
      <c r="J198" s="25">
        <v>44106</v>
      </c>
      <c r="K198" s="15" t="s">
        <v>623</v>
      </c>
      <c r="L198" s="14">
        <v>44106</v>
      </c>
      <c r="M198" s="16">
        <v>17</v>
      </c>
      <c r="N198" s="16">
        <v>25.3</v>
      </c>
      <c r="O198" s="27" t="s">
        <v>29</v>
      </c>
      <c r="P198" s="26" t="s">
        <v>643</v>
      </c>
      <c r="Q198" s="25">
        <v>44110</v>
      </c>
      <c r="R198" s="28">
        <v>37.085999999999999</v>
      </c>
      <c r="S198" s="28">
        <v>27.481000000000002</v>
      </c>
      <c r="T198" s="29" t="s">
        <v>29</v>
      </c>
      <c r="U198" s="25">
        <v>44110</v>
      </c>
      <c r="V198" s="18">
        <f t="shared" si="10"/>
        <v>3</v>
      </c>
      <c r="W198" s="30" t="str">
        <f t="shared" si="11"/>
        <v>Detectável</v>
      </c>
    </row>
    <row r="199" spans="1:23" ht="24.75" customHeight="1" x14ac:dyDescent="0.2">
      <c r="A199" s="18">
        <v>198</v>
      </c>
      <c r="B199" s="22" t="s">
        <v>644</v>
      </c>
      <c r="C199" s="23" t="s">
        <v>645</v>
      </c>
      <c r="D199" s="18">
        <v>34</v>
      </c>
      <c r="E199" s="18" t="s">
        <v>34</v>
      </c>
      <c r="F199" s="24" t="s">
        <v>646</v>
      </c>
      <c r="G199" s="25">
        <v>44105</v>
      </c>
      <c r="H199" s="26" t="s">
        <v>60</v>
      </c>
      <c r="I199" s="18">
        <v>31</v>
      </c>
      <c r="J199" s="25">
        <v>44106</v>
      </c>
      <c r="K199" s="15" t="s">
        <v>623</v>
      </c>
      <c r="L199" s="14">
        <v>44106</v>
      </c>
      <c r="M199" s="16">
        <v>17</v>
      </c>
      <c r="N199" s="16">
        <v>25.3</v>
      </c>
      <c r="O199" s="27" t="s">
        <v>29</v>
      </c>
      <c r="P199" s="26" t="s">
        <v>633</v>
      </c>
      <c r="Q199" s="25">
        <v>44109</v>
      </c>
      <c r="R199" s="28">
        <v>17.032</v>
      </c>
      <c r="S199" s="28">
        <v>26.452000000000002</v>
      </c>
      <c r="T199" s="29" t="s">
        <v>29</v>
      </c>
      <c r="U199" s="25">
        <v>44109</v>
      </c>
      <c r="V199" s="31" t="s">
        <v>60</v>
      </c>
      <c r="W199" s="30" t="str">
        <f t="shared" si="11"/>
        <v>Detectável</v>
      </c>
    </row>
    <row r="200" spans="1:23" ht="24.75" customHeight="1" x14ac:dyDescent="0.2">
      <c r="A200" s="18">
        <v>199</v>
      </c>
      <c r="B200" s="22" t="s">
        <v>647</v>
      </c>
      <c r="C200" s="23" t="s">
        <v>648</v>
      </c>
      <c r="D200" s="18">
        <v>67</v>
      </c>
      <c r="E200" s="18" t="s">
        <v>25</v>
      </c>
      <c r="F200" s="24" t="s">
        <v>139</v>
      </c>
      <c r="G200" s="25">
        <v>44105</v>
      </c>
      <c r="H200" s="26" t="s">
        <v>60</v>
      </c>
      <c r="I200" s="18">
        <v>31</v>
      </c>
      <c r="J200" s="25">
        <v>44106</v>
      </c>
      <c r="K200" s="15" t="s">
        <v>623</v>
      </c>
      <c r="L200" s="14">
        <v>44106</v>
      </c>
      <c r="M200" s="16">
        <v>17</v>
      </c>
      <c r="N200" s="16">
        <v>25.3</v>
      </c>
      <c r="O200" s="27" t="s">
        <v>29</v>
      </c>
      <c r="P200" s="26" t="s">
        <v>633</v>
      </c>
      <c r="Q200" s="25">
        <v>44109</v>
      </c>
      <c r="R200" s="28" t="s">
        <v>36</v>
      </c>
      <c r="S200" s="28">
        <v>28.887</v>
      </c>
      <c r="T200" s="29" t="s">
        <v>31</v>
      </c>
      <c r="U200" s="25">
        <v>44109</v>
      </c>
      <c r="V200" s="18">
        <f t="shared" ref="V200:V263" si="12">COUNTIF(I:I,I200)</f>
        <v>3</v>
      </c>
      <c r="W200" s="30" t="str">
        <f t="shared" si="11"/>
        <v>Não Detectável</v>
      </c>
    </row>
    <row r="201" spans="1:23" ht="24.75" customHeight="1" x14ac:dyDescent="0.2">
      <c r="A201" s="18">
        <v>200</v>
      </c>
      <c r="B201" s="22" t="s">
        <v>649</v>
      </c>
      <c r="C201" s="23" t="s">
        <v>650</v>
      </c>
      <c r="D201" s="18">
        <v>45</v>
      </c>
      <c r="E201" s="18" t="s">
        <v>25</v>
      </c>
      <c r="F201" s="24" t="s">
        <v>651</v>
      </c>
      <c r="G201" s="25">
        <v>44106</v>
      </c>
      <c r="H201" s="26" t="s">
        <v>60</v>
      </c>
      <c r="I201" s="18">
        <v>32</v>
      </c>
      <c r="J201" s="25">
        <v>44109</v>
      </c>
      <c r="K201" s="15" t="s">
        <v>633</v>
      </c>
      <c r="L201" s="14">
        <v>44109</v>
      </c>
      <c r="M201" s="16">
        <v>33.5</v>
      </c>
      <c r="N201" s="16">
        <v>28.4</v>
      </c>
      <c r="O201" s="27" t="s">
        <v>29</v>
      </c>
      <c r="P201" s="26" t="s">
        <v>652</v>
      </c>
      <c r="Q201" s="25">
        <v>44110</v>
      </c>
      <c r="R201" s="28" t="s">
        <v>36</v>
      </c>
      <c r="S201" s="28">
        <v>28.5</v>
      </c>
      <c r="T201" s="21" t="str">
        <f t="shared" ref="T201:T206" si="13">IF(R201="","",IF(R201&gt;37,IF(S201="Ind.","Inconclusivo","Não Detectável"),"Detectável"))</f>
        <v>Não Detectável</v>
      </c>
      <c r="U201" s="25">
        <v>44110</v>
      </c>
      <c r="V201" s="18">
        <f t="shared" si="12"/>
        <v>3</v>
      </c>
      <c r="W201" s="30" t="str">
        <f t="shared" si="11"/>
        <v>Não Detectável</v>
      </c>
    </row>
    <row r="202" spans="1:23" ht="24.75" customHeight="1" x14ac:dyDescent="0.2">
      <c r="A202" s="18">
        <v>201</v>
      </c>
      <c r="B202" s="22" t="s">
        <v>653</v>
      </c>
      <c r="C202" s="23" t="s">
        <v>654</v>
      </c>
      <c r="D202" s="18">
        <v>41</v>
      </c>
      <c r="E202" s="18" t="s">
        <v>34</v>
      </c>
      <c r="F202" s="24" t="s">
        <v>655</v>
      </c>
      <c r="G202" s="25">
        <v>44106</v>
      </c>
      <c r="H202" s="26" t="s">
        <v>60</v>
      </c>
      <c r="I202" s="18">
        <v>32</v>
      </c>
      <c r="J202" s="25">
        <v>44109</v>
      </c>
      <c r="K202" s="15" t="s">
        <v>633</v>
      </c>
      <c r="L202" s="14">
        <v>44109</v>
      </c>
      <c r="M202" s="16">
        <v>33.5</v>
      </c>
      <c r="N202" s="16">
        <v>28.4</v>
      </c>
      <c r="O202" s="27" t="s">
        <v>29</v>
      </c>
      <c r="P202" s="26" t="s">
        <v>652</v>
      </c>
      <c r="Q202" s="25">
        <v>44110</v>
      </c>
      <c r="R202" s="28">
        <v>30.8</v>
      </c>
      <c r="S202" s="28">
        <v>29.3</v>
      </c>
      <c r="T202" s="21" t="str">
        <f t="shared" si="13"/>
        <v>Detectável</v>
      </c>
      <c r="U202" s="25">
        <v>44110</v>
      </c>
      <c r="V202" s="18">
        <f t="shared" si="12"/>
        <v>3</v>
      </c>
      <c r="W202" s="30" t="str">
        <f t="shared" si="11"/>
        <v>Detectável</v>
      </c>
    </row>
    <row r="203" spans="1:23" ht="24.75" customHeight="1" x14ac:dyDescent="0.2">
      <c r="A203" s="18">
        <v>202</v>
      </c>
      <c r="B203" s="22" t="s">
        <v>656</v>
      </c>
      <c r="C203" s="23" t="s">
        <v>657</v>
      </c>
      <c r="D203" s="18">
        <v>73</v>
      </c>
      <c r="E203" s="18" t="s">
        <v>34</v>
      </c>
      <c r="F203" s="24" t="s">
        <v>658</v>
      </c>
      <c r="G203" s="25">
        <v>44106</v>
      </c>
      <c r="H203" s="26" t="s">
        <v>60</v>
      </c>
      <c r="I203" s="18">
        <v>32</v>
      </c>
      <c r="J203" s="25">
        <v>44109</v>
      </c>
      <c r="K203" s="15" t="s">
        <v>633</v>
      </c>
      <c r="L203" s="14">
        <v>44109</v>
      </c>
      <c r="M203" s="16">
        <v>33.5</v>
      </c>
      <c r="N203" s="16">
        <v>28.4</v>
      </c>
      <c r="O203" s="27" t="s">
        <v>29</v>
      </c>
      <c r="P203" s="26" t="s">
        <v>652</v>
      </c>
      <c r="Q203" s="25">
        <v>44110</v>
      </c>
      <c r="R203" s="28" t="s">
        <v>36</v>
      </c>
      <c r="S203" s="28">
        <v>28</v>
      </c>
      <c r="T203" s="21" t="str">
        <f t="shared" si="13"/>
        <v>Não Detectável</v>
      </c>
      <c r="U203" s="25">
        <v>44110</v>
      </c>
      <c r="V203" s="18">
        <f t="shared" si="12"/>
        <v>3</v>
      </c>
      <c r="W203" s="30" t="str">
        <f t="shared" si="11"/>
        <v>Não Detectável</v>
      </c>
    </row>
    <row r="204" spans="1:23" ht="24.75" customHeight="1" x14ac:dyDescent="0.2">
      <c r="A204" s="18">
        <v>203</v>
      </c>
      <c r="B204" s="22" t="s">
        <v>659</v>
      </c>
      <c r="C204" s="23" t="s">
        <v>660</v>
      </c>
      <c r="D204" s="18">
        <v>24</v>
      </c>
      <c r="E204" s="18" t="s">
        <v>25</v>
      </c>
      <c r="F204" s="24" t="s">
        <v>661</v>
      </c>
      <c r="G204" s="25">
        <v>44106</v>
      </c>
      <c r="H204" s="26" t="s">
        <v>60</v>
      </c>
      <c r="I204" s="18">
        <v>33</v>
      </c>
      <c r="J204" s="25">
        <v>44109</v>
      </c>
      <c r="K204" s="15" t="s">
        <v>633</v>
      </c>
      <c r="L204" s="14">
        <v>44109</v>
      </c>
      <c r="M204" s="16">
        <v>24.9</v>
      </c>
      <c r="N204" s="16">
        <v>29.2</v>
      </c>
      <c r="O204" s="27" t="s">
        <v>29</v>
      </c>
      <c r="P204" s="26" t="s">
        <v>652</v>
      </c>
      <c r="Q204" s="25">
        <v>44110</v>
      </c>
      <c r="R204" s="28" t="s">
        <v>36</v>
      </c>
      <c r="S204" s="28">
        <v>28.9</v>
      </c>
      <c r="T204" s="21" t="str">
        <f t="shared" si="13"/>
        <v>Não Detectável</v>
      </c>
      <c r="U204" s="25">
        <v>44110</v>
      </c>
      <c r="V204" s="18">
        <f t="shared" si="12"/>
        <v>3</v>
      </c>
      <c r="W204" s="30" t="str">
        <f t="shared" si="11"/>
        <v>Não Detectável</v>
      </c>
    </row>
    <row r="205" spans="1:23" ht="24.75" customHeight="1" x14ac:dyDescent="0.2">
      <c r="A205" s="18">
        <v>204</v>
      </c>
      <c r="B205" s="22" t="s">
        <v>662</v>
      </c>
      <c r="C205" s="23" t="s">
        <v>663</v>
      </c>
      <c r="D205" s="18">
        <v>44</v>
      </c>
      <c r="E205" s="18" t="s">
        <v>25</v>
      </c>
      <c r="F205" s="24" t="s">
        <v>664</v>
      </c>
      <c r="G205" s="25">
        <v>44106</v>
      </c>
      <c r="H205" s="26" t="s">
        <v>60</v>
      </c>
      <c r="I205" s="18">
        <v>33</v>
      </c>
      <c r="J205" s="25">
        <v>44109</v>
      </c>
      <c r="K205" s="15" t="s">
        <v>633</v>
      </c>
      <c r="L205" s="14">
        <v>44109</v>
      </c>
      <c r="M205" s="16">
        <v>24.9</v>
      </c>
      <c r="N205" s="16">
        <v>29.2</v>
      </c>
      <c r="O205" s="27" t="s">
        <v>29</v>
      </c>
      <c r="P205" s="26" t="s">
        <v>652</v>
      </c>
      <c r="Q205" s="25">
        <v>44110</v>
      </c>
      <c r="R205" s="28" t="s">
        <v>36</v>
      </c>
      <c r="S205" s="28">
        <v>28.4</v>
      </c>
      <c r="T205" s="21" t="str">
        <f t="shared" si="13"/>
        <v>Não Detectável</v>
      </c>
      <c r="U205" s="25">
        <v>44110</v>
      </c>
      <c r="V205" s="18">
        <f t="shared" si="12"/>
        <v>3</v>
      </c>
      <c r="W205" s="30" t="str">
        <f t="shared" si="11"/>
        <v>Não Detectável</v>
      </c>
    </row>
    <row r="206" spans="1:23" ht="24.75" customHeight="1" x14ac:dyDescent="0.2">
      <c r="A206" s="18">
        <v>205</v>
      </c>
      <c r="B206" s="22" t="s">
        <v>665</v>
      </c>
      <c r="C206" s="23" t="s">
        <v>666</v>
      </c>
      <c r="D206" s="18">
        <v>44</v>
      </c>
      <c r="E206" s="18" t="s">
        <v>34</v>
      </c>
      <c r="F206" s="24" t="s">
        <v>667</v>
      </c>
      <c r="G206" s="25">
        <v>44106</v>
      </c>
      <c r="H206" s="26" t="s">
        <v>60</v>
      </c>
      <c r="I206" s="18">
        <v>33</v>
      </c>
      <c r="J206" s="25">
        <v>44109</v>
      </c>
      <c r="K206" s="15" t="s">
        <v>633</v>
      </c>
      <c r="L206" s="14">
        <v>44109</v>
      </c>
      <c r="M206" s="16">
        <v>24.9</v>
      </c>
      <c r="N206" s="16">
        <v>29.2</v>
      </c>
      <c r="O206" s="27" t="s">
        <v>29</v>
      </c>
      <c r="P206" s="26" t="s">
        <v>652</v>
      </c>
      <c r="Q206" s="25">
        <v>44110</v>
      </c>
      <c r="R206" s="28">
        <v>22.5</v>
      </c>
      <c r="S206" s="28">
        <v>28.4</v>
      </c>
      <c r="T206" s="21" t="str">
        <f t="shared" si="13"/>
        <v>Detectável</v>
      </c>
      <c r="U206" s="25">
        <v>44110</v>
      </c>
      <c r="V206" s="18">
        <f t="shared" si="12"/>
        <v>3</v>
      </c>
      <c r="W206" s="30" t="str">
        <f t="shared" si="11"/>
        <v>Detectável</v>
      </c>
    </row>
    <row r="207" spans="1:23" ht="24.75" customHeight="1" x14ac:dyDescent="0.2">
      <c r="A207" s="18">
        <v>206</v>
      </c>
      <c r="B207" s="22" t="s">
        <v>668</v>
      </c>
      <c r="C207" s="23" t="s">
        <v>669</v>
      </c>
      <c r="D207" s="18">
        <v>63</v>
      </c>
      <c r="E207" s="18" t="s">
        <v>25</v>
      </c>
      <c r="F207" s="24" t="s">
        <v>670</v>
      </c>
      <c r="G207" s="25">
        <v>44106</v>
      </c>
      <c r="H207" s="26" t="s">
        <v>60</v>
      </c>
      <c r="I207" s="18">
        <v>34</v>
      </c>
      <c r="J207" s="25">
        <v>44109</v>
      </c>
      <c r="K207" s="15" t="s">
        <v>633</v>
      </c>
      <c r="L207" s="14">
        <v>44109</v>
      </c>
      <c r="M207" s="16" t="s">
        <v>36</v>
      </c>
      <c r="N207" s="16">
        <v>27.7</v>
      </c>
      <c r="O207" s="21" t="s">
        <v>31</v>
      </c>
      <c r="P207" s="26" t="s">
        <v>60</v>
      </c>
      <c r="Q207" s="25" t="s">
        <v>60</v>
      </c>
      <c r="R207" s="28" t="s">
        <v>60</v>
      </c>
      <c r="S207" s="28" t="s">
        <v>60</v>
      </c>
      <c r="T207" s="29" t="s">
        <v>60</v>
      </c>
      <c r="U207" s="25">
        <v>44110</v>
      </c>
      <c r="V207" s="18">
        <f t="shared" si="12"/>
        <v>3</v>
      </c>
      <c r="W207" s="30" t="str">
        <f t="shared" si="11"/>
        <v>Não Detectável</v>
      </c>
    </row>
    <row r="208" spans="1:23" ht="24.75" customHeight="1" x14ac:dyDescent="0.2">
      <c r="A208" s="18">
        <v>207</v>
      </c>
      <c r="B208" s="22" t="s">
        <v>671</v>
      </c>
      <c r="C208" s="23" t="s">
        <v>672</v>
      </c>
      <c r="D208" s="18">
        <v>31</v>
      </c>
      <c r="E208" s="18" t="s">
        <v>34</v>
      </c>
      <c r="F208" s="24" t="s">
        <v>58</v>
      </c>
      <c r="G208" s="25">
        <v>44106</v>
      </c>
      <c r="H208" s="26" t="s">
        <v>60</v>
      </c>
      <c r="I208" s="18">
        <v>34</v>
      </c>
      <c r="J208" s="25">
        <v>44109</v>
      </c>
      <c r="K208" s="15" t="s">
        <v>633</v>
      </c>
      <c r="L208" s="14">
        <v>44109</v>
      </c>
      <c r="M208" s="16" t="s">
        <v>36</v>
      </c>
      <c r="N208" s="16">
        <v>27.7</v>
      </c>
      <c r="O208" s="21" t="s">
        <v>31</v>
      </c>
      <c r="P208" s="26" t="s">
        <v>60</v>
      </c>
      <c r="Q208" s="25" t="s">
        <v>60</v>
      </c>
      <c r="R208" s="28" t="s">
        <v>60</v>
      </c>
      <c r="S208" s="28" t="s">
        <v>60</v>
      </c>
      <c r="T208" s="29" t="s">
        <v>60</v>
      </c>
      <c r="U208" s="25">
        <v>44110</v>
      </c>
      <c r="V208" s="18">
        <f t="shared" si="12"/>
        <v>3</v>
      </c>
      <c r="W208" s="30" t="str">
        <f t="shared" si="11"/>
        <v>Não Detectável</v>
      </c>
    </row>
    <row r="209" spans="1:23" ht="24.75" customHeight="1" x14ac:dyDescent="0.2">
      <c r="A209" s="18">
        <v>208</v>
      </c>
      <c r="B209" s="22" t="s">
        <v>673</v>
      </c>
      <c r="C209" s="23" t="s">
        <v>674</v>
      </c>
      <c r="D209" s="18">
        <v>36</v>
      </c>
      <c r="E209" s="18" t="s">
        <v>25</v>
      </c>
      <c r="F209" s="24" t="s">
        <v>675</v>
      </c>
      <c r="G209" s="25">
        <v>44106</v>
      </c>
      <c r="H209" s="26" t="s">
        <v>60</v>
      </c>
      <c r="I209" s="18">
        <v>34</v>
      </c>
      <c r="J209" s="25">
        <v>44109</v>
      </c>
      <c r="K209" s="15" t="s">
        <v>633</v>
      </c>
      <c r="L209" s="14">
        <v>44109</v>
      </c>
      <c r="M209" s="16" t="s">
        <v>36</v>
      </c>
      <c r="N209" s="16">
        <v>27.7</v>
      </c>
      <c r="O209" s="21" t="s">
        <v>31</v>
      </c>
      <c r="P209" s="26" t="s">
        <v>60</v>
      </c>
      <c r="Q209" s="25" t="s">
        <v>60</v>
      </c>
      <c r="R209" s="28" t="s">
        <v>60</v>
      </c>
      <c r="S209" s="28" t="s">
        <v>60</v>
      </c>
      <c r="T209" s="29" t="s">
        <v>60</v>
      </c>
      <c r="U209" s="25">
        <v>44110</v>
      </c>
      <c r="V209" s="18">
        <f t="shared" si="12"/>
        <v>3</v>
      </c>
      <c r="W209" s="30" t="str">
        <f t="shared" si="11"/>
        <v>Não Detectável</v>
      </c>
    </row>
    <row r="210" spans="1:23" ht="24.75" customHeight="1" x14ac:dyDescent="0.2">
      <c r="A210" s="18">
        <v>209</v>
      </c>
      <c r="B210" s="22" t="s">
        <v>676</v>
      </c>
      <c r="C210" s="23" t="s">
        <v>677</v>
      </c>
      <c r="D210" s="18">
        <v>32</v>
      </c>
      <c r="E210" s="18" t="s">
        <v>25</v>
      </c>
      <c r="F210" s="24" t="s">
        <v>678</v>
      </c>
      <c r="G210" s="25">
        <v>44106</v>
      </c>
      <c r="H210" s="26" t="s">
        <v>60</v>
      </c>
      <c r="I210" s="18">
        <v>35</v>
      </c>
      <c r="J210" s="25">
        <v>44109</v>
      </c>
      <c r="K210" s="15" t="s">
        <v>652</v>
      </c>
      <c r="L210" s="14">
        <v>44110</v>
      </c>
      <c r="M210" s="16">
        <v>24.3</v>
      </c>
      <c r="N210" s="16">
        <v>28.3</v>
      </c>
      <c r="O210" s="27" t="s">
        <v>29</v>
      </c>
      <c r="P210" s="26" t="s">
        <v>679</v>
      </c>
      <c r="Q210" s="25">
        <v>44111</v>
      </c>
      <c r="R210" s="28" t="s">
        <v>36</v>
      </c>
      <c r="S210" s="28">
        <v>30.3</v>
      </c>
      <c r="T210" s="29" t="s">
        <v>31</v>
      </c>
      <c r="U210" s="25">
        <v>44112</v>
      </c>
      <c r="V210" s="18">
        <f t="shared" si="12"/>
        <v>8</v>
      </c>
      <c r="W210" s="30" t="str">
        <f t="shared" si="11"/>
        <v>Não Detectável</v>
      </c>
    </row>
    <row r="211" spans="1:23" ht="24.75" customHeight="1" x14ac:dyDescent="0.2">
      <c r="A211" s="18">
        <v>210</v>
      </c>
      <c r="B211" s="22" t="s">
        <v>680</v>
      </c>
      <c r="C211" s="23" t="s">
        <v>681</v>
      </c>
      <c r="D211" s="18">
        <v>53</v>
      </c>
      <c r="E211" s="18" t="s">
        <v>34</v>
      </c>
      <c r="F211" s="24" t="s">
        <v>682</v>
      </c>
      <c r="G211" s="25">
        <v>44106</v>
      </c>
      <c r="H211" s="26" t="s">
        <v>60</v>
      </c>
      <c r="I211" s="18">
        <v>35</v>
      </c>
      <c r="J211" s="25">
        <v>44109</v>
      </c>
      <c r="K211" s="15" t="s">
        <v>652</v>
      </c>
      <c r="L211" s="14">
        <v>44110</v>
      </c>
      <c r="M211" s="16">
        <v>24.3</v>
      </c>
      <c r="N211" s="16">
        <v>28.3</v>
      </c>
      <c r="O211" s="27" t="s">
        <v>29</v>
      </c>
      <c r="P211" s="26" t="s">
        <v>679</v>
      </c>
      <c r="Q211" s="25">
        <v>44111</v>
      </c>
      <c r="R211" s="28" t="s">
        <v>36</v>
      </c>
      <c r="S211" s="28">
        <v>27.9</v>
      </c>
      <c r="T211" s="29" t="s">
        <v>31</v>
      </c>
      <c r="U211" s="25">
        <v>44112</v>
      </c>
      <c r="V211" s="18">
        <f t="shared" si="12"/>
        <v>8</v>
      </c>
      <c r="W211" s="30" t="str">
        <f t="shared" si="11"/>
        <v>Não Detectável</v>
      </c>
    </row>
    <row r="212" spans="1:23" ht="24.75" customHeight="1" x14ac:dyDescent="0.2">
      <c r="A212" s="18">
        <v>211</v>
      </c>
      <c r="B212" s="22" t="s">
        <v>683</v>
      </c>
      <c r="C212" s="23" t="s">
        <v>684</v>
      </c>
      <c r="D212" s="18">
        <v>26</v>
      </c>
      <c r="E212" s="18" t="s">
        <v>25</v>
      </c>
      <c r="F212" s="24" t="s">
        <v>685</v>
      </c>
      <c r="G212" s="25">
        <v>44109</v>
      </c>
      <c r="H212" s="26" t="s">
        <v>60</v>
      </c>
      <c r="I212" s="18">
        <v>35</v>
      </c>
      <c r="J212" s="25">
        <v>44110</v>
      </c>
      <c r="K212" s="15" t="s">
        <v>652</v>
      </c>
      <c r="L212" s="14">
        <v>44110</v>
      </c>
      <c r="M212" s="16">
        <v>24.3</v>
      </c>
      <c r="N212" s="16">
        <v>28.3</v>
      </c>
      <c r="O212" s="27" t="s">
        <v>29</v>
      </c>
      <c r="P212" s="26" t="s">
        <v>679</v>
      </c>
      <c r="Q212" s="25">
        <v>44111</v>
      </c>
      <c r="R212" s="28" t="s">
        <v>36</v>
      </c>
      <c r="S212" s="28">
        <v>28</v>
      </c>
      <c r="T212" s="29" t="s">
        <v>31</v>
      </c>
      <c r="U212" s="25">
        <v>44112</v>
      </c>
      <c r="V212" s="18">
        <f t="shared" si="12"/>
        <v>8</v>
      </c>
      <c r="W212" s="30" t="str">
        <f t="shared" si="11"/>
        <v>Não Detectável</v>
      </c>
    </row>
    <row r="213" spans="1:23" ht="24.75" customHeight="1" x14ac:dyDescent="0.2">
      <c r="A213" s="18">
        <v>212</v>
      </c>
      <c r="B213" s="22" t="s">
        <v>686</v>
      </c>
      <c r="C213" s="23" t="s">
        <v>687</v>
      </c>
      <c r="D213" s="18">
        <v>36</v>
      </c>
      <c r="E213" s="18" t="s">
        <v>25</v>
      </c>
      <c r="F213" s="24" t="s">
        <v>688</v>
      </c>
      <c r="G213" s="25">
        <v>44109</v>
      </c>
      <c r="H213" s="26" t="s">
        <v>60</v>
      </c>
      <c r="I213" s="18">
        <v>35</v>
      </c>
      <c r="J213" s="25">
        <v>44110</v>
      </c>
      <c r="K213" s="15" t="s">
        <v>652</v>
      </c>
      <c r="L213" s="14">
        <v>44110</v>
      </c>
      <c r="M213" s="16">
        <v>24.3</v>
      </c>
      <c r="N213" s="16">
        <v>28.3</v>
      </c>
      <c r="O213" s="27" t="s">
        <v>29</v>
      </c>
      <c r="P213" s="26" t="s">
        <v>679</v>
      </c>
      <c r="Q213" s="25">
        <v>44111</v>
      </c>
      <c r="R213" s="28">
        <v>21</v>
      </c>
      <c r="S213" s="28">
        <v>29.1</v>
      </c>
      <c r="T213" s="29" t="s">
        <v>29</v>
      </c>
      <c r="U213" s="25">
        <v>44112</v>
      </c>
      <c r="V213" s="18">
        <f t="shared" si="12"/>
        <v>8</v>
      </c>
      <c r="W213" s="30" t="str">
        <f t="shared" si="11"/>
        <v>Detectável</v>
      </c>
    </row>
    <row r="214" spans="1:23" ht="24.75" customHeight="1" x14ac:dyDescent="0.2">
      <c r="A214" s="18">
        <v>213</v>
      </c>
      <c r="B214" s="22" t="s">
        <v>689</v>
      </c>
      <c r="C214" s="23" t="s">
        <v>690</v>
      </c>
      <c r="D214" s="18">
        <v>35</v>
      </c>
      <c r="E214" s="18" t="s">
        <v>34</v>
      </c>
      <c r="F214" s="24" t="s">
        <v>58</v>
      </c>
      <c r="G214" s="25">
        <v>44109</v>
      </c>
      <c r="H214" s="26" t="s">
        <v>60</v>
      </c>
      <c r="I214" s="18">
        <v>35</v>
      </c>
      <c r="J214" s="25">
        <v>44110</v>
      </c>
      <c r="K214" s="15" t="s">
        <v>652</v>
      </c>
      <c r="L214" s="14">
        <v>44110</v>
      </c>
      <c r="M214" s="16">
        <v>24.3</v>
      </c>
      <c r="N214" s="16">
        <v>28.3</v>
      </c>
      <c r="O214" s="27" t="s">
        <v>29</v>
      </c>
      <c r="P214" s="26" t="s">
        <v>679</v>
      </c>
      <c r="Q214" s="25">
        <v>44111</v>
      </c>
      <c r="R214" s="28" t="s">
        <v>36</v>
      </c>
      <c r="S214" s="28">
        <v>30</v>
      </c>
      <c r="T214" s="29" t="s">
        <v>31</v>
      </c>
      <c r="U214" s="25">
        <v>44112</v>
      </c>
      <c r="V214" s="18">
        <f t="shared" si="12"/>
        <v>8</v>
      </c>
      <c r="W214" s="30" t="str">
        <f t="shared" si="11"/>
        <v>Não Detectável</v>
      </c>
    </row>
    <row r="215" spans="1:23" ht="24.75" customHeight="1" x14ac:dyDescent="0.2">
      <c r="A215" s="18">
        <v>214</v>
      </c>
      <c r="B215" s="22" t="s">
        <v>691</v>
      </c>
      <c r="C215" s="23" t="s">
        <v>692</v>
      </c>
      <c r="D215" s="18">
        <v>26</v>
      </c>
      <c r="E215" s="18" t="s">
        <v>34</v>
      </c>
      <c r="F215" s="24" t="s">
        <v>693</v>
      </c>
      <c r="G215" s="25">
        <v>44109</v>
      </c>
      <c r="H215" s="26" t="s">
        <v>60</v>
      </c>
      <c r="I215" s="18">
        <v>35</v>
      </c>
      <c r="J215" s="25">
        <v>44110</v>
      </c>
      <c r="K215" s="15" t="s">
        <v>652</v>
      </c>
      <c r="L215" s="14">
        <v>44110</v>
      </c>
      <c r="M215" s="16">
        <v>24.3</v>
      </c>
      <c r="N215" s="16">
        <v>28.3</v>
      </c>
      <c r="O215" s="27" t="s">
        <v>29</v>
      </c>
      <c r="P215" s="26" t="s">
        <v>679</v>
      </c>
      <c r="Q215" s="25">
        <v>44111</v>
      </c>
      <c r="R215" s="28" t="s">
        <v>36</v>
      </c>
      <c r="S215" s="28">
        <v>30.8</v>
      </c>
      <c r="T215" s="29" t="s">
        <v>31</v>
      </c>
      <c r="U215" s="25">
        <v>44112</v>
      </c>
      <c r="V215" s="18">
        <f t="shared" si="12"/>
        <v>8</v>
      </c>
      <c r="W215" s="30" t="str">
        <f t="shared" si="11"/>
        <v>Não Detectável</v>
      </c>
    </row>
    <row r="216" spans="1:23" ht="24.75" customHeight="1" x14ac:dyDescent="0.2">
      <c r="A216" s="18">
        <v>215</v>
      </c>
      <c r="B216" s="22" t="s">
        <v>694</v>
      </c>
      <c r="C216" s="23" t="s">
        <v>695</v>
      </c>
      <c r="D216" s="18">
        <v>29</v>
      </c>
      <c r="E216" s="18" t="s">
        <v>34</v>
      </c>
      <c r="F216" s="24" t="s">
        <v>696</v>
      </c>
      <c r="G216" s="25">
        <v>44109</v>
      </c>
      <c r="H216" s="26" t="s">
        <v>60</v>
      </c>
      <c r="I216" s="18">
        <v>35</v>
      </c>
      <c r="J216" s="25">
        <v>44110</v>
      </c>
      <c r="K216" s="15" t="s">
        <v>652</v>
      </c>
      <c r="L216" s="14">
        <v>44110</v>
      </c>
      <c r="M216" s="16">
        <v>24.3</v>
      </c>
      <c r="N216" s="16">
        <v>28.3</v>
      </c>
      <c r="O216" s="27" t="s">
        <v>29</v>
      </c>
      <c r="P216" s="26" t="s">
        <v>679</v>
      </c>
      <c r="Q216" s="25">
        <v>44111</v>
      </c>
      <c r="R216" s="28" t="s">
        <v>36</v>
      </c>
      <c r="S216" s="28">
        <v>28.5</v>
      </c>
      <c r="T216" s="29" t="s">
        <v>31</v>
      </c>
      <c r="U216" s="25">
        <v>44112</v>
      </c>
      <c r="V216" s="18">
        <f t="shared" si="12"/>
        <v>8</v>
      </c>
      <c r="W216" s="30" t="str">
        <f t="shared" si="11"/>
        <v>Não Detectável</v>
      </c>
    </row>
    <row r="217" spans="1:23" ht="24.75" customHeight="1" x14ac:dyDescent="0.2">
      <c r="A217" s="18">
        <v>216</v>
      </c>
      <c r="B217" s="22" t="s">
        <v>697</v>
      </c>
      <c r="C217" s="23" t="s">
        <v>698</v>
      </c>
      <c r="D217" s="18">
        <v>45</v>
      </c>
      <c r="E217" s="18" t="s">
        <v>25</v>
      </c>
      <c r="F217" s="24" t="s">
        <v>699</v>
      </c>
      <c r="G217" s="25">
        <v>44109</v>
      </c>
      <c r="H217" s="26" t="s">
        <v>60</v>
      </c>
      <c r="I217" s="18">
        <v>35</v>
      </c>
      <c r="J217" s="25">
        <v>44110</v>
      </c>
      <c r="K217" s="15" t="s">
        <v>652</v>
      </c>
      <c r="L217" s="14">
        <v>44110</v>
      </c>
      <c r="M217" s="16">
        <v>24.3</v>
      </c>
      <c r="N217" s="16">
        <v>28.3</v>
      </c>
      <c r="O217" s="27" t="s">
        <v>29</v>
      </c>
      <c r="P217" s="26" t="s">
        <v>679</v>
      </c>
      <c r="Q217" s="25">
        <v>44111</v>
      </c>
      <c r="R217" s="28" t="s">
        <v>36</v>
      </c>
      <c r="S217" s="28">
        <v>28.3</v>
      </c>
      <c r="T217" s="29" t="s">
        <v>31</v>
      </c>
      <c r="U217" s="25">
        <v>44112</v>
      </c>
      <c r="V217" s="18">
        <f t="shared" si="12"/>
        <v>8</v>
      </c>
      <c r="W217" s="30" t="str">
        <f t="shared" si="11"/>
        <v>Não Detectável</v>
      </c>
    </row>
    <row r="218" spans="1:23" ht="24.75" customHeight="1" x14ac:dyDescent="0.2">
      <c r="A218" s="18">
        <v>217</v>
      </c>
      <c r="B218" s="22" t="s">
        <v>700</v>
      </c>
      <c r="C218" s="23" t="s">
        <v>701</v>
      </c>
      <c r="D218" s="18">
        <v>37</v>
      </c>
      <c r="E218" s="18" t="s">
        <v>34</v>
      </c>
      <c r="F218" s="24" t="s">
        <v>58</v>
      </c>
      <c r="G218" s="25">
        <v>44109</v>
      </c>
      <c r="H218" s="26" t="s">
        <v>60</v>
      </c>
      <c r="I218" s="18">
        <v>36</v>
      </c>
      <c r="J218" s="25">
        <v>44110</v>
      </c>
      <c r="K218" s="15" t="s">
        <v>652</v>
      </c>
      <c r="L218" s="14">
        <v>44110</v>
      </c>
      <c r="M218" s="16">
        <v>40.5</v>
      </c>
      <c r="N218" s="16">
        <v>27.5</v>
      </c>
      <c r="O218" s="27" t="s">
        <v>29</v>
      </c>
      <c r="P218" s="26" t="s">
        <v>679</v>
      </c>
      <c r="Q218" s="25">
        <v>44111</v>
      </c>
      <c r="R218" s="28" t="s">
        <v>36</v>
      </c>
      <c r="S218" s="28">
        <v>30.2</v>
      </c>
      <c r="T218" s="29" t="s">
        <v>31</v>
      </c>
      <c r="U218" s="25">
        <v>44112</v>
      </c>
      <c r="V218" s="18">
        <f t="shared" si="12"/>
        <v>8</v>
      </c>
      <c r="W218" s="30" t="str">
        <f t="shared" si="11"/>
        <v>Não Detectável</v>
      </c>
    </row>
    <row r="219" spans="1:23" ht="24.75" customHeight="1" x14ac:dyDescent="0.2">
      <c r="A219" s="18">
        <v>218</v>
      </c>
      <c r="B219" s="22" t="s">
        <v>702</v>
      </c>
      <c r="C219" s="23" t="s">
        <v>703</v>
      </c>
      <c r="D219" s="18">
        <v>35</v>
      </c>
      <c r="E219" s="18" t="s">
        <v>25</v>
      </c>
      <c r="F219" s="24" t="s">
        <v>704</v>
      </c>
      <c r="G219" s="25">
        <v>44109</v>
      </c>
      <c r="H219" s="26" t="s">
        <v>60</v>
      </c>
      <c r="I219" s="18">
        <v>36</v>
      </c>
      <c r="J219" s="25">
        <v>44110</v>
      </c>
      <c r="K219" s="15" t="s">
        <v>652</v>
      </c>
      <c r="L219" s="14">
        <v>44110</v>
      </c>
      <c r="M219" s="16">
        <v>40.5</v>
      </c>
      <c r="N219" s="16">
        <v>27.5</v>
      </c>
      <c r="O219" s="27" t="s">
        <v>29</v>
      </c>
      <c r="P219" s="26" t="s">
        <v>679</v>
      </c>
      <c r="Q219" s="25">
        <v>44111</v>
      </c>
      <c r="R219" s="28" t="s">
        <v>36</v>
      </c>
      <c r="S219" s="28">
        <v>29.6</v>
      </c>
      <c r="T219" s="29" t="s">
        <v>31</v>
      </c>
      <c r="U219" s="25">
        <v>44112</v>
      </c>
      <c r="V219" s="18">
        <f t="shared" si="12"/>
        <v>8</v>
      </c>
      <c r="W219" s="30" t="str">
        <f t="shared" si="11"/>
        <v>Não Detectável</v>
      </c>
    </row>
    <row r="220" spans="1:23" ht="24.75" customHeight="1" x14ac:dyDescent="0.2">
      <c r="A220" s="18">
        <v>219</v>
      </c>
      <c r="B220" s="22" t="s">
        <v>705</v>
      </c>
      <c r="C220" s="23" t="s">
        <v>706</v>
      </c>
      <c r="D220" s="18">
        <v>63</v>
      </c>
      <c r="E220" s="18" t="s">
        <v>25</v>
      </c>
      <c r="F220" s="24" t="s">
        <v>707</v>
      </c>
      <c r="G220" s="25">
        <v>44109</v>
      </c>
      <c r="H220" s="26" t="s">
        <v>60</v>
      </c>
      <c r="I220" s="18">
        <v>36</v>
      </c>
      <c r="J220" s="25">
        <v>44110</v>
      </c>
      <c r="K220" s="15" t="s">
        <v>652</v>
      </c>
      <c r="L220" s="14">
        <v>44110</v>
      </c>
      <c r="M220" s="16">
        <v>40.5</v>
      </c>
      <c r="N220" s="16">
        <v>27.5</v>
      </c>
      <c r="O220" s="27" t="s">
        <v>29</v>
      </c>
      <c r="P220" s="26" t="s">
        <v>679</v>
      </c>
      <c r="Q220" s="25">
        <v>44111</v>
      </c>
      <c r="R220" s="28" t="s">
        <v>36</v>
      </c>
      <c r="S220" s="28">
        <v>27.8</v>
      </c>
      <c r="T220" s="29" t="s">
        <v>31</v>
      </c>
      <c r="U220" s="25">
        <v>44112</v>
      </c>
      <c r="V220" s="18">
        <f t="shared" si="12"/>
        <v>8</v>
      </c>
      <c r="W220" s="30" t="str">
        <f t="shared" si="11"/>
        <v>Não Detectável</v>
      </c>
    </row>
    <row r="221" spans="1:23" ht="24.75" customHeight="1" x14ac:dyDescent="0.2">
      <c r="A221" s="18">
        <v>220</v>
      </c>
      <c r="B221" s="22" t="s">
        <v>708</v>
      </c>
      <c r="C221" s="23" t="s">
        <v>709</v>
      </c>
      <c r="D221" s="18">
        <v>27</v>
      </c>
      <c r="E221" s="18" t="s">
        <v>34</v>
      </c>
      <c r="F221" s="24" t="s">
        <v>710</v>
      </c>
      <c r="G221" s="25">
        <v>44109</v>
      </c>
      <c r="H221" s="26" t="s">
        <v>60</v>
      </c>
      <c r="I221" s="18">
        <v>36</v>
      </c>
      <c r="J221" s="25">
        <v>44110</v>
      </c>
      <c r="K221" s="15" t="s">
        <v>652</v>
      </c>
      <c r="L221" s="14">
        <v>44110</v>
      </c>
      <c r="M221" s="16">
        <v>40.5</v>
      </c>
      <c r="N221" s="16">
        <v>27.5</v>
      </c>
      <c r="O221" s="27" t="s">
        <v>29</v>
      </c>
      <c r="P221" s="26" t="s">
        <v>679</v>
      </c>
      <c r="Q221" s="25">
        <v>44111</v>
      </c>
      <c r="R221" s="28" t="s">
        <v>36</v>
      </c>
      <c r="S221" s="28">
        <v>27.5</v>
      </c>
      <c r="T221" s="29" t="s">
        <v>31</v>
      </c>
      <c r="U221" s="25">
        <v>44112</v>
      </c>
      <c r="V221" s="18">
        <f t="shared" si="12"/>
        <v>8</v>
      </c>
      <c r="W221" s="30" t="str">
        <f t="shared" si="11"/>
        <v>Não Detectável</v>
      </c>
    </row>
    <row r="222" spans="1:23" ht="24.75" customHeight="1" x14ac:dyDescent="0.2">
      <c r="A222" s="18">
        <v>221</v>
      </c>
      <c r="B222" s="22" t="s">
        <v>711</v>
      </c>
      <c r="C222" s="23" t="s">
        <v>712</v>
      </c>
      <c r="D222" s="18">
        <v>29</v>
      </c>
      <c r="E222" s="18" t="s">
        <v>25</v>
      </c>
      <c r="F222" s="24" t="s">
        <v>713</v>
      </c>
      <c r="G222" s="25">
        <v>44109</v>
      </c>
      <c r="H222" s="26" t="s">
        <v>60</v>
      </c>
      <c r="I222" s="18">
        <v>36</v>
      </c>
      <c r="J222" s="25">
        <v>44110</v>
      </c>
      <c r="K222" s="15" t="s">
        <v>652</v>
      </c>
      <c r="L222" s="14">
        <v>44110</v>
      </c>
      <c r="M222" s="16">
        <v>40.5</v>
      </c>
      <c r="N222" s="16">
        <v>27.5</v>
      </c>
      <c r="O222" s="27" t="s">
        <v>29</v>
      </c>
      <c r="P222" s="26" t="s">
        <v>679</v>
      </c>
      <c r="Q222" s="25">
        <v>44111</v>
      </c>
      <c r="R222" s="28" t="s">
        <v>36</v>
      </c>
      <c r="S222" s="28">
        <v>26.7</v>
      </c>
      <c r="T222" s="29" t="s">
        <v>31</v>
      </c>
      <c r="U222" s="25">
        <v>44112</v>
      </c>
      <c r="V222" s="18">
        <f t="shared" si="12"/>
        <v>8</v>
      </c>
      <c r="W222" s="30" t="str">
        <f t="shared" si="11"/>
        <v>Não Detectável</v>
      </c>
    </row>
    <row r="223" spans="1:23" ht="24.75" customHeight="1" x14ac:dyDescent="0.2">
      <c r="A223" s="18">
        <v>222</v>
      </c>
      <c r="B223" s="22" t="s">
        <v>714</v>
      </c>
      <c r="C223" s="23" t="s">
        <v>715</v>
      </c>
      <c r="D223" s="18">
        <v>20</v>
      </c>
      <c r="E223" s="18" t="s">
        <v>34</v>
      </c>
      <c r="F223" s="24" t="s">
        <v>716</v>
      </c>
      <c r="G223" s="25">
        <v>44109</v>
      </c>
      <c r="H223" s="26" t="s">
        <v>60</v>
      </c>
      <c r="I223" s="18">
        <v>36</v>
      </c>
      <c r="J223" s="25">
        <v>44110</v>
      </c>
      <c r="K223" s="15" t="s">
        <v>652</v>
      </c>
      <c r="L223" s="14">
        <v>44110</v>
      </c>
      <c r="M223" s="16">
        <v>40.5</v>
      </c>
      <c r="N223" s="16">
        <v>27.5</v>
      </c>
      <c r="O223" s="27" t="s">
        <v>29</v>
      </c>
      <c r="P223" s="26" t="s">
        <v>679</v>
      </c>
      <c r="Q223" s="25">
        <v>44111</v>
      </c>
      <c r="R223" s="28" t="s">
        <v>36</v>
      </c>
      <c r="S223" s="28">
        <v>27</v>
      </c>
      <c r="T223" s="29" t="s">
        <v>31</v>
      </c>
      <c r="U223" s="25">
        <v>44112</v>
      </c>
      <c r="V223" s="18">
        <f t="shared" si="12"/>
        <v>8</v>
      </c>
      <c r="W223" s="30" t="str">
        <f t="shared" si="11"/>
        <v>Não Detectável</v>
      </c>
    </row>
    <row r="224" spans="1:23" ht="24.75" customHeight="1" x14ac:dyDescent="0.2">
      <c r="A224" s="18">
        <v>223</v>
      </c>
      <c r="B224" s="22" t="s">
        <v>717</v>
      </c>
      <c r="C224" s="23" t="s">
        <v>718</v>
      </c>
      <c r="D224" s="18">
        <v>31</v>
      </c>
      <c r="E224" s="18" t="s">
        <v>34</v>
      </c>
      <c r="F224" s="24" t="s">
        <v>719</v>
      </c>
      <c r="G224" s="25">
        <v>44109</v>
      </c>
      <c r="H224" s="26" t="s">
        <v>60</v>
      </c>
      <c r="I224" s="18">
        <v>36</v>
      </c>
      <c r="J224" s="25">
        <v>44110</v>
      </c>
      <c r="K224" s="15" t="s">
        <v>652</v>
      </c>
      <c r="L224" s="14">
        <v>44110</v>
      </c>
      <c r="M224" s="16">
        <v>40.5</v>
      </c>
      <c r="N224" s="16">
        <v>27.5</v>
      </c>
      <c r="O224" s="27" t="s">
        <v>29</v>
      </c>
      <c r="P224" s="26" t="s">
        <v>679</v>
      </c>
      <c r="Q224" s="25">
        <v>44111</v>
      </c>
      <c r="R224" s="28">
        <v>35.4</v>
      </c>
      <c r="S224" s="28">
        <v>27.2</v>
      </c>
      <c r="T224" s="29" t="s">
        <v>29</v>
      </c>
      <c r="U224" s="25">
        <v>44112</v>
      </c>
      <c r="V224" s="18">
        <f t="shared" si="12"/>
        <v>8</v>
      </c>
      <c r="W224" s="30" t="str">
        <f t="shared" si="11"/>
        <v>Detectável</v>
      </c>
    </row>
    <row r="225" spans="1:23" ht="24.75" customHeight="1" x14ac:dyDescent="0.2">
      <c r="A225" s="18">
        <v>224</v>
      </c>
      <c r="B225" s="22" t="s">
        <v>720</v>
      </c>
      <c r="C225" s="23" t="s">
        <v>721</v>
      </c>
      <c r="D225" s="18">
        <v>29</v>
      </c>
      <c r="E225" s="18" t="s">
        <v>25</v>
      </c>
      <c r="F225" s="24" t="s">
        <v>722</v>
      </c>
      <c r="G225" s="25">
        <v>44109</v>
      </c>
      <c r="H225" s="26" t="s">
        <v>60</v>
      </c>
      <c r="I225" s="18">
        <v>36</v>
      </c>
      <c r="J225" s="25">
        <v>44110</v>
      </c>
      <c r="K225" s="15" t="s">
        <v>652</v>
      </c>
      <c r="L225" s="14">
        <v>44110</v>
      </c>
      <c r="M225" s="16">
        <v>40.5</v>
      </c>
      <c r="N225" s="16">
        <v>27.5</v>
      </c>
      <c r="O225" s="27" t="s">
        <v>29</v>
      </c>
      <c r="P225" s="26" t="s">
        <v>679</v>
      </c>
      <c r="Q225" s="25">
        <v>44111</v>
      </c>
      <c r="R225" s="28" t="s">
        <v>36</v>
      </c>
      <c r="S225" s="28">
        <v>25.6</v>
      </c>
      <c r="T225" s="29" t="s">
        <v>31</v>
      </c>
      <c r="U225" s="25">
        <v>44112</v>
      </c>
      <c r="V225" s="18">
        <f t="shared" si="12"/>
        <v>8</v>
      </c>
      <c r="W225" s="30" t="str">
        <f t="shared" si="11"/>
        <v>Não Detectável</v>
      </c>
    </row>
    <row r="226" spans="1:23" ht="24.75" customHeight="1" x14ac:dyDescent="0.2">
      <c r="A226" s="18">
        <v>225</v>
      </c>
      <c r="B226" s="22" t="s">
        <v>723</v>
      </c>
      <c r="C226" s="23" t="s">
        <v>724</v>
      </c>
      <c r="D226" s="18">
        <v>22</v>
      </c>
      <c r="E226" s="18" t="s">
        <v>25</v>
      </c>
      <c r="F226" s="24" t="s">
        <v>725</v>
      </c>
      <c r="G226" s="25">
        <v>44109</v>
      </c>
      <c r="H226" s="26" t="s">
        <v>60</v>
      </c>
      <c r="I226" s="18">
        <v>37</v>
      </c>
      <c r="J226" s="25">
        <v>44110</v>
      </c>
      <c r="K226" s="15" t="s">
        <v>679</v>
      </c>
      <c r="L226" s="14">
        <v>44111</v>
      </c>
      <c r="M226" s="16">
        <v>28.1</v>
      </c>
      <c r="N226" s="16">
        <v>27.7</v>
      </c>
      <c r="O226" s="27" t="s">
        <v>29</v>
      </c>
      <c r="P226" s="32" t="s">
        <v>726</v>
      </c>
      <c r="Q226" s="14">
        <v>44112</v>
      </c>
      <c r="R226" s="28">
        <v>38.700000000000003</v>
      </c>
      <c r="S226" s="28">
        <v>28.6</v>
      </c>
      <c r="T226" s="21" t="str">
        <f t="shared" ref="T226:T233" si="14">IF(R226="","",IF(R226&gt;37,IF(S226="Ind.","Inconclusivo","Não Detectável"),"Detectável"))</f>
        <v>Não Detectável</v>
      </c>
      <c r="U226" s="25">
        <v>44112</v>
      </c>
      <c r="V226" s="18">
        <f t="shared" si="12"/>
        <v>8</v>
      </c>
      <c r="W226" s="30" t="str">
        <f t="shared" si="11"/>
        <v>Não Detectável</v>
      </c>
    </row>
    <row r="227" spans="1:23" ht="24.75" customHeight="1" x14ac:dyDescent="0.2">
      <c r="A227" s="18">
        <v>226</v>
      </c>
      <c r="B227" s="22" t="s">
        <v>727</v>
      </c>
      <c r="C227" s="23" t="s">
        <v>728</v>
      </c>
      <c r="D227" s="18">
        <v>46</v>
      </c>
      <c r="E227" s="18" t="s">
        <v>25</v>
      </c>
      <c r="F227" s="24" t="s">
        <v>729</v>
      </c>
      <c r="G227" s="25">
        <v>44110</v>
      </c>
      <c r="H227" s="26" t="s">
        <v>60</v>
      </c>
      <c r="I227" s="18">
        <v>37</v>
      </c>
      <c r="J227" s="25">
        <v>44111</v>
      </c>
      <c r="K227" s="15" t="s">
        <v>679</v>
      </c>
      <c r="L227" s="14">
        <v>44111</v>
      </c>
      <c r="M227" s="16">
        <v>28.1</v>
      </c>
      <c r="N227" s="16">
        <v>27.7</v>
      </c>
      <c r="O227" s="27" t="s">
        <v>29</v>
      </c>
      <c r="P227" s="32" t="s">
        <v>726</v>
      </c>
      <c r="Q227" s="14">
        <v>44112</v>
      </c>
      <c r="R227" s="28" t="s">
        <v>36</v>
      </c>
      <c r="S227" s="28">
        <v>27.7</v>
      </c>
      <c r="T227" s="21" t="str">
        <f t="shared" si="14"/>
        <v>Não Detectável</v>
      </c>
      <c r="U227" s="25">
        <v>44112</v>
      </c>
      <c r="V227" s="18">
        <f t="shared" si="12"/>
        <v>8</v>
      </c>
      <c r="W227" s="30" t="str">
        <f t="shared" si="11"/>
        <v>Não Detectável</v>
      </c>
    </row>
    <row r="228" spans="1:23" ht="24.75" customHeight="1" x14ac:dyDescent="0.2">
      <c r="A228" s="18">
        <v>227</v>
      </c>
      <c r="B228" s="22" t="s">
        <v>730</v>
      </c>
      <c r="C228" s="23" t="s">
        <v>731</v>
      </c>
      <c r="D228" s="18">
        <v>20</v>
      </c>
      <c r="E228" s="18" t="s">
        <v>34</v>
      </c>
      <c r="F228" s="24" t="s">
        <v>732</v>
      </c>
      <c r="G228" s="25">
        <v>44110</v>
      </c>
      <c r="H228" s="26" t="s">
        <v>60</v>
      </c>
      <c r="I228" s="18">
        <v>37</v>
      </c>
      <c r="J228" s="25">
        <v>44111</v>
      </c>
      <c r="K228" s="15" t="s">
        <v>679</v>
      </c>
      <c r="L228" s="14">
        <v>44111</v>
      </c>
      <c r="M228" s="16">
        <v>28.1</v>
      </c>
      <c r="N228" s="16">
        <v>27.7</v>
      </c>
      <c r="O228" s="27" t="s">
        <v>29</v>
      </c>
      <c r="P228" s="32" t="s">
        <v>726</v>
      </c>
      <c r="Q228" s="14">
        <v>44112</v>
      </c>
      <c r="R228" s="28" t="s">
        <v>36</v>
      </c>
      <c r="S228" s="28">
        <v>28.7</v>
      </c>
      <c r="T228" s="21" t="str">
        <f t="shared" si="14"/>
        <v>Não Detectável</v>
      </c>
      <c r="U228" s="25">
        <v>44112</v>
      </c>
      <c r="V228" s="18">
        <f t="shared" si="12"/>
        <v>8</v>
      </c>
      <c r="W228" s="30" t="str">
        <f t="shared" si="11"/>
        <v>Não Detectável</v>
      </c>
    </row>
    <row r="229" spans="1:23" ht="24.75" customHeight="1" x14ac:dyDescent="0.2">
      <c r="A229" s="18">
        <v>228</v>
      </c>
      <c r="B229" s="22" t="s">
        <v>733</v>
      </c>
      <c r="C229" s="23" t="s">
        <v>734</v>
      </c>
      <c r="D229" s="18">
        <v>28</v>
      </c>
      <c r="E229" s="18" t="s">
        <v>34</v>
      </c>
      <c r="F229" s="24" t="s">
        <v>735</v>
      </c>
      <c r="G229" s="25">
        <v>44110</v>
      </c>
      <c r="H229" s="26" t="s">
        <v>60</v>
      </c>
      <c r="I229" s="18">
        <v>37</v>
      </c>
      <c r="J229" s="25">
        <v>44111</v>
      </c>
      <c r="K229" s="15" t="s">
        <v>679</v>
      </c>
      <c r="L229" s="14">
        <v>44111</v>
      </c>
      <c r="M229" s="16">
        <v>28.1</v>
      </c>
      <c r="N229" s="16">
        <v>27.7</v>
      </c>
      <c r="O229" s="27" t="s">
        <v>29</v>
      </c>
      <c r="P229" s="32" t="s">
        <v>726</v>
      </c>
      <c r="Q229" s="14">
        <v>44112</v>
      </c>
      <c r="R229" s="28" t="s">
        <v>36</v>
      </c>
      <c r="S229" s="28">
        <v>28.5</v>
      </c>
      <c r="T229" s="21" t="str">
        <f t="shared" si="14"/>
        <v>Não Detectável</v>
      </c>
      <c r="U229" s="25">
        <v>44112</v>
      </c>
      <c r="V229" s="18">
        <f t="shared" si="12"/>
        <v>8</v>
      </c>
      <c r="W229" s="30" t="str">
        <f t="shared" si="11"/>
        <v>Não Detectável</v>
      </c>
    </row>
    <row r="230" spans="1:23" ht="24.75" customHeight="1" x14ac:dyDescent="0.2">
      <c r="A230" s="18">
        <v>229</v>
      </c>
      <c r="B230" s="22" t="s">
        <v>736</v>
      </c>
      <c r="C230" s="23" t="s">
        <v>737</v>
      </c>
      <c r="D230" s="18">
        <v>31</v>
      </c>
      <c r="E230" s="18" t="s">
        <v>25</v>
      </c>
      <c r="F230" s="24" t="s">
        <v>738</v>
      </c>
      <c r="G230" s="25">
        <v>44110</v>
      </c>
      <c r="H230" s="26" t="s">
        <v>60</v>
      </c>
      <c r="I230" s="18">
        <v>37</v>
      </c>
      <c r="J230" s="25">
        <v>44111</v>
      </c>
      <c r="K230" s="15" t="s">
        <v>679</v>
      </c>
      <c r="L230" s="14">
        <v>44111</v>
      </c>
      <c r="M230" s="16">
        <v>28.1</v>
      </c>
      <c r="N230" s="16">
        <v>27.7</v>
      </c>
      <c r="O230" s="27" t="s">
        <v>29</v>
      </c>
      <c r="P230" s="32" t="s">
        <v>726</v>
      </c>
      <c r="Q230" s="14">
        <v>44112</v>
      </c>
      <c r="R230" s="28">
        <v>26.4</v>
      </c>
      <c r="S230" s="28">
        <v>28.9</v>
      </c>
      <c r="T230" s="21" t="str">
        <f t="shared" si="14"/>
        <v>Detectável</v>
      </c>
      <c r="U230" s="25">
        <v>44112</v>
      </c>
      <c r="V230" s="18">
        <f t="shared" si="12"/>
        <v>8</v>
      </c>
      <c r="W230" s="30" t="str">
        <f t="shared" si="11"/>
        <v>Detectável</v>
      </c>
    </row>
    <row r="231" spans="1:23" ht="24.75" customHeight="1" x14ac:dyDescent="0.2">
      <c r="A231" s="18">
        <v>230</v>
      </c>
      <c r="B231" s="22" t="s">
        <v>739</v>
      </c>
      <c r="C231" s="23" t="s">
        <v>740</v>
      </c>
      <c r="D231" s="18">
        <v>46</v>
      </c>
      <c r="E231" s="18" t="s">
        <v>34</v>
      </c>
      <c r="F231" s="24" t="s">
        <v>741</v>
      </c>
      <c r="G231" s="25">
        <v>44110</v>
      </c>
      <c r="H231" s="26" t="s">
        <v>60</v>
      </c>
      <c r="I231" s="18">
        <v>37</v>
      </c>
      <c r="J231" s="25">
        <v>44111</v>
      </c>
      <c r="K231" s="15" t="s">
        <v>679</v>
      </c>
      <c r="L231" s="14">
        <v>44111</v>
      </c>
      <c r="M231" s="16">
        <v>28.1</v>
      </c>
      <c r="N231" s="16">
        <v>27.7</v>
      </c>
      <c r="O231" s="27" t="s">
        <v>29</v>
      </c>
      <c r="P231" s="32" t="s">
        <v>726</v>
      </c>
      <c r="Q231" s="14">
        <v>44112</v>
      </c>
      <c r="R231" s="28" t="s">
        <v>36</v>
      </c>
      <c r="S231" s="28">
        <v>28.9</v>
      </c>
      <c r="T231" s="21" t="str">
        <f t="shared" si="14"/>
        <v>Não Detectável</v>
      </c>
      <c r="U231" s="25">
        <v>44112</v>
      </c>
      <c r="V231" s="18">
        <f t="shared" si="12"/>
        <v>8</v>
      </c>
      <c r="W231" s="30" t="str">
        <f t="shared" si="11"/>
        <v>Não Detectável</v>
      </c>
    </row>
    <row r="232" spans="1:23" ht="24.75" customHeight="1" x14ac:dyDescent="0.2">
      <c r="A232" s="18">
        <v>231</v>
      </c>
      <c r="B232" s="22" t="s">
        <v>742</v>
      </c>
      <c r="C232" s="23" t="s">
        <v>743</v>
      </c>
      <c r="D232" s="18">
        <v>22</v>
      </c>
      <c r="E232" s="18" t="s">
        <v>34</v>
      </c>
      <c r="F232" s="24" t="s">
        <v>744</v>
      </c>
      <c r="G232" s="25">
        <v>44110</v>
      </c>
      <c r="H232" s="26" t="s">
        <v>60</v>
      </c>
      <c r="I232" s="18">
        <v>37</v>
      </c>
      <c r="J232" s="25">
        <v>44111</v>
      </c>
      <c r="K232" s="15" t="s">
        <v>679</v>
      </c>
      <c r="L232" s="14">
        <v>44111</v>
      </c>
      <c r="M232" s="16">
        <v>28.1</v>
      </c>
      <c r="N232" s="16">
        <v>27.7</v>
      </c>
      <c r="O232" s="27" t="s">
        <v>29</v>
      </c>
      <c r="P232" s="32" t="s">
        <v>726</v>
      </c>
      <c r="Q232" s="14">
        <v>44112</v>
      </c>
      <c r="R232" s="28" t="s">
        <v>36</v>
      </c>
      <c r="S232" s="28">
        <v>29.5</v>
      </c>
      <c r="T232" s="21" t="str">
        <f t="shared" si="14"/>
        <v>Não Detectável</v>
      </c>
      <c r="U232" s="25">
        <v>44112</v>
      </c>
      <c r="V232" s="18">
        <f t="shared" si="12"/>
        <v>8</v>
      </c>
      <c r="W232" s="30" t="str">
        <f t="shared" si="11"/>
        <v>Não Detectável</v>
      </c>
    </row>
    <row r="233" spans="1:23" ht="24.75" customHeight="1" x14ac:dyDescent="0.2">
      <c r="A233" s="18">
        <v>232</v>
      </c>
      <c r="B233" s="22" t="s">
        <v>745</v>
      </c>
      <c r="C233" s="23" t="s">
        <v>746</v>
      </c>
      <c r="D233" s="18">
        <v>45</v>
      </c>
      <c r="E233" s="18" t="s">
        <v>25</v>
      </c>
      <c r="F233" s="24" t="s">
        <v>747</v>
      </c>
      <c r="G233" s="25">
        <v>44110</v>
      </c>
      <c r="H233" s="26" t="s">
        <v>60</v>
      </c>
      <c r="I233" s="18">
        <v>37</v>
      </c>
      <c r="J233" s="25">
        <v>44111</v>
      </c>
      <c r="K233" s="15" t="s">
        <v>679</v>
      </c>
      <c r="L233" s="14">
        <v>44111</v>
      </c>
      <c r="M233" s="16">
        <v>28.1</v>
      </c>
      <c r="N233" s="16">
        <v>27.7</v>
      </c>
      <c r="O233" s="27" t="s">
        <v>29</v>
      </c>
      <c r="P233" s="32" t="s">
        <v>726</v>
      </c>
      <c r="Q233" s="14">
        <v>44112</v>
      </c>
      <c r="R233" s="28" t="s">
        <v>36</v>
      </c>
      <c r="S233" s="28">
        <v>27</v>
      </c>
      <c r="T233" s="21" t="str">
        <f t="shared" si="14"/>
        <v>Não Detectável</v>
      </c>
      <c r="U233" s="25">
        <v>44112</v>
      </c>
      <c r="V233" s="18">
        <f t="shared" si="12"/>
        <v>8</v>
      </c>
      <c r="W233" s="30" t="str">
        <f t="shared" si="11"/>
        <v>Não Detectável</v>
      </c>
    </row>
    <row r="234" spans="1:23" ht="24.75" customHeight="1" x14ac:dyDescent="0.2">
      <c r="A234" s="18">
        <v>233</v>
      </c>
      <c r="B234" s="22" t="s">
        <v>748</v>
      </c>
      <c r="C234" s="23" t="s">
        <v>749</v>
      </c>
      <c r="D234" s="18">
        <v>24</v>
      </c>
      <c r="E234" s="18" t="s">
        <v>34</v>
      </c>
      <c r="F234" s="24" t="s">
        <v>750</v>
      </c>
      <c r="G234" s="25">
        <v>44110</v>
      </c>
      <c r="H234" s="26" t="s">
        <v>60</v>
      </c>
      <c r="I234" s="18">
        <v>38</v>
      </c>
      <c r="J234" s="25">
        <v>44111</v>
      </c>
      <c r="K234" s="32" t="s">
        <v>726</v>
      </c>
      <c r="L234" s="14">
        <v>44112</v>
      </c>
      <c r="M234" s="16" t="s">
        <v>36</v>
      </c>
      <c r="N234" s="16">
        <v>27.3</v>
      </c>
      <c r="O234" s="21" t="s">
        <v>31</v>
      </c>
      <c r="P234" s="32" t="s">
        <v>60</v>
      </c>
      <c r="Q234" s="32" t="s">
        <v>60</v>
      </c>
      <c r="R234" s="32" t="s">
        <v>60</v>
      </c>
      <c r="S234" s="32" t="s">
        <v>60</v>
      </c>
      <c r="T234" s="32" t="s">
        <v>60</v>
      </c>
      <c r="U234" s="25">
        <v>44112</v>
      </c>
      <c r="V234" s="18">
        <f t="shared" si="12"/>
        <v>8</v>
      </c>
      <c r="W234" s="30" t="str">
        <f t="shared" si="11"/>
        <v>Não Detectável</v>
      </c>
    </row>
    <row r="235" spans="1:23" ht="24.75" customHeight="1" x14ac:dyDescent="0.2">
      <c r="A235" s="18">
        <v>234</v>
      </c>
      <c r="B235" s="22" t="s">
        <v>751</v>
      </c>
      <c r="C235" s="23" t="s">
        <v>752</v>
      </c>
      <c r="D235" s="18">
        <v>16</v>
      </c>
      <c r="E235" s="18" t="s">
        <v>25</v>
      </c>
      <c r="F235" s="24" t="s">
        <v>753</v>
      </c>
      <c r="G235" s="25">
        <v>44110</v>
      </c>
      <c r="H235" s="26" t="s">
        <v>60</v>
      </c>
      <c r="I235" s="18">
        <v>38</v>
      </c>
      <c r="J235" s="25">
        <v>44111</v>
      </c>
      <c r="K235" s="32" t="s">
        <v>726</v>
      </c>
      <c r="L235" s="14">
        <v>44112</v>
      </c>
      <c r="M235" s="16" t="s">
        <v>36</v>
      </c>
      <c r="N235" s="16">
        <v>27.3</v>
      </c>
      <c r="O235" s="21" t="s">
        <v>31</v>
      </c>
      <c r="P235" s="32" t="s">
        <v>60</v>
      </c>
      <c r="Q235" s="32" t="s">
        <v>60</v>
      </c>
      <c r="R235" s="32" t="s">
        <v>60</v>
      </c>
      <c r="S235" s="32" t="s">
        <v>60</v>
      </c>
      <c r="T235" s="32" t="s">
        <v>60</v>
      </c>
      <c r="U235" s="25">
        <v>44112</v>
      </c>
      <c r="V235" s="18">
        <f t="shared" si="12"/>
        <v>8</v>
      </c>
      <c r="W235" s="30" t="str">
        <f t="shared" si="11"/>
        <v>Não Detectável</v>
      </c>
    </row>
    <row r="236" spans="1:23" ht="24.75" customHeight="1" x14ac:dyDescent="0.2">
      <c r="A236" s="18">
        <v>235</v>
      </c>
      <c r="B236" s="22" t="s">
        <v>754</v>
      </c>
      <c r="C236" s="23" t="s">
        <v>755</v>
      </c>
      <c r="D236" s="18">
        <v>24</v>
      </c>
      <c r="E236" s="18" t="s">
        <v>34</v>
      </c>
      <c r="F236" s="24" t="s">
        <v>756</v>
      </c>
      <c r="G236" s="25">
        <v>44110</v>
      </c>
      <c r="H236" s="26" t="s">
        <v>60</v>
      </c>
      <c r="I236" s="18">
        <v>38</v>
      </c>
      <c r="J236" s="25">
        <v>44111</v>
      </c>
      <c r="K236" s="32" t="s">
        <v>726</v>
      </c>
      <c r="L236" s="14">
        <v>44112</v>
      </c>
      <c r="M236" s="16" t="s">
        <v>36</v>
      </c>
      <c r="N236" s="16">
        <v>27.3</v>
      </c>
      <c r="O236" s="21" t="s">
        <v>31</v>
      </c>
      <c r="P236" s="32" t="s">
        <v>60</v>
      </c>
      <c r="Q236" s="32" t="s">
        <v>60</v>
      </c>
      <c r="R236" s="32" t="s">
        <v>60</v>
      </c>
      <c r="S236" s="32" t="s">
        <v>60</v>
      </c>
      <c r="T236" s="32" t="s">
        <v>60</v>
      </c>
      <c r="U236" s="25">
        <v>44112</v>
      </c>
      <c r="V236" s="18">
        <f t="shared" si="12"/>
        <v>8</v>
      </c>
      <c r="W236" s="30" t="str">
        <f t="shared" si="11"/>
        <v>Não Detectável</v>
      </c>
    </row>
    <row r="237" spans="1:23" ht="24.75" customHeight="1" x14ac:dyDescent="0.2">
      <c r="A237" s="18">
        <v>236</v>
      </c>
      <c r="B237" s="22" t="s">
        <v>757</v>
      </c>
      <c r="C237" s="23" t="s">
        <v>758</v>
      </c>
      <c r="D237" s="18">
        <v>52</v>
      </c>
      <c r="E237" s="18" t="s">
        <v>25</v>
      </c>
      <c r="F237" s="24" t="s">
        <v>759</v>
      </c>
      <c r="G237" s="25">
        <v>44110</v>
      </c>
      <c r="H237" s="26" t="s">
        <v>60</v>
      </c>
      <c r="I237" s="18">
        <v>38</v>
      </c>
      <c r="J237" s="25">
        <v>44111</v>
      </c>
      <c r="K237" s="32" t="s">
        <v>726</v>
      </c>
      <c r="L237" s="14">
        <v>44112</v>
      </c>
      <c r="M237" s="16" t="s">
        <v>36</v>
      </c>
      <c r="N237" s="16">
        <v>27.3</v>
      </c>
      <c r="O237" s="21" t="s">
        <v>31</v>
      </c>
      <c r="P237" s="32" t="s">
        <v>60</v>
      </c>
      <c r="Q237" s="32" t="s">
        <v>60</v>
      </c>
      <c r="R237" s="32" t="s">
        <v>60</v>
      </c>
      <c r="S237" s="32" t="s">
        <v>60</v>
      </c>
      <c r="T237" s="32" t="s">
        <v>60</v>
      </c>
      <c r="U237" s="25">
        <v>44112</v>
      </c>
      <c r="V237" s="18">
        <f t="shared" si="12"/>
        <v>8</v>
      </c>
      <c r="W237" s="30" t="str">
        <f t="shared" si="11"/>
        <v>Não Detectável</v>
      </c>
    </row>
    <row r="238" spans="1:23" ht="24.75" customHeight="1" x14ac:dyDescent="0.2">
      <c r="A238" s="18">
        <v>237</v>
      </c>
      <c r="B238" s="22" t="s">
        <v>760</v>
      </c>
      <c r="C238" s="23" t="s">
        <v>761</v>
      </c>
      <c r="D238" s="18">
        <v>40</v>
      </c>
      <c r="E238" s="18" t="s">
        <v>34</v>
      </c>
      <c r="F238" s="24" t="s">
        <v>762</v>
      </c>
      <c r="G238" s="25">
        <v>44110</v>
      </c>
      <c r="H238" s="26" t="s">
        <v>60</v>
      </c>
      <c r="I238" s="18">
        <v>38</v>
      </c>
      <c r="J238" s="25">
        <v>44111</v>
      </c>
      <c r="K238" s="32" t="s">
        <v>726</v>
      </c>
      <c r="L238" s="14">
        <v>44112</v>
      </c>
      <c r="M238" s="16" t="s">
        <v>36</v>
      </c>
      <c r="N238" s="16">
        <v>27.3</v>
      </c>
      <c r="O238" s="21" t="s">
        <v>31</v>
      </c>
      <c r="P238" s="32" t="s">
        <v>60</v>
      </c>
      <c r="Q238" s="32" t="s">
        <v>60</v>
      </c>
      <c r="R238" s="32" t="s">
        <v>60</v>
      </c>
      <c r="S238" s="32" t="s">
        <v>60</v>
      </c>
      <c r="T238" s="32" t="s">
        <v>60</v>
      </c>
      <c r="U238" s="25">
        <v>44112</v>
      </c>
      <c r="V238" s="18">
        <f t="shared" si="12"/>
        <v>8</v>
      </c>
      <c r="W238" s="30" t="str">
        <f t="shared" si="11"/>
        <v>Não Detectável</v>
      </c>
    </row>
    <row r="239" spans="1:23" ht="24.75" customHeight="1" x14ac:dyDescent="0.2">
      <c r="A239" s="18">
        <v>238</v>
      </c>
      <c r="B239" s="22" t="s">
        <v>763</v>
      </c>
      <c r="C239" s="23" t="s">
        <v>764</v>
      </c>
      <c r="D239" s="18">
        <v>19</v>
      </c>
      <c r="E239" s="18" t="s">
        <v>25</v>
      </c>
      <c r="F239" s="24" t="s">
        <v>765</v>
      </c>
      <c r="G239" s="25">
        <v>44110</v>
      </c>
      <c r="H239" s="26" t="s">
        <v>60</v>
      </c>
      <c r="I239" s="18">
        <v>38</v>
      </c>
      <c r="J239" s="25">
        <v>44111</v>
      </c>
      <c r="K239" s="32" t="s">
        <v>726</v>
      </c>
      <c r="L239" s="14">
        <v>44112</v>
      </c>
      <c r="M239" s="16" t="s">
        <v>36</v>
      </c>
      <c r="N239" s="16">
        <v>27.3</v>
      </c>
      <c r="O239" s="21" t="s">
        <v>31</v>
      </c>
      <c r="P239" s="32" t="s">
        <v>60</v>
      </c>
      <c r="Q239" s="32" t="s">
        <v>60</v>
      </c>
      <c r="R239" s="32" t="s">
        <v>60</v>
      </c>
      <c r="S239" s="32" t="s">
        <v>60</v>
      </c>
      <c r="T239" s="32" t="s">
        <v>60</v>
      </c>
      <c r="U239" s="25">
        <v>44112</v>
      </c>
      <c r="V239" s="18">
        <f t="shared" si="12"/>
        <v>8</v>
      </c>
      <c r="W239" s="30" t="str">
        <f t="shared" si="11"/>
        <v>Não Detectável</v>
      </c>
    </row>
    <row r="240" spans="1:23" ht="24.75" customHeight="1" x14ac:dyDescent="0.2">
      <c r="A240" s="18">
        <v>239</v>
      </c>
      <c r="B240" s="22" t="s">
        <v>766</v>
      </c>
      <c r="C240" s="23" t="s">
        <v>767</v>
      </c>
      <c r="D240" s="18">
        <v>33</v>
      </c>
      <c r="E240" s="18" t="s">
        <v>25</v>
      </c>
      <c r="F240" s="24" t="s">
        <v>768</v>
      </c>
      <c r="G240" s="25">
        <v>44110</v>
      </c>
      <c r="H240" s="26" t="s">
        <v>60</v>
      </c>
      <c r="I240" s="18">
        <v>38</v>
      </c>
      <c r="J240" s="25">
        <v>44111</v>
      </c>
      <c r="K240" s="32" t="s">
        <v>726</v>
      </c>
      <c r="L240" s="14">
        <v>44112</v>
      </c>
      <c r="M240" s="16" t="s">
        <v>36</v>
      </c>
      <c r="N240" s="16">
        <v>27.3</v>
      </c>
      <c r="O240" s="21" t="s">
        <v>31</v>
      </c>
      <c r="P240" s="32" t="s">
        <v>60</v>
      </c>
      <c r="Q240" s="32" t="s">
        <v>60</v>
      </c>
      <c r="R240" s="32" t="s">
        <v>60</v>
      </c>
      <c r="S240" s="32" t="s">
        <v>60</v>
      </c>
      <c r="T240" s="32" t="s">
        <v>60</v>
      </c>
      <c r="U240" s="25">
        <v>44112</v>
      </c>
      <c r="V240" s="18">
        <f t="shared" si="12"/>
        <v>8</v>
      </c>
      <c r="W240" s="30" t="str">
        <f t="shared" si="11"/>
        <v>Não Detectável</v>
      </c>
    </row>
    <row r="241" spans="1:23" ht="24.75" customHeight="1" x14ac:dyDescent="0.2">
      <c r="A241" s="18">
        <v>240</v>
      </c>
      <c r="B241" s="22" t="s">
        <v>769</v>
      </c>
      <c r="C241" s="23" t="s">
        <v>770</v>
      </c>
      <c r="D241" s="18">
        <v>28</v>
      </c>
      <c r="E241" s="18" t="s">
        <v>34</v>
      </c>
      <c r="F241" s="24" t="s">
        <v>771</v>
      </c>
      <c r="G241" s="25">
        <v>44111</v>
      </c>
      <c r="H241" s="26" t="s">
        <v>60</v>
      </c>
      <c r="I241" s="18">
        <v>38</v>
      </c>
      <c r="J241" s="25">
        <v>44112</v>
      </c>
      <c r="K241" s="32" t="s">
        <v>726</v>
      </c>
      <c r="L241" s="14">
        <v>44112</v>
      </c>
      <c r="M241" s="16" t="s">
        <v>36</v>
      </c>
      <c r="N241" s="16">
        <v>27.3</v>
      </c>
      <c r="O241" s="21" t="s">
        <v>31</v>
      </c>
      <c r="P241" s="32" t="s">
        <v>60</v>
      </c>
      <c r="Q241" s="32" t="s">
        <v>60</v>
      </c>
      <c r="R241" s="32" t="s">
        <v>60</v>
      </c>
      <c r="S241" s="32" t="s">
        <v>60</v>
      </c>
      <c r="T241" s="32" t="s">
        <v>60</v>
      </c>
      <c r="U241" s="25">
        <v>44112</v>
      </c>
      <c r="V241" s="18">
        <f t="shared" si="12"/>
        <v>8</v>
      </c>
      <c r="W241" s="30" t="str">
        <f t="shared" si="11"/>
        <v>Não Detectável</v>
      </c>
    </row>
    <row r="242" spans="1:23" ht="24.75" customHeight="1" x14ac:dyDescent="0.2">
      <c r="A242" s="18">
        <v>241</v>
      </c>
      <c r="B242" s="22" t="s">
        <v>772</v>
      </c>
      <c r="C242" s="23" t="s">
        <v>773</v>
      </c>
      <c r="D242" s="18">
        <v>30</v>
      </c>
      <c r="E242" s="18" t="s">
        <v>25</v>
      </c>
      <c r="F242" s="24" t="s">
        <v>774</v>
      </c>
      <c r="G242" s="25">
        <v>44111</v>
      </c>
      <c r="H242" s="26" t="s">
        <v>60</v>
      </c>
      <c r="I242" s="18">
        <v>39</v>
      </c>
      <c r="J242" s="25">
        <v>44112</v>
      </c>
      <c r="K242" s="32" t="s">
        <v>775</v>
      </c>
      <c r="L242" s="14">
        <v>44113</v>
      </c>
      <c r="M242" s="16" t="s">
        <v>36</v>
      </c>
      <c r="N242" s="16">
        <v>28.3</v>
      </c>
      <c r="O242" s="21" t="s">
        <v>31</v>
      </c>
      <c r="P242" s="33" t="s">
        <v>60</v>
      </c>
      <c r="Q242" s="33" t="s">
        <v>60</v>
      </c>
      <c r="R242" s="33" t="s">
        <v>60</v>
      </c>
      <c r="S242" s="33" t="s">
        <v>60</v>
      </c>
      <c r="T242" s="33" t="s">
        <v>60</v>
      </c>
      <c r="U242" s="25">
        <v>44113</v>
      </c>
      <c r="V242" s="18">
        <f t="shared" si="12"/>
        <v>8</v>
      </c>
      <c r="W242" s="30" t="str">
        <f t="shared" si="11"/>
        <v>Não Detectável</v>
      </c>
    </row>
    <row r="243" spans="1:23" ht="24.75" customHeight="1" x14ac:dyDescent="0.2">
      <c r="A243" s="18">
        <v>242</v>
      </c>
      <c r="B243" s="22" t="s">
        <v>776</v>
      </c>
      <c r="C243" s="23" t="s">
        <v>777</v>
      </c>
      <c r="D243" s="18">
        <v>26</v>
      </c>
      <c r="E243" s="18" t="s">
        <v>25</v>
      </c>
      <c r="F243" s="24" t="s">
        <v>778</v>
      </c>
      <c r="G243" s="25">
        <v>44111</v>
      </c>
      <c r="H243" s="26" t="s">
        <v>60</v>
      </c>
      <c r="I243" s="18">
        <v>39</v>
      </c>
      <c r="J243" s="25">
        <v>44112</v>
      </c>
      <c r="K243" s="32" t="s">
        <v>775</v>
      </c>
      <c r="L243" s="14">
        <v>44113</v>
      </c>
      <c r="M243" s="16" t="s">
        <v>36</v>
      </c>
      <c r="N243" s="16">
        <v>28.3</v>
      </c>
      <c r="O243" s="21" t="s">
        <v>31</v>
      </c>
      <c r="P243" s="33" t="s">
        <v>60</v>
      </c>
      <c r="Q243" s="33" t="s">
        <v>60</v>
      </c>
      <c r="R243" s="33" t="s">
        <v>60</v>
      </c>
      <c r="S243" s="33" t="s">
        <v>60</v>
      </c>
      <c r="T243" s="33" t="s">
        <v>60</v>
      </c>
      <c r="U243" s="25">
        <v>44113</v>
      </c>
      <c r="V243" s="18">
        <f t="shared" si="12"/>
        <v>8</v>
      </c>
      <c r="W243" s="30" t="str">
        <f t="shared" si="11"/>
        <v>Não Detectável</v>
      </c>
    </row>
    <row r="244" spans="1:23" ht="24.75" customHeight="1" x14ac:dyDescent="0.2">
      <c r="A244" s="18">
        <v>243</v>
      </c>
      <c r="B244" s="22" t="s">
        <v>779</v>
      </c>
      <c r="C244" s="23" t="s">
        <v>780</v>
      </c>
      <c r="D244" s="18">
        <v>22</v>
      </c>
      <c r="E244" s="18" t="s">
        <v>25</v>
      </c>
      <c r="F244" s="24" t="s">
        <v>781</v>
      </c>
      <c r="G244" s="25">
        <v>44111</v>
      </c>
      <c r="H244" s="26" t="s">
        <v>60</v>
      </c>
      <c r="I244" s="18">
        <v>39</v>
      </c>
      <c r="J244" s="25">
        <v>44112</v>
      </c>
      <c r="K244" s="32" t="s">
        <v>775</v>
      </c>
      <c r="L244" s="14">
        <v>44113</v>
      </c>
      <c r="M244" s="16" t="s">
        <v>36</v>
      </c>
      <c r="N244" s="16">
        <v>28.3</v>
      </c>
      <c r="O244" s="21" t="s">
        <v>31</v>
      </c>
      <c r="P244" s="33" t="s">
        <v>60</v>
      </c>
      <c r="Q244" s="33" t="s">
        <v>60</v>
      </c>
      <c r="R244" s="33" t="s">
        <v>60</v>
      </c>
      <c r="S244" s="33" t="s">
        <v>60</v>
      </c>
      <c r="T244" s="33" t="s">
        <v>60</v>
      </c>
      <c r="U244" s="25">
        <v>44113</v>
      </c>
      <c r="V244" s="18">
        <f t="shared" si="12"/>
        <v>8</v>
      </c>
      <c r="W244" s="30" t="str">
        <f t="shared" si="11"/>
        <v>Não Detectável</v>
      </c>
    </row>
    <row r="245" spans="1:23" ht="24.75" customHeight="1" x14ac:dyDescent="0.2">
      <c r="A245" s="18">
        <v>244</v>
      </c>
      <c r="B245" s="22" t="s">
        <v>782</v>
      </c>
      <c r="C245" s="23" t="s">
        <v>783</v>
      </c>
      <c r="D245" s="18">
        <v>25</v>
      </c>
      <c r="E245" s="18" t="s">
        <v>34</v>
      </c>
      <c r="F245" s="24" t="s">
        <v>784</v>
      </c>
      <c r="G245" s="25">
        <v>44111</v>
      </c>
      <c r="H245" s="26" t="s">
        <v>60</v>
      </c>
      <c r="I245" s="18">
        <v>39</v>
      </c>
      <c r="J245" s="25">
        <v>44112</v>
      </c>
      <c r="K245" s="32" t="s">
        <v>775</v>
      </c>
      <c r="L245" s="14">
        <v>44113</v>
      </c>
      <c r="M245" s="16" t="s">
        <v>36</v>
      </c>
      <c r="N245" s="16">
        <v>28.3</v>
      </c>
      <c r="O245" s="21" t="s">
        <v>31</v>
      </c>
      <c r="P245" s="33" t="s">
        <v>60</v>
      </c>
      <c r="Q245" s="33" t="s">
        <v>60</v>
      </c>
      <c r="R245" s="33" t="s">
        <v>60</v>
      </c>
      <c r="S245" s="33" t="s">
        <v>60</v>
      </c>
      <c r="T245" s="33" t="s">
        <v>60</v>
      </c>
      <c r="U245" s="25">
        <v>44113</v>
      </c>
      <c r="V245" s="18">
        <f t="shared" si="12"/>
        <v>8</v>
      </c>
      <c r="W245" s="30" t="str">
        <f t="shared" si="11"/>
        <v>Não Detectável</v>
      </c>
    </row>
    <row r="246" spans="1:23" ht="24.75" customHeight="1" x14ac:dyDescent="0.2">
      <c r="A246" s="18">
        <v>245</v>
      </c>
      <c r="B246" s="22" t="s">
        <v>785</v>
      </c>
      <c r="C246" s="23" t="s">
        <v>786</v>
      </c>
      <c r="D246" s="18">
        <v>49</v>
      </c>
      <c r="E246" s="18" t="s">
        <v>34</v>
      </c>
      <c r="F246" s="24" t="s">
        <v>787</v>
      </c>
      <c r="G246" s="25">
        <v>44111</v>
      </c>
      <c r="H246" s="26" t="s">
        <v>60</v>
      </c>
      <c r="I246" s="18">
        <v>39</v>
      </c>
      <c r="J246" s="25">
        <v>44112</v>
      </c>
      <c r="K246" s="32" t="s">
        <v>775</v>
      </c>
      <c r="L246" s="14">
        <v>44113</v>
      </c>
      <c r="M246" s="16" t="s">
        <v>36</v>
      </c>
      <c r="N246" s="16">
        <v>28.3</v>
      </c>
      <c r="O246" s="21" t="s">
        <v>31</v>
      </c>
      <c r="P246" s="33" t="s">
        <v>60</v>
      </c>
      <c r="Q246" s="33" t="s">
        <v>60</v>
      </c>
      <c r="R246" s="33" t="s">
        <v>60</v>
      </c>
      <c r="S246" s="33" t="s">
        <v>60</v>
      </c>
      <c r="T246" s="33" t="s">
        <v>60</v>
      </c>
      <c r="U246" s="25">
        <v>44113</v>
      </c>
      <c r="V246" s="18">
        <f t="shared" si="12"/>
        <v>8</v>
      </c>
      <c r="W246" s="30" t="str">
        <f t="shared" si="11"/>
        <v>Não Detectável</v>
      </c>
    </row>
    <row r="247" spans="1:23" ht="24.75" customHeight="1" x14ac:dyDescent="0.2">
      <c r="A247" s="18">
        <v>246</v>
      </c>
      <c r="B247" s="22" t="s">
        <v>788</v>
      </c>
      <c r="C247" s="23" t="s">
        <v>789</v>
      </c>
      <c r="D247" s="18">
        <v>45</v>
      </c>
      <c r="E247" s="18" t="s">
        <v>34</v>
      </c>
      <c r="F247" s="24" t="s">
        <v>790</v>
      </c>
      <c r="G247" s="25">
        <v>44112</v>
      </c>
      <c r="H247" s="26" t="s">
        <v>60</v>
      </c>
      <c r="I247" s="18">
        <v>39</v>
      </c>
      <c r="J247" s="25">
        <v>44113</v>
      </c>
      <c r="K247" s="32" t="s">
        <v>775</v>
      </c>
      <c r="L247" s="14">
        <v>44113</v>
      </c>
      <c r="M247" s="16" t="s">
        <v>36</v>
      </c>
      <c r="N247" s="16">
        <v>28.3</v>
      </c>
      <c r="O247" s="21" t="s">
        <v>31</v>
      </c>
      <c r="P247" s="33" t="s">
        <v>60</v>
      </c>
      <c r="Q247" s="33" t="s">
        <v>60</v>
      </c>
      <c r="R247" s="33" t="s">
        <v>60</v>
      </c>
      <c r="S247" s="33" t="s">
        <v>60</v>
      </c>
      <c r="T247" s="33" t="s">
        <v>60</v>
      </c>
      <c r="U247" s="25">
        <v>44113</v>
      </c>
      <c r="V247" s="18">
        <f t="shared" si="12"/>
        <v>8</v>
      </c>
      <c r="W247" s="30" t="str">
        <f t="shared" si="11"/>
        <v>Não Detectável</v>
      </c>
    </row>
    <row r="248" spans="1:23" ht="24.75" customHeight="1" x14ac:dyDescent="0.2">
      <c r="A248" s="18">
        <v>247</v>
      </c>
      <c r="B248" s="22" t="s">
        <v>791</v>
      </c>
      <c r="C248" s="23" t="s">
        <v>792</v>
      </c>
      <c r="D248" s="18">
        <v>32</v>
      </c>
      <c r="E248" s="18" t="s">
        <v>25</v>
      </c>
      <c r="F248" s="24" t="s">
        <v>793</v>
      </c>
      <c r="G248" s="25">
        <v>44112</v>
      </c>
      <c r="H248" s="26" t="s">
        <v>60</v>
      </c>
      <c r="I248" s="18">
        <v>39</v>
      </c>
      <c r="J248" s="25">
        <v>44113</v>
      </c>
      <c r="K248" s="32" t="s">
        <v>775</v>
      </c>
      <c r="L248" s="14">
        <v>44113</v>
      </c>
      <c r="M248" s="16" t="s">
        <v>36</v>
      </c>
      <c r="N248" s="16">
        <v>28.3</v>
      </c>
      <c r="O248" s="21" t="s">
        <v>31</v>
      </c>
      <c r="P248" s="33" t="s">
        <v>60</v>
      </c>
      <c r="Q248" s="33" t="s">
        <v>60</v>
      </c>
      <c r="R248" s="33" t="s">
        <v>60</v>
      </c>
      <c r="S248" s="33" t="s">
        <v>60</v>
      </c>
      <c r="T248" s="33" t="s">
        <v>60</v>
      </c>
      <c r="U248" s="25">
        <v>44113</v>
      </c>
      <c r="V248" s="18">
        <f t="shared" si="12"/>
        <v>8</v>
      </c>
      <c r="W248" s="30" t="str">
        <f t="shared" si="11"/>
        <v>Não Detectável</v>
      </c>
    </row>
    <row r="249" spans="1:23" ht="24.75" customHeight="1" x14ac:dyDescent="0.2">
      <c r="A249" s="18">
        <v>248</v>
      </c>
      <c r="B249" s="22" t="s">
        <v>794</v>
      </c>
      <c r="C249" s="23" t="s">
        <v>795</v>
      </c>
      <c r="D249" s="18">
        <v>81</v>
      </c>
      <c r="E249" s="18" t="s">
        <v>34</v>
      </c>
      <c r="F249" s="24" t="s">
        <v>796</v>
      </c>
      <c r="G249" s="25">
        <v>44112</v>
      </c>
      <c r="H249" s="26" t="s">
        <v>60</v>
      </c>
      <c r="I249" s="18">
        <v>39</v>
      </c>
      <c r="J249" s="25">
        <v>44113</v>
      </c>
      <c r="K249" s="32" t="s">
        <v>775</v>
      </c>
      <c r="L249" s="14">
        <v>44113</v>
      </c>
      <c r="M249" s="16" t="s">
        <v>36</v>
      </c>
      <c r="N249" s="16">
        <v>28.3</v>
      </c>
      <c r="O249" s="21" t="s">
        <v>31</v>
      </c>
      <c r="P249" s="33" t="s">
        <v>60</v>
      </c>
      <c r="Q249" s="33" t="s">
        <v>60</v>
      </c>
      <c r="R249" s="33" t="s">
        <v>60</v>
      </c>
      <c r="S249" s="33" t="s">
        <v>60</v>
      </c>
      <c r="T249" s="33" t="s">
        <v>60</v>
      </c>
      <c r="U249" s="25">
        <v>44113</v>
      </c>
      <c r="V249" s="18">
        <f t="shared" si="12"/>
        <v>8</v>
      </c>
      <c r="W249" s="30" t="str">
        <f t="shared" si="11"/>
        <v>Não Detectável</v>
      </c>
    </row>
    <row r="250" spans="1:23" ht="24.75" customHeight="1" x14ac:dyDescent="0.2">
      <c r="A250" s="18">
        <v>249</v>
      </c>
      <c r="B250" s="22" t="s">
        <v>797</v>
      </c>
      <c r="C250" s="23" t="s">
        <v>798</v>
      </c>
      <c r="D250" s="18">
        <v>56</v>
      </c>
      <c r="E250" s="18" t="s">
        <v>25</v>
      </c>
      <c r="F250" s="24" t="s">
        <v>799</v>
      </c>
      <c r="G250" s="25">
        <v>44112</v>
      </c>
      <c r="H250" s="26" t="s">
        <v>60</v>
      </c>
      <c r="I250" s="18">
        <v>40</v>
      </c>
      <c r="J250" s="25">
        <v>44113</v>
      </c>
      <c r="K250" s="32" t="s">
        <v>800</v>
      </c>
      <c r="L250" s="14">
        <v>44117</v>
      </c>
      <c r="M250" s="16">
        <v>24</v>
      </c>
      <c r="N250" s="16">
        <v>29.2</v>
      </c>
      <c r="O250" s="27" t="s">
        <v>29</v>
      </c>
      <c r="P250" s="33" t="s">
        <v>801</v>
      </c>
      <c r="Q250" s="34">
        <v>44118</v>
      </c>
      <c r="R250" s="33">
        <v>20.100000000000001</v>
      </c>
      <c r="S250" s="33">
        <v>29.2</v>
      </c>
      <c r="T250" s="21" t="str">
        <f>IF(R250="","",IF(R250&gt;37,IF(S250="Ind.","Inconclusivo","Não Detectável"),"Detectável"))</f>
        <v>Detectável</v>
      </c>
      <c r="U250" s="25">
        <v>44118</v>
      </c>
      <c r="V250" s="18">
        <f t="shared" si="12"/>
        <v>4</v>
      </c>
      <c r="W250" s="30" t="str">
        <f t="shared" si="11"/>
        <v>Detectável</v>
      </c>
    </row>
    <row r="251" spans="1:23" ht="24.75" customHeight="1" x14ac:dyDescent="0.2">
      <c r="A251" s="18">
        <v>250</v>
      </c>
      <c r="B251" s="22" t="s">
        <v>802</v>
      </c>
      <c r="C251" s="23" t="s">
        <v>803</v>
      </c>
      <c r="D251" s="18">
        <v>50</v>
      </c>
      <c r="E251" s="18" t="s">
        <v>25</v>
      </c>
      <c r="F251" s="24" t="s">
        <v>804</v>
      </c>
      <c r="G251" s="25">
        <v>44112</v>
      </c>
      <c r="H251" s="26" t="s">
        <v>60</v>
      </c>
      <c r="I251" s="18">
        <v>40</v>
      </c>
      <c r="J251" s="25">
        <v>44113</v>
      </c>
      <c r="K251" s="32" t="s">
        <v>800</v>
      </c>
      <c r="L251" s="14">
        <v>44117</v>
      </c>
      <c r="M251" s="16">
        <v>24</v>
      </c>
      <c r="N251" s="16">
        <v>29.2</v>
      </c>
      <c r="O251" s="27" t="s">
        <v>29</v>
      </c>
      <c r="P251" s="33" t="s">
        <v>801</v>
      </c>
      <c r="Q251" s="34">
        <v>44118</v>
      </c>
      <c r="R251" s="33" t="s">
        <v>36</v>
      </c>
      <c r="S251" s="33">
        <v>28.7</v>
      </c>
      <c r="T251" s="21" t="str">
        <f>IF(R251="","",IF(R251&gt;37,IF(S251="Ind.","Inconclusivo","Não Detectável"),"Detectável"))</f>
        <v>Não Detectável</v>
      </c>
      <c r="U251" s="25">
        <v>44118</v>
      </c>
      <c r="V251" s="18">
        <f t="shared" si="12"/>
        <v>4</v>
      </c>
      <c r="W251" s="30" t="str">
        <f t="shared" si="11"/>
        <v>Não Detectável</v>
      </c>
    </row>
    <row r="252" spans="1:23" ht="24.75" customHeight="1" x14ac:dyDescent="0.2">
      <c r="A252" s="18">
        <v>251</v>
      </c>
      <c r="B252" s="22" t="s">
        <v>805</v>
      </c>
      <c r="C252" s="23" t="s">
        <v>806</v>
      </c>
      <c r="D252" s="18">
        <v>39</v>
      </c>
      <c r="E252" s="18" t="s">
        <v>34</v>
      </c>
      <c r="F252" s="24" t="s">
        <v>807</v>
      </c>
      <c r="G252" s="25">
        <v>44112</v>
      </c>
      <c r="H252" s="26" t="s">
        <v>60</v>
      </c>
      <c r="I252" s="18">
        <v>40</v>
      </c>
      <c r="J252" s="25">
        <v>44113</v>
      </c>
      <c r="K252" s="32" t="s">
        <v>800</v>
      </c>
      <c r="L252" s="14">
        <v>44117</v>
      </c>
      <c r="M252" s="16">
        <v>24</v>
      </c>
      <c r="N252" s="16">
        <v>29.2</v>
      </c>
      <c r="O252" s="27" t="s">
        <v>29</v>
      </c>
      <c r="P252" s="33" t="s">
        <v>801</v>
      </c>
      <c r="Q252" s="34">
        <v>44118</v>
      </c>
      <c r="R252" s="33">
        <v>32</v>
      </c>
      <c r="S252" s="33">
        <v>29.7</v>
      </c>
      <c r="T252" s="21" t="str">
        <f>IF(R252="","",IF(R252&gt;37,IF(S252="Ind.","Inconclusivo","Não Detectável"),"Detectável"))</f>
        <v>Detectável</v>
      </c>
      <c r="U252" s="25">
        <v>44118</v>
      </c>
      <c r="V252" s="18">
        <f t="shared" si="12"/>
        <v>4</v>
      </c>
      <c r="W252" s="30" t="str">
        <f t="shared" si="11"/>
        <v>Detectável</v>
      </c>
    </row>
    <row r="253" spans="1:23" ht="24.75" customHeight="1" x14ac:dyDescent="0.2">
      <c r="A253" s="18">
        <v>252</v>
      </c>
      <c r="B253" s="22" t="s">
        <v>808</v>
      </c>
      <c r="C253" s="23" t="s">
        <v>809</v>
      </c>
      <c r="D253" s="18">
        <v>32</v>
      </c>
      <c r="E253" s="18" t="s">
        <v>34</v>
      </c>
      <c r="F253" s="24" t="s">
        <v>810</v>
      </c>
      <c r="G253" s="25">
        <v>44112</v>
      </c>
      <c r="H253" s="26" t="s">
        <v>60</v>
      </c>
      <c r="I253" s="18">
        <v>40</v>
      </c>
      <c r="J253" s="25">
        <v>44113</v>
      </c>
      <c r="K253" s="32" t="s">
        <v>800</v>
      </c>
      <c r="L253" s="14">
        <v>44117</v>
      </c>
      <c r="M253" s="16">
        <v>24</v>
      </c>
      <c r="N253" s="16">
        <v>29.2</v>
      </c>
      <c r="O253" s="27" t="s">
        <v>29</v>
      </c>
      <c r="P253" s="33" t="s">
        <v>801</v>
      </c>
      <c r="Q253" s="34">
        <v>44118</v>
      </c>
      <c r="R253" s="33" t="s">
        <v>36</v>
      </c>
      <c r="S253" s="33">
        <v>29</v>
      </c>
      <c r="T253" s="21" t="str">
        <f>IF(R253="","",IF(R253&gt;37,IF(S253="Ind.","Inconclusivo","Não Detectável"),"Detectável"))</f>
        <v>Não Detectável</v>
      </c>
      <c r="U253" s="25">
        <v>44118</v>
      </c>
      <c r="V253" s="18">
        <f t="shared" si="12"/>
        <v>4</v>
      </c>
      <c r="W253" s="30" t="str">
        <f t="shared" si="11"/>
        <v>Não Detectável</v>
      </c>
    </row>
    <row r="254" spans="1:23" ht="24.75" customHeight="1" x14ac:dyDescent="0.2">
      <c r="A254" s="18">
        <v>253</v>
      </c>
      <c r="B254" s="22" t="s">
        <v>811</v>
      </c>
      <c r="C254" s="23" t="s">
        <v>812</v>
      </c>
      <c r="D254" s="18">
        <v>47</v>
      </c>
      <c r="E254" s="18" t="s">
        <v>25</v>
      </c>
      <c r="F254" s="24" t="s">
        <v>813</v>
      </c>
      <c r="G254" s="25">
        <v>44113</v>
      </c>
      <c r="H254" s="26" t="s">
        <v>60</v>
      </c>
      <c r="I254" s="18">
        <v>41</v>
      </c>
      <c r="J254" s="25">
        <v>44117</v>
      </c>
      <c r="K254" s="32" t="s">
        <v>800</v>
      </c>
      <c r="L254" s="14">
        <v>44117</v>
      </c>
      <c r="M254" s="16" t="s">
        <v>36</v>
      </c>
      <c r="N254" s="16">
        <v>28.9</v>
      </c>
      <c r="O254" s="21" t="s">
        <v>31</v>
      </c>
      <c r="P254" s="33" t="s">
        <v>60</v>
      </c>
      <c r="Q254" s="33" t="s">
        <v>60</v>
      </c>
      <c r="R254" s="33" t="s">
        <v>60</v>
      </c>
      <c r="S254" s="33" t="s">
        <v>60</v>
      </c>
      <c r="T254" s="33" t="s">
        <v>60</v>
      </c>
      <c r="U254" s="25">
        <v>44117</v>
      </c>
      <c r="V254" s="18">
        <f t="shared" si="12"/>
        <v>4</v>
      </c>
      <c r="W254" s="30" t="str">
        <f t="shared" si="11"/>
        <v>Não Detectável</v>
      </c>
    </row>
    <row r="255" spans="1:23" ht="24.75" customHeight="1" x14ac:dyDescent="0.2">
      <c r="A255" s="18">
        <v>254</v>
      </c>
      <c r="B255" s="22" t="s">
        <v>814</v>
      </c>
      <c r="C255" s="23" t="s">
        <v>815</v>
      </c>
      <c r="D255" s="18">
        <v>26</v>
      </c>
      <c r="E255" s="18" t="s">
        <v>34</v>
      </c>
      <c r="F255" s="24" t="s">
        <v>816</v>
      </c>
      <c r="G255" s="25">
        <v>44113</v>
      </c>
      <c r="H255" s="26" t="s">
        <v>60</v>
      </c>
      <c r="I255" s="18">
        <v>41</v>
      </c>
      <c r="J255" s="25">
        <v>44117</v>
      </c>
      <c r="K255" s="32" t="s">
        <v>800</v>
      </c>
      <c r="L255" s="14">
        <v>44117</v>
      </c>
      <c r="M255" s="16" t="s">
        <v>36</v>
      </c>
      <c r="N255" s="16">
        <v>28.9</v>
      </c>
      <c r="O255" s="21" t="s">
        <v>31</v>
      </c>
      <c r="P255" s="33" t="s">
        <v>60</v>
      </c>
      <c r="Q255" s="33" t="s">
        <v>60</v>
      </c>
      <c r="R255" s="33" t="s">
        <v>60</v>
      </c>
      <c r="S255" s="33" t="s">
        <v>60</v>
      </c>
      <c r="T255" s="33" t="s">
        <v>60</v>
      </c>
      <c r="U255" s="25">
        <v>44117</v>
      </c>
      <c r="V255" s="18">
        <f t="shared" si="12"/>
        <v>4</v>
      </c>
      <c r="W255" s="30" t="str">
        <f t="shared" si="11"/>
        <v>Não Detectável</v>
      </c>
    </row>
    <row r="256" spans="1:23" ht="24.75" customHeight="1" x14ac:dyDescent="0.2">
      <c r="A256" s="18">
        <v>255</v>
      </c>
      <c r="B256" s="22" t="s">
        <v>817</v>
      </c>
      <c r="C256" s="23" t="s">
        <v>818</v>
      </c>
      <c r="D256" s="18">
        <v>40</v>
      </c>
      <c r="E256" s="18" t="s">
        <v>25</v>
      </c>
      <c r="F256" s="24" t="s">
        <v>819</v>
      </c>
      <c r="G256" s="25">
        <v>44113</v>
      </c>
      <c r="H256" s="26" t="s">
        <v>60</v>
      </c>
      <c r="I256" s="18">
        <v>41</v>
      </c>
      <c r="J256" s="25">
        <v>44117</v>
      </c>
      <c r="K256" s="32" t="s">
        <v>800</v>
      </c>
      <c r="L256" s="14">
        <v>44117</v>
      </c>
      <c r="M256" s="16" t="s">
        <v>36</v>
      </c>
      <c r="N256" s="16">
        <v>28.9</v>
      </c>
      <c r="O256" s="21" t="s">
        <v>31</v>
      </c>
      <c r="P256" s="33" t="s">
        <v>60</v>
      </c>
      <c r="Q256" s="33" t="s">
        <v>60</v>
      </c>
      <c r="R256" s="33" t="s">
        <v>60</v>
      </c>
      <c r="S256" s="33" t="s">
        <v>60</v>
      </c>
      <c r="T256" s="33" t="s">
        <v>60</v>
      </c>
      <c r="U256" s="25">
        <v>44117</v>
      </c>
      <c r="V256" s="18">
        <f t="shared" si="12"/>
        <v>4</v>
      </c>
      <c r="W256" s="30" t="str">
        <f t="shared" si="11"/>
        <v>Não Detectável</v>
      </c>
    </row>
    <row r="257" spans="1:23" ht="24.75" customHeight="1" x14ac:dyDescent="0.2">
      <c r="A257" s="18">
        <v>256</v>
      </c>
      <c r="B257" s="22" t="s">
        <v>820</v>
      </c>
      <c r="C257" s="23" t="s">
        <v>821</v>
      </c>
      <c r="D257" s="18">
        <v>22</v>
      </c>
      <c r="E257" s="18" t="s">
        <v>34</v>
      </c>
      <c r="F257" s="24" t="s">
        <v>822</v>
      </c>
      <c r="G257" s="25">
        <v>44113</v>
      </c>
      <c r="H257" s="26" t="s">
        <v>60</v>
      </c>
      <c r="I257" s="18">
        <v>41</v>
      </c>
      <c r="J257" s="25">
        <v>44117</v>
      </c>
      <c r="K257" s="32" t="s">
        <v>800</v>
      </c>
      <c r="L257" s="14">
        <v>44117</v>
      </c>
      <c r="M257" s="16" t="s">
        <v>36</v>
      </c>
      <c r="N257" s="16">
        <v>28.9</v>
      </c>
      <c r="O257" s="21" t="s">
        <v>31</v>
      </c>
      <c r="P257" s="33" t="s">
        <v>60</v>
      </c>
      <c r="Q257" s="33" t="s">
        <v>60</v>
      </c>
      <c r="R257" s="33" t="s">
        <v>60</v>
      </c>
      <c r="S257" s="33" t="s">
        <v>60</v>
      </c>
      <c r="T257" s="33" t="s">
        <v>60</v>
      </c>
      <c r="U257" s="25">
        <v>44117</v>
      </c>
      <c r="V257" s="18">
        <f t="shared" si="12"/>
        <v>4</v>
      </c>
      <c r="W257" s="30" t="str">
        <f t="shared" si="11"/>
        <v>Não Detectável</v>
      </c>
    </row>
    <row r="258" spans="1:23" ht="24.75" customHeight="1" x14ac:dyDescent="0.2">
      <c r="A258" s="18">
        <v>257</v>
      </c>
      <c r="B258" s="22" t="s">
        <v>823</v>
      </c>
      <c r="C258" s="23" t="s">
        <v>824</v>
      </c>
      <c r="D258" s="18">
        <v>25</v>
      </c>
      <c r="E258" s="18" t="s">
        <v>25</v>
      </c>
      <c r="F258" s="24" t="s">
        <v>825</v>
      </c>
      <c r="G258" s="25">
        <v>44113</v>
      </c>
      <c r="H258" s="26" t="s">
        <v>60</v>
      </c>
      <c r="I258" s="18">
        <v>42</v>
      </c>
      <c r="J258" s="25">
        <v>44117</v>
      </c>
      <c r="K258" s="32" t="s">
        <v>800</v>
      </c>
      <c r="L258" s="14">
        <v>44117</v>
      </c>
      <c r="M258" s="16" t="s">
        <v>36</v>
      </c>
      <c r="N258" s="16">
        <v>28.6</v>
      </c>
      <c r="O258" s="21" t="s">
        <v>31</v>
      </c>
      <c r="P258" s="33" t="s">
        <v>60</v>
      </c>
      <c r="Q258" s="33" t="s">
        <v>60</v>
      </c>
      <c r="R258" s="33" t="s">
        <v>60</v>
      </c>
      <c r="S258" s="33" t="s">
        <v>60</v>
      </c>
      <c r="T258" s="33" t="s">
        <v>60</v>
      </c>
      <c r="U258" s="25">
        <v>44117</v>
      </c>
      <c r="V258" s="18">
        <f t="shared" si="12"/>
        <v>4</v>
      </c>
      <c r="W258" s="30" t="str">
        <f t="shared" ref="W258:W271" si="15">IF(O258="Não Detectável","Não Detectável",IF(T258="","",T258))</f>
        <v>Não Detectável</v>
      </c>
    </row>
    <row r="259" spans="1:23" ht="24.75" customHeight="1" x14ac:dyDescent="0.2">
      <c r="A259" s="18">
        <v>258</v>
      </c>
      <c r="B259" s="22" t="s">
        <v>826</v>
      </c>
      <c r="C259" s="23" t="s">
        <v>827</v>
      </c>
      <c r="D259" s="18">
        <v>25</v>
      </c>
      <c r="E259" s="18" t="s">
        <v>25</v>
      </c>
      <c r="F259" s="24" t="s">
        <v>828</v>
      </c>
      <c r="G259" s="25">
        <v>44113</v>
      </c>
      <c r="H259" s="26" t="s">
        <v>60</v>
      </c>
      <c r="I259" s="18">
        <v>42</v>
      </c>
      <c r="J259" s="25">
        <v>44117</v>
      </c>
      <c r="K259" s="32" t="s">
        <v>800</v>
      </c>
      <c r="L259" s="14">
        <v>44117</v>
      </c>
      <c r="M259" s="16" t="s">
        <v>36</v>
      </c>
      <c r="N259" s="16">
        <v>28.6</v>
      </c>
      <c r="O259" s="21" t="s">
        <v>31</v>
      </c>
      <c r="P259" s="33" t="s">
        <v>60</v>
      </c>
      <c r="Q259" s="33" t="s">
        <v>60</v>
      </c>
      <c r="R259" s="33" t="s">
        <v>60</v>
      </c>
      <c r="S259" s="33" t="s">
        <v>60</v>
      </c>
      <c r="T259" s="33" t="s">
        <v>60</v>
      </c>
      <c r="U259" s="25">
        <v>44117</v>
      </c>
      <c r="V259" s="18">
        <f t="shared" si="12"/>
        <v>4</v>
      </c>
      <c r="W259" s="30" t="str">
        <f t="shared" si="15"/>
        <v>Não Detectável</v>
      </c>
    </row>
    <row r="260" spans="1:23" ht="24.75" customHeight="1" x14ac:dyDescent="0.2">
      <c r="A260" s="18">
        <v>259</v>
      </c>
      <c r="B260" s="22" t="s">
        <v>829</v>
      </c>
      <c r="C260" s="23" t="s">
        <v>830</v>
      </c>
      <c r="D260" s="18">
        <v>34</v>
      </c>
      <c r="E260" s="18" t="s">
        <v>25</v>
      </c>
      <c r="F260" s="24" t="s">
        <v>831</v>
      </c>
      <c r="G260" s="25">
        <v>44113</v>
      </c>
      <c r="H260" s="26" t="s">
        <v>60</v>
      </c>
      <c r="I260" s="18">
        <v>42</v>
      </c>
      <c r="J260" s="25">
        <v>44117</v>
      </c>
      <c r="K260" s="32" t="s">
        <v>800</v>
      </c>
      <c r="L260" s="14">
        <v>44117</v>
      </c>
      <c r="M260" s="16" t="s">
        <v>36</v>
      </c>
      <c r="N260" s="16">
        <v>28.6</v>
      </c>
      <c r="O260" s="21" t="s">
        <v>31</v>
      </c>
      <c r="P260" s="33" t="s">
        <v>60</v>
      </c>
      <c r="Q260" s="33" t="s">
        <v>60</v>
      </c>
      <c r="R260" s="33" t="s">
        <v>60</v>
      </c>
      <c r="S260" s="33" t="s">
        <v>60</v>
      </c>
      <c r="T260" s="33" t="s">
        <v>60</v>
      </c>
      <c r="U260" s="25">
        <v>44117</v>
      </c>
      <c r="V260" s="18">
        <f t="shared" si="12"/>
        <v>4</v>
      </c>
      <c r="W260" s="30" t="str">
        <f t="shared" si="15"/>
        <v>Não Detectável</v>
      </c>
    </row>
    <row r="261" spans="1:23" ht="24.75" customHeight="1" x14ac:dyDescent="0.2">
      <c r="A261" s="18">
        <v>260</v>
      </c>
      <c r="B261" s="22" t="s">
        <v>832</v>
      </c>
      <c r="C261" s="23" t="s">
        <v>833</v>
      </c>
      <c r="D261" s="18">
        <v>31</v>
      </c>
      <c r="E261" s="18" t="s">
        <v>34</v>
      </c>
      <c r="F261" s="24" t="s">
        <v>58</v>
      </c>
      <c r="G261" s="25">
        <v>44113</v>
      </c>
      <c r="H261" s="26" t="s">
        <v>60</v>
      </c>
      <c r="I261" s="18">
        <v>42</v>
      </c>
      <c r="J261" s="25">
        <v>44117</v>
      </c>
      <c r="K261" s="32" t="s">
        <v>800</v>
      </c>
      <c r="L261" s="14">
        <v>44117</v>
      </c>
      <c r="M261" s="16" t="s">
        <v>36</v>
      </c>
      <c r="N261" s="16">
        <v>28.6</v>
      </c>
      <c r="O261" s="21" t="s">
        <v>31</v>
      </c>
      <c r="P261" s="33" t="s">
        <v>60</v>
      </c>
      <c r="Q261" s="33" t="s">
        <v>60</v>
      </c>
      <c r="R261" s="33" t="s">
        <v>60</v>
      </c>
      <c r="S261" s="33" t="s">
        <v>60</v>
      </c>
      <c r="T261" s="33" t="s">
        <v>60</v>
      </c>
      <c r="U261" s="25">
        <v>44117</v>
      </c>
      <c r="V261" s="18">
        <f t="shared" si="12"/>
        <v>4</v>
      </c>
      <c r="W261" s="30" t="str">
        <f t="shared" si="15"/>
        <v>Não Detectável</v>
      </c>
    </row>
    <row r="262" spans="1:23" ht="24.75" customHeight="1" x14ac:dyDescent="0.2">
      <c r="A262" s="18">
        <v>261</v>
      </c>
      <c r="B262" s="22" t="s">
        <v>834</v>
      </c>
      <c r="C262" s="23" t="s">
        <v>835</v>
      </c>
      <c r="D262" s="18">
        <v>37</v>
      </c>
      <c r="E262" s="18" t="s">
        <v>34</v>
      </c>
      <c r="F262" s="24" t="s">
        <v>836</v>
      </c>
      <c r="G262" s="25">
        <v>44113</v>
      </c>
      <c r="H262" s="26" t="s">
        <v>60</v>
      </c>
      <c r="I262" s="18">
        <v>43</v>
      </c>
      <c r="J262" s="25">
        <v>44117</v>
      </c>
      <c r="K262" s="32" t="s">
        <v>800</v>
      </c>
      <c r="L262" s="14">
        <v>44117</v>
      </c>
      <c r="M262" s="16">
        <v>22.1</v>
      </c>
      <c r="N262" s="16">
        <v>28.3</v>
      </c>
      <c r="O262" s="27" t="s">
        <v>29</v>
      </c>
      <c r="P262" s="33" t="s">
        <v>801</v>
      </c>
      <c r="Q262" s="34">
        <v>44118</v>
      </c>
      <c r="R262" s="33">
        <v>18</v>
      </c>
      <c r="S262" s="33">
        <v>27.9</v>
      </c>
      <c r="T262" s="21" t="str">
        <f t="shared" ref="T262:T271" si="16">IF(R262="","",IF(R262&gt;37,IF(S262="Ind.","Inconclusivo","Não Detectável"),"Detectável"))</f>
        <v>Detectável</v>
      </c>
      <c r="U262" s="25">
        <v>44118</v>
      </c>
      <c r="V262" s="18">
        <f t="shared" si="12"/>
        <v>4</v>
      </c>
      <c r="W262" s="30" t="str">
        <f t="shared" si="15"/>
        <v>Detectável</v>
      </c>
    </row>
    <row r="263" spans="1:23" ht="24.75" customHeight="1" x14ac:dyDescent="0.2">
      <c r="A263" s="18">
        <v>262</v>
      </c>
      <c r="B263" s="22" t="s">
        <v>837</v>
      </c>
      <c r="C263" s="23" t="s">
        <v>838</v>
      </c>
      <c r="D263" s="18">
        <v>36</v>
      </c>
      <c r="E263" s="18" t="s">
        <v>25</v>
      </c>
      <c r="F263" s="24" t="s">
        <v>839</v>
      </c>
      <c r="G263" s="25">
        <v>44113</v>
      </c>
      <c r="H263" s="26" t="s">
        <v>60</v>
      </c>
      <c r="I263" s="18">
        <v>43</v>
      </c>
      <c r="J263" s="25">
        <v>44117</v>
      </c>
      <c r="K263" s="32" t="s">
        <v>800</v>
      </c>
      <c r="L263" s="14">
        <v>44117</v>
      </c>
      <c r="M263" s="16">
        <v>22.1</v>
      </c>
      <c r="N263" s="16">
        <v>28.3</v>
      </c>
      <c r="O263" s="27" t="s">
        <v>29</v>
      </c>
      <c r="P263" s="33" t="s">
        <v>801</v>
      </c>
      <c r="Q263" s="34">
        <v>44118</v>
      </c>
      <c r="R263" s="33" t="s">
        <v>36</v>
      </c>
      <c r="S263" s="33">
        <v>26.5</v>
      </c>
      <c r="T263" s="21" t="str">
        <f t="shared" si="16"/>
        <v>Não Detectável</v>
      </c>
      <c r="U263" s="25">
        <v>44118</v>
      </c>
      <c r="V263" s="18">
        <f t="shared" si="12"/>
        <v>4</v>
      </c>
      <c r="W263" s="30" t="str">
        <f t="shared" si="15"/>
        <v>Não Detectável</v>
      </c>
    </row>
    <row r="264" spans="1:23" ht="24.75" customHeight="1" x14ac:dyDescent="0.2">
      <c r="A264" s="18">
        <v>263</v>
      </c>
      <c r="B264" s="22" t="s">
        <v>840</v>
      </c>
      <c r="C264" s="23" t="s">
        <v>841</v>
      </c>
      <c r="D264" s="18">
        <v>41</v>
      </c>
      <c r="E264" s="18" t="s">
        <v>34</v>
      </c>
      <c r="F264" s="24" t="s">
        <v>842</v>
      </c>
      <c r="G264" s="25">
        <v>44113</v>
      </c>
      <c r="H264" s="26" t="s">
        <v>60</v>
      </c>
      <c r="I264" s="18">
        <v>43</v>
      </c>
      <c r="J264" s="25">
        <v>44117</v>
      </c>
      <c r="K264" s="32" t="s">
        <v>800</v>
      </c>
      <c r="L264" s="14">
        <v>44117</v>
      </c>
      <c r="M264" s="16">
        <v>22.1</v>
      </c>
      <c r="N264" s="16">
        <v>28.3</v>
      </c>
      <c r="O264" s="27" t="s">
        <v>29</v>
      </c>
      <c r="P264" s="33" t="s">
        <v>801</v>
      </c>
      <c r="Q264" s="34">
        <v>44118</v>
      </c>
      <c r="R264" s="33" t="s">
        <v>36</v>
      </c>
      <c r="S264" s="33">
        <v>28.9</v>
      </c>
      <c r="T264" s="21" t="str">
        <f t="shared" si="16"/>
        <v>Não Detectável</v>
      </c>
      <c r="U264" s="25">
        <v>44118</v>
      </c>
      <c r="V264" s="18">
        <f t="shared" ref="V264:V269" si="17">COUNTIF(I:I,I264)</f>
        <v>4</v>
      </c>
      <c r="W264" s="30" t="str">
        <f t="shared" si="15"/>
        <v>Não Detectável</v>
      </c>
    </row>
    <row r="265" spans="1:23" ht="24.75" customHeight="1" x14ac:dyDescent="0.2">
      <c r="A265" s="18">
        <v>264</v>
      </c>
      <c r="B265" s="22" t="s">
        <v>843</v>
      </c>
      <c r="C265" s="23" t="s">
        <v>844</v>
      </c>
      <c r="D265" s="18">
        <v>26</v>
      </c>
      <c r="E265" s="18" t="s">
        <v>25</v>
      </c>
      <c r="F265" s="24" t="s">
        <v>845</v>
      </c>
      <c r="G265" s="25">
        <v>44113</v>
      </c>
      <c r="H265" s="26" t="s">
        <v>60</v>
      </c>
      <c r="I265" s="18">
        <v>43</v>
      </c>
      <c r="J265" s="25">
        <v>44117</v>
      </c>
      <c r="K265" s="32" t="s">
        <v>800</v>
      </c>
      <c r="L265" s="14">
        <v>44117</v>
      </c>
      <c r="M265" s="16">
        <v>22.1</v>
      </c>
      <c r="N265" s="16">
        <v>28.3</v>
      </c>
      <c r="O265" s="27" t="s">
        <v>29</v>
      </c>
      <c r="P265" s="33" t="s">
        <v>801</v>
      </c>
      <c r="Q265" s="34">
        <v>44118</v>
      </c>
      <c r="R265" s="33" t="s">
        <v>36</v>
      </c>
      <c r="S265" s="33">
        <v>29.7</v>
      </c>
      <c r="T265" s="21" t="str">
        <f t="shared" si="16"/>
        <v>Não Detectável</v>
      </c>
      <c r="U265" s="25">
        <v>44118</v>
      </c>
      <c r="V265" s="18">
        <f t="shared" si="17"/>
        <v>4</v>
      </c>
      <c r="W265" s="30" t="str">
        <f t="shared" si="15"/>
        <v>Não Detectável</v>
      </c>
    </row>
    <row r="266" spans="1:23" ht="24.75" customHeight="1" x14ac:dyDescent="0.2">
      <c r="A266" s="18">
        <v>265</v>
      </c>
      <c r="B266" s="22" t="s">
        <v>846</v>
      </c>
      <c r="C266" s="23" t="s">
        <v>847</v>
      </c>
      <c r="D266" s="18">
        <v>34</v>
      </c>
      <c r="E266" s="18" t="s">
        <v>34</v>
      </c>
      <c r="F266" s="24" t="s">
        <v>848</v>
      </c>
      <c r="G266" s="25">
        <v>44113</v>
      </c>
      <c r="H266" s="26" t="s">
        <v>60</v>
      </c>
      <c r="I266" s="18">
        <v>44</v>
      </c>
      <c r="J266" s="25">
        <v>44117</v>
      </c>
      <c r="K266" s="32" t="s">
        <v>800</v>
      </c>
      <c r="L266" s="14">
        <v>44117</v>
      </c>
      <c r="M266" s="16">
        <v>22</v>
      </c>
      <c r="N266" s="16">
        <v>27.9</v>
      </c>
      <c r="O266" s="27" t="s">
        <v>29</v>
      </c>
      <c r="P266" s="33" t="s">
        <v>801</v>
      </c>
      <c r="Q266" s="34">
        <v>44118</v>
      </c>
      <c r="R266" s="33">
        <v>18.5</v>
      </c>
      <c r="S266" s="33">
        <v>25.4</v>
      </c>
      <c r="T266" s="21" t="str">
        <f t="shared" si="16"/>
        <v>Detectável</v>
      </c>
      <c r="U266" s="25">
        <v>44118</v>
      </c>
      <c r="V266" s="18">
        <f t="shared" si="17"/>
        <v>4</v>
      </c>
      <c r="W266" s="30" t="str">
        <f t="shared" si="15"/>
        <v>Detectável</v>
      </c>
    </row>
    <row r="267" spans="1:23" ht="24.75" customHeight="1" x14ac:dyDescent="0.2">
      <c r="A267" s="18">
        <v>266</v>
      </c>
      <c r="B267" s="22" t="s">
        <v>849</v>
      </c>
      <c r="C267" s="23" t="s">
        <v>850</v>
      </c>
      <c r="D267" s="18">
        <v>42</v>
      </c>
      <c r="E267" s="18" t="s">
        <v>25</v>
      </c>
      <c r="F267" s="24" t="s">
        <v>851</v>
      </c>
      <c r="G267" s="25">
        <v>44113</v>
      </c>
      <c r="H267" s="26" t="s">
        <v>60</v>
      </c>
      <c r="I267" s="18">
        <v>44</v>
      </c>
      <c r="J267" s="25">
        <v>44117</v>
      </c>
      <c r="K267" s="32" t="s">
        <v>800</v>
      </c>
      <c r="L267" s="14">
        <v>44117</v>
      </c>
      <c r="M267" s="16">
        <v>22</v>
      </c>
      <c r="N267" s="16">
        <v>27.9</v>
      </c>
      <c r="O267" s="27" t="s">
        <v>29</v>
      </c>
      <c r="P267" s="33" t="s">
        <v>801</v>
      </c>
      <c r="Q267" s="34">
        <v>44118</v>
      </c>
      <c r="R267" s="33" t="s">
        <v>36</v>
      </c>
      <c r="S267" s="33">
        <v>27</v>
      </c>
      <c r="T267" s="21" t="str">
        <f t="shared" si="16"/>
        <v>Não Detectável</v>
      </c>
      <c r="U267" s="25">
        <v>44118</v>
      </c>
      <c r="V267" s="18">
        <f t="shared" si="17"/>
        <v>4</v>
      </c>
      <c r="W267" s="30" t="str">
        <f t="shared" si="15"/>
        <v>Não Detectável</v>
      </c>
    </row>
    <row r="268" spans="1:23" ht="24.75" customHeight="1" x14ac:dyDescent="0.2">
      <c r="A268" s="18">
        <v>267</v>
      </c>
      <c r="B268" s="22" t="s">
        <v>852</v>
      </c>
      <c r="C268" s="23" t="s">
        <v>853</v>
      </c>
      <c r="D268" s="18">
        <v>70</v>
      </c>
      <c r="E268" s="18" t="s">
        <v>34</v>
      </c>
      <c r="F268" s="24" t="s">
        <v>854</v>
      </c>
      <c r="G268" s="25">
        <v>44113</v>
      </c>
      <c r="H268" s="26" t="s">
        <v>60</v>
      </c>
      <c r="I268" s="18">
        <v>44</v>
      </c>
      <c r="J268" s="25">
        <v>44117</v>
      </c>
      <c r="K268" s="32" t="s">
        <v>800</v>
      </c>
      <c r="L268" s="14">
        <v>44117</v>
      </c>
      <c r="M268" s="16">
        <v>22</v>
      </c>
      <c r="N268" s="16">
        <v>27.9</v>
      </c>
      <c r="O268" s="27" t="s">
        <v>29</v>
      </c>
      <c r="P268" s="33" t="s">
        <v>801</v>
      </c>
      <c r="Q268" s="34">
        <v>44118</v>
      </c>
      <c r="R268" s="33" t="s">
        <v>36</v>
      </c>
      <c r="S268" s="33">
        <v>30</v>
      </c>
      <c r="T268" s="21" t="str">
        <f t="shared" si="16"/>
        <v>Não Detectável</v>
      </c>
      <c r="U268" s="25">
        <v>44118</v>
      </c>
      <c r="V268" s="18">
        <f t="shared" si="17"/>
        <v>4</v>
      </c>
      <c r="W268" s="30" t="str">
        <f t="shared" si="15"/>
        <v>Não Detectável</v>
      </c>
    </row>
    <row r="269" spans="1:23" ht="24.75" customHeight="1" x14ac:dyDescent="0.2">
      <c r="A269" s="18">
        <v>268</v>
      </c>
      <c r="B269" s="22" t="s">
        <v>855</v>
      </c>
      <c r="C269" s="23" t="s">
        <v>856</v>
      </c>
      <c r="D269" s="18">
        <v>31</v>
      </c>
      <c r="E269" s="18" t="s">
        <v>34</v>
      </c>
      <c r="F269" s="24" t="s">
        <v>58</v>
      </c>
      <c r="G269" s="25">
        <v>44113</v>
      </c>
      <c r="H269" s="26" t="s">
        <v>60</v>
      </c>
      <c r="I269" s="18">
        <v>44</v>
      </c>
      <c r="J269" s="25">
        <v>44117</v>
      </c>
      <c r="K269" s="32" t="s">
        <v>800</v>
      </c>
      <c r="L269" s="14">
        <v>44117</v>
      </c>
      <c r="M269" s="16">
        <v>22</v>
      </c>
      <c r="N269" s="16">
        <v>27.9</v>
      </c>
      <c r="O269" s="27" t="s">
        <v>29</v>
      </c>
      <c r="P269" s="33" t="s">
        <v>801</v>
      </c>
      <c r="Q269" s="34">
        <v>44118</v>
      </c>
      <c r="R269" s="33" t="s">
        <v>36</v>
      </c>
      <c r="S269" s="33">
        <v>29.9</v>
      </c>
      <c r="T269" s="21" t="str">
        <f t="shared" si="16"/>
        <v>Não Detectável</v>
      </c>
      <c r="U269" s="25">
        <v>44118</v>
      </c>
      <c r="V269" s="18">
        <f t="shared" si="17"/>
        <v>4</v>
      </c>
      <c r="W269" s="30" t="str">
        <f t="shared" si="15"/>
        <v>Não Detectável</v>
      </c>
    </row>
    <row r="270" spans="1:23" ht="24.75" customHeight="1" x14ac:dyDescent="0.2">
      <c r="A270" s="18">
        <v>269</v>
      </c>
      <c r="B270" s="22" t="s">
        <v>857</v>
      </c>
      <c r="C270" s="23" t="s">
        <v>858</v>
      </c>
      <c r="D270" s="18">
        <v>24</v>
      </c>
      <c r="E270" s="18" t="s">
        <v>34</v>
      </c>
      <c r="F270" s="24" t="s">
        <v>859</v>
      </c>
      <c r="G270" s="25">
        <v>44113</v>
      </c>
      <c r="H270" s="26" t="s">
        <v>60</v>
      </c>
      <c r="I270" s="18">
        <v>45</v>
      </c>
      <c r="J270" s="25">
        <v>44117</v>
      </c>
      <c r="K270" s="32" t="s">
        <v>860</v>
      </c>
      <c r="L270" s="14">
        <v>44118</v>
      </c>
      <c r="M270" s="16">
        <v>29</v>
      </c>
      <c r="N270" s="16">
        <v>27.9</v>
      </c>
      <c r="O270" s="34" t="s">
        <v>29</v>
      </c>
      <c r="P270" s="33" t="s">
        <v>861</v>
      </c>
      <c r="Q270" s="34">
        <v>44119</v>
      </c>
      <c r="R270" s="33" t="s">
        <v>36</v>
      </c>
      <c r="S270" s="33">
        <v>26.6</v>
      </c>
      <c r="T270" s="21" t="str">
        <f t="shared" si="16"/>
        <v>Não Detectável</v>
      </c>
      <c r="U270" s="25">
        <v>44119</v>
      </c>
      <c r="V270" s="18">
        <v>4</v>
      </c>
      <c r="W270" s="30" t="str">
        <f t="shared" si="15"/>
        <v>Não Detectável</v>
      </c>
    </row>
    <row r="271" spans="1:23" ht="24.75" customHeight="1" x14ac:dyDescent="0.2">
      <c r="A271" s="18">
        <v>270</v>
      </c>
      <c r="B271" s="22" t="s">
        <v>862</v>
      </c>
      <c r="C271" s="23" t="s">
        <v>863</v>
      </c>
      <c r="D271" s="18">
        <v>59</v>
      </c>
      <c r="E271" s="18" t="s">
        <v>25</v>
      </c>
      <c r="F271" s="24" t="s">
        <v>864</v>
      </c>
      <c r="G271" s="25">
        <v>44113</v>
      </c>
      <c r="H271" s="26" t="s">
        <v>60</v>
      </c>
      <c r="I271" s="18">
        <v>45</v>
      </c>
      <c r="J271" s="25">
        <v>44117</v>
      </c>
      <c r="K271" s="32" t="s">
        <v>860</v>
      </c>
      <c r="L271" s="14">
        <v>44118</v>
      </c>
      <c r="M271" s="16">
        <v>29</v>
      </c>
      <c r="N271" s="16">
        <v>27.9</v>
      </c>
      <c r="O271" s="34" t="s">
        <v>29</v>
      </c>
      <c r="P271" s="33" t="s">
        <v>861</v>
      </c>
      <c r="Q271" s="34">
        <v>44119</v>
      </c>
      <c r="R271" s="33" t="s">
        <v>36</v>
      </c>
      <c r="S271" s="35">
        <v>27.890999999999998</v>
      </c>
      <c r="T271" s="21" t="str">
        <f t="shared" si="16"/>
        <v>Não Detectável</v>
      </c>
      <c r="U271" s="25">
        <v>44119</v>
      </c>
      <c r="V271" s="18">
        <v>4</v>
      </c>
      <c r="W271" s="30" t="str">
        <f t="shared" si="15"/>
        <v>Não Detectável</v>
      </c>
    </row>
    <row r="272" spans="1:23" ht="15.75" customHeight="1" x14ac:dyDescent="0.25">
      <c r="J272" s="36"/>
      <c r="M272" s="37"/>
      <c r="N272" s="37"/>
      <c r="R272" s="37"/>
      <c r="S272" s="37"/>
      <c r="T272" s="38"/>
      <c r="V272" s="18"/>
    </row>
    <row r="273" spans="10:22" ht="15.75" customHeight="1" x14ac:dyDescent="0.25">
      <c r="J273" s="36"/>
      <c r="M273" s="37"/>
      <c r="N273" s="37"/>
      <c r="R273" s="37"/>
      <c r="S273" s="37"/>
      <c r="T273" s="38"/>
      <c r="V273" s="18"/>
    </row>
    <row r="274" spans="10:22" ht="15.75" customHeight="1" x14ac:dyDescent="0.25">
      <c r="J274" s="36"/>
      <c r="M274" s="37"/>
      <c r="N274" s="37"/>
      <c r="R274" s="37"/>
      <c r="S274" s="37"/>
      <c r="T274" s="38"/>
      <c r="V274" s="18"/>
    </row>
    <row r="275" spans="10:22" ht="15.75" customHeight="1" x14ac:dyDescent="0.25">
      <c r="J275" s="36"/>
      <c r="M275" s="37"/>
      <c r="N275" s="37"/>
      <c r="R275" s="37"/>
      <c r="S275" s="37"/>
      <c r="T275" s="38"/>
      <c r="V275" s="18"/>
    </row>
    <row r="276" spans="10:22" ht="15.75" customHeight="1" x14ac:dyDescent="0.25">
      <c r="J276" s="36"/>
      <c r="M276" s="37"/>
      <c r="N276" s="37"/>
      <c r="R276" s="37"/>
      <c r="S276" s="37"/>
      <c r="T276" s="38"/>
      <c r="V276" s="18"/>
    </row>
    <row r="277" spans="10:22" ht="15.75" customHeight="1" x14ac:dyDescent="0.25">
      <c r="J277" s="36"/>
      <c r="M277" s="37"/>
      <c r="N277" s="37"/>
      <c r="R277" s="37"/>
      <c r="S277" s="37"/>
      <c r="T277" s="38"/>
      <c r="V277" s="18"/>
    </row>
    <row r="278" spans="10:22" ht="15.75" customHeight="1" x14ac:dyDescent="0.25">
      <c r="J278" s="36"/>
      <c r="M278" s="37"/>
      <c r="N278" s="37"/>
      <c r="R278" s="37"/>
      <c r="S278" s="37"/>
      <c r="T278" s="38"/>
      <c r="V278" s="18"/>
    </row>
    <row r="279" spans="10:22" ht="15.75" customHeight="1" x14ac:dyDescent="0.25">
      <c r="J279" s="36"/>
      <c r="M279" s="37"/>
      <c r="N279" s="37"/>
      <c r="R279" s="37"/>
      <c r="S279" s="37"/>
      <c r="T279" s="38"/>
      <c r="V279" s="18"/>
    </row>
    <row r="280" spans="10:22" ht="15.75" customHeight="1" x14ac:dyDescent="0.25">
      <c r="J280" s="36"/>
      <c r="M280" s="37"/>
      <c r="N280" s="37"/>
      <c r="R280" s="37"/>
      <c r="S280" s="37"/>
      <c r="T280" s="38"/>
      <c r="V280" s="18"/>
    </row>
    <row r="281" spans="10:22" ht="15.75" customHeight="1" x14ac:dyDescent="0.25">
      <c r="J281" s="36"/>
      <c r="M281" s="37"/>
      <c r="N281" s="37"/>
      <c r="R281" s="37"/>
      <c r="S281" s="37"/>
      <c r="T281" s="38"/>
      <c r="V281" s="18"/>
    </row>
    <row r="282" spans="10:22" ht="15.75" customHeight="1" x14ac:dyDescent="0.25">
      <c r="J282" s="36"/>
      <c r="M282" s="37"/>
      <c r="N282" s="37"/>
      <c r="R282" s="37"/>
      <c r="S282" s="37"/>
      <c r="T282" s="38"/>
      <c r="V282" s="18"/>
    </row>
    <row r="283" spans="10:22" ht="15.75" customHeight="1" x14ac:dyDescent="0.25">
      <c r="J283" s="36"/>
      <c r="M283" s="37"/>
      <c r="N283" s="37"/>
      <c r="R283" s="37"/>
      <c r="S283" s="37"/>
      <c r="T283" s="38"/>
      <c r="V283" s="18"/>
    </row>
    <row r="284" spans="10:22" ht="15.75" customHeight="1" x14ac:dyDescent="0.25">
      <c r="J284" s="36"/>
      <c r="M284" s="37"/>
      <c r="N284" s="37"/>
      <c r="R284" s="37"/>
      <c r="S284" s="37"/>
      <c r="T284" s="38"/>
      <c r="V284" s="18"/>
    </row>
    <row r="285" spans="10:22" ht="15.75" customHeight="1" x14ac:dyDescent="0.25">
      <c r="J285" s="36"/>
      <c r="M285" s="37"/>
      <c r="N285" s="37"/>
      <c r="R285" s="37"/>
      <c r="S285" s="37"/>
      <c r="T285" s="38"/>
      <c r="V285" s="18"/>
    </row>
    <row r="286" spans="10:22" ht="15.75" customHeight="1" x14ac:dyDescent="0.25">
      <c r="J286" s="36"/>
      <c r="M286" s="37"/>
      <c r="N286" s="37"/>
      <c r="R286" s="37"/>
      <c r="S286" s="37"/>
      <c r="T286" s="38"/>
      <c r="V286" s="18"/>
    </row>
    <row r="287" spans="10:22" ht="15.75" customHeight="1" x14ac:dyDescent="0.25">
      <c r="J287" s="36"/>
      <c r="M287" s="37"/>
      <c r="N287" s="37"/>
      <c r="R287" s="37"/>
      <c r="S287" s="37"/>
      <c r="T287" s="38"/>
      <c r="V287" s="18"/>
    </row>
    <row r="288" spans="10:22" ht="15.75" customHeight="1" x14ac:dyDescent="0.25">
      <c r="J288" s="36"/>
      <c r="M288" s="37"/>
      <c r="N288" s="37"/>
      <c r="R288" s="37"/>
      <c r="S288" s="37"/>
      <c r="T288" s="38"/>
      <c r="V288" s="18"/>
    </row>
    <row r="289" spans="10:22" ht="15.75" customHeight="1" x14ac:dyDescent="0.25">
      <c r="J289" s="36"/>
      <c r="M289" s="37"/>
      <c r="N289" s="37"/>
      <c r="R289" s="37"/>
      <c r="S289" s="37"/>
      <c r="T289" s="38"/>
      <c r="V289" s="18"/>
    </row>
    <row r="290" spans="10:22" ht="15.75" customHeight="1" x14ac:dyDescent="0.25">
      <c r="J290" s="36"/>
      <c r="M290" s="37"/>
      <c r="N290" s="37"/>
      <c r="R290" s="37"/>
      <c r="S290" s="37"/>
      <c r="T290" s="38"/>
      <c r="V290" s="18"/>
    </row>
    <row r="291" spans="10:22" ht="15.75" customHeight="1" x14ac:dyDescent="0.25">
      <c r="J291" s="36"/>
      <c r="M291" s="37"/>
      <c r="N291" s="37"/>
      <c r="R291" s="37"/>
      <c r="S291" s="37"/>
      <c r="T291" s="38"/>
      <c r="V291" s="18"/>
    </row>
    <row r="292" spans="10:22" ht="15.75" customHeight="1" x14ac:dyDescent="0.25">
      <c r="J292" s="36"/>
      <c r="M292" s="37"/>
      <c r="N292" s="37"/>
      <c r="R292" s="37"/>
      <c r="S292" s="37"/>
      <c r="T292" s="38"/>
      <c r="V292" s="18"/>
    </row>
    <row r="293" spans="10:22" ht="15.75" customHeight="1" x14ac:dyDescent="0.25">
      <c r="J293" s="36"/>
      <c r="M293" s="37"/>
      <c r="N293" s="37"/>
      <c r="R293" s="37"/>
      <c r="S293" s="37"/>
      <c r="T293" s="38"/>
      <c r="V293" s="18"/>
    </row>
    <row r="294" spans="10:22" ht="15.75" customHeight="1" x14ac:dyDescent="0.25">
      <c r="J294" s="36"/>
      <c r="M294" s="37"/>
      <c r="N294" s="37"/>
      <c r="R294" s="37"/>
      <c r="S294" s="37"/>
      <c r="T294" s="38"/>
      <c r="V294" s="18"/>
    </row>
    <row r="295" spans="10:22" ht="15.75" customHeight="1" x14ac:dyDescent="0.25">
      <c r="J295" s="36"/>
      <c r="M295" s="37"/>
      <c r="N295" s="37"/>
      <c r="R295" s="37"/>
      <c r="S295" s="37"/>
      <c r="T295" s="38"/>
      <c r="V295" s="18"/>
    </row>
    <row r="296" spans="10:22" ht="15.75" customHeight="1" x14ac:dyDescent="0.25">
      <c r="J296" s="36"/>
      <c r="M296" s="37"/>
      <c r="N296" s="37"/>
      <c r="R296" s="37"/>
      <c r="S296" s="37"/>
      <c r="T296" s="38"/>
      <c r="V296" s="18"/>
    </row>
    <row r="297" spans="10:22" ht="15.75" customHeight="1" x14ac:dyDescent="0.25">
      <c r="J297" s="36"/>
      <c r="M297" s="37"/>
      <c r="N297" s="37"/>
      <c r="R297" s="37"/>
      <c r="S297" s="37"/>
      <c r="T297" s="38"/>
      <c r="V297" s="18"/>
    </row>
    <row r="298" spans="10:22" ht="15.75" customHeight="1" x14ac:dyDescent="0.25">
      <c r="J298" s="36"/>
      <c r="M298" s="37"/>
      <c r="N298" s="37"/>
      <c r="R298" s="37"/>
      <c r="S298" s="37"/>
      <c r="T298" s="38"/>
      <c r="V298" s="18"/>
    </row>
    <row r="299" spans="10:22" ht="15.75" customHeight="1" x14ac:dyDescent="0.25">
      <c r="J299" s="36"/>
      <c r="M299" s="37"/>
      <c r="N299" s="37"/>
      <c r="R299" s="37"/>
      <c r="S299" s="37"/>
      <c r="T299" s="38"/>
      <c r="V299" s="18"/>
    </row>
    <row r="300" spans="10:22" ht="15.75" customHeight="1" x14ac:dyDescent="0.25">
      <c r="J300" s="36"/>
      <c r="M300" s="37"/>
      <c r="N300" s="37"/>
      <c r="R300" s="37"/>
      <c r="S300" s="37"/>
      <c r="T300" s="38"/>
      <c r="V300" s="18"/>
    </row>
    <row r="301" spans="10:22" ht="15.75" customHeight="1" x14ac:dyDescent="0.25">
      <c r="J301" s="36"/>
      <c r="M301" s="37"/>
      <c r="N301" s="37"/>
      <c r="R301" s="37"/>
      <c r="S301" s="37"/>
      <c r="T301" s="38"/>
      <c r="V301" s="18"/>
    </row>
    <row r="302" spans="10:22" ht="15.75" customHeight="1" x14ac:dyDescent="0.25">
      <c r="J302" s="36"/>
      <c r="M302" s="37"/>
      <c r="N302" s="37"/>
      <c r="R302" s="37"/>
      <c r="S302" s="37"/>
      <c r="T302" s="38"/>
      <c r="V302" s="18"/>
    </row>
    <row r="303" spans="10:22" ht="15.75" customHeight="1" x14ac:dyDescent="0.25">
      <c r="J303" s="36"/>
      <c r="M303" s="37"/>
      <c r="N303" s="37"/>
      <c r="R303" s="37"/>
      <c r="S303" s="37"/>
      <c r="T303" s="38"/>
      <c r="V303" s="18"/>
    </row>
    <row r="304" spans="10:22" ht="15.75" customHeight="1" x14ac:dyDescent="0.25">
      <c r="J304" s="36"/>
      <c r="M304" s="37"/>
      <c r="N304" s="37"/>
      <c r="R304" s="37"/>
      <c r="S304" s="37"/>
      <c r="T304" s="38"/>
      <c r="V304" s="18"/>
    </row>
    <row r="305" spans="10:22" ht="15.75" customHeight="1" x14ac:dyDescent="0.25">
      <c r="J305" s="36"/>
      <c r="M305" s="37"/>
      <c r="N305" s="37"/>
      <c r="R305" s="37"/>
      <c r="S305" s="37"/>
      <c r="T305" s="38"/>
      <c r="V305" s="18"/>
    </row>
    <row r="306" spans="10:22" ht="15.75" customHeight="1" x14ac:dyDescent="0.25">
      <c r="J306" s="36"/>
      <c r="M306" s="37"/>
      <c r="N306" s="37"/>
      <c r="R306" s="37"/>
      <c r="S306" s="37"/>
      <c r="T306" s="38"/>
      <c r="V306" s="18"/>
    </row>
    <row r="307" spans="10:22" ht="15.75" customHeight="1" x14ac:dyDescent="0.25">
      <c r="J307" s="36"/>
      <c r="M307" s="37"/>
      <c r="N307" s="37"/>
      <c r="R307" s="37"/>
      <c r="S307" s="37"/>
      <c r="T307" s="38"/>
      <c r="V307" s="18"/>
    </row>
    <row r="308" spans="10:22" ht="15.75" customHeight="1" x14ac:dyDescent="0.25">
      <c r="J308" s="36"/>
      <c r="M308" s="37"/>
      <c r="N308" s="37"/>
      <c r="R308" s="37"/>
      <c r="S308" s="37"/>
      <c r="T308" s="38"/>
      <c r="V308" s="18"/>
    </row>
    <row r="309" spans="10:22" ht="15.75" customHeight="1" x14ac:dyDescent="0.25">
      <c r="J309" s="36"/>
      <c r="M309" s="37"/>
      <c r="N309" s="37"/>
      <c r="R309" s="37"/>
      <c r="S309" s="37"/>
      <c r="T309" s="38"/>
      <c r="V309" s="18"/>
    </row>
    <row r="310" spans="10:22" ht="15.75" customHeight="1" x14ac:dyDescent="0.25">
      <c r="J310" s="36"/>
      <c r="M310" s="37"/>
      <c r="N310" s="37"/>
      <c r="R310" s="37"/>
      <c r="S310" s="37"/>
      <c r="T310" s="38"/>
      <c r="V310" s="18"/>
    </row>
    <row r="311" spans="10:22" ht="15.75" customHeight="1" x14ac:dyDescent="0.25">
      <c r="J311" s="36"/>
      <c r="M311" s="37"/>
      <c r="N311" s="37"/>
      <c r="R311" s="37"/>
      <c r="S311" s="37"/>
      <c r="T311" s="38"/>
      <c r="V311" s="18"/>
    </row>
    <row r="312" spans="10:22" ht="15.75" customHeight="1" x14ac:dyDescent="0.25">
      <c r="J312" s="36"/>
      <c r="M312" s="37"/>
      <c r="N312" s="37"/>
      <c r="R312" s="37"/>
      <c r="S312" s="37"/>
      <c r="T312" s="38"/>
      <c r="V312" s="18"/>
    </row>
    <row r="313" spans="10:22" ht="15.75" customHeight="1" x14ac:dyDescent="0.25">
      <c r="J313" s="36"/>
      <c r="M313" s="37"/>
      <c r="N313" s="37"/>
      <c r="R313" s="37"/>
      <c r="S313" s="37"/>
      <c r="T313" s="38"/>
      <c r="V313" s="18"/>
    </row>
    <row r="314" spans="10:22" ht="15.75" customHeight="1" x14ac:dyDescent="0.25">
      <c r="J314" s="36"/>
      <c r="M314" s="37"/>
      <c r="N314" s="37"/>
      <c r="R314" s="37"/>
      <c r="S314" s="37"/>
      <c r="T314" s="38"/>
      <c r="V314" s="18"/>
    </row>
    <row r="315" spans="10:22" ht="15.75" customHeight="1" x14ac:dyDescent="0.25">
      <c r="J315" s="36"/>
      <c r="M315" s="37"/>
      <c r="N315" s="37"/>
      <c r="R315" s="37"/>
      <c r="S315" s="37"/>
      <c r="T315" s="38"/>
      <c r="V315" s="18"/>
    </row>
    <row r="316" spans="10:22" ht="15.75" customHeight="1" x14ac:dyDescent="0.25">
      <c r="J316" s="36"/>
      <c r="M316" s="37"/>
      <c r="N316" s="37"/>
      <c r="R316" s="37"/>
      <c r="S316" s="37"/>
      <c r="T316" s="38"/>
      <c r="V316" s="18"/>
    </row>
    <row r="317" spans="10:22" ht="15.75" customHeight="1" x14ac:dyDescent="0.25">
      <c r="J317" s="36"/>
      <c r="M317" s="37"/>
      <c r="N317" s="37"/>
      <c r="R317" s="37"/>
      <c r="S317" s="37"/>
      <c r="T317" s="38"/>
      <c r="V317" s="18"/>
    </row>
    <row r="318" spans="10:22" ht="15.75" customHeight="1" x14ac:dyDescent="0.25">
      <c r="J318" s="36"/>
      <c r="M318" s="37"/>
      <c r="N318" s="37"/>
      <c r="R318" s="37"/>
      <c r="S318" s="37"/>
      <c r="T318" s="38"/>
      <c r="V318" s="18"/>
    </row>
    <row r="319" spans="10:22" ht="15.75" customHeight="1" x14ac:dyDescent="0.25">
      <c r="J319" s="36"/>
      <c r="M319" s="37"/>
      <c r="N319" s="37"/>
      <c r="R319" s="37"/>
      <c r="S319" s="37"/>
      <c r="T319" s="38"/>
      <c r="V319" s="18"/>
    </row>
    <row r="320" spans="10:22" ht="15.75" customHeight="1" x14ac:dyDescent="0.25">
      <c r="J320" s="36"/>
      <c r="M320" s="37"/>
      <c r="N320" s="37"/>
      <c r="R320" s="37"/>
      <c r="S320" s="37"/>
      <c r="T320" s="38"/>
      <c r="V320" s="18"/>
    </row>
    <row r="321" spans="10:22" ht="15.75" customHeight="1" x14ac:dyDescent="0.25">
      <c r="J321" s="36"/>
      <c r="M321" s="37"/>
      <c r="N321" s="37"/>
      <c r="R321" s="37"/>
      <c r="S321" s="37"/>
      <c r="T321" s="38"/>
      <c r="V321" s="18"/>
    </row>
    <row r="322" spans="10:22" ht="15.75" customHeight="1" x14ac:dyDescent="0.25">
      <c r="J322" s="36"/>
      <c r="M322" s="37"/>
      <c r="N322" s="37"/>
      <c r="R322" s="37"/>
      <c r="S322" s="37"/>
      <c r="T322" s="38"/>
      <c r="V322" s="18"/>
    </row>
    <row r="323" spans="10:22" ht="15.75" customHeight="1" x14ac:dyDescent="0.25">
      <c r="J323" s="36"/>
      <c r="M323" s="37"/>
      <c r="N323" s="37"/>
      <c r="R323" s="37"/>
      <c r="S323" s="37"/>
      <c r="T323" s="38"/>
      <c r="V323" s="18"/>
    </row>
    <row r="324" spans="10:22" ht="15.75" customHeight="1" x14ac:dyDescent="0.25">
      <c r="J324" s="36"/>
      <c r="M324" s="37"/>
      <c r="N324" s="37"/>
      <c r="R324" s="37"/>
      <c r="S324" s="37"/>
      <c r="T324" s="38"/>
      <c r="V324" s="18"/>
    </row>
    <row r="325" spans="10:22" ht="15.75" customHeight="1" x14ac:dyDescent="0.25">
      <c r="J325" s="36"/>
      <c r="M325" s="37"/>
      <c r="N325" s="37"/>
      <c r="R325" s="37"/>
      <c r="S325" s="37"/>
      <c r="T325" s="38"/>
      <c r="V325" s="18"/>
    </row>
    <row r="326" spans="10:22" ht="15.75" customHeight="1" x14ac:dyDescent="0.25">
      <c r="J326" s="36"/>
      <c r="M326" s="37"/>
      <c r="N326" s="37"/>
      <c r="R326" s="37"/>
      <c r="S326" s="37"/>
      <c r="T326" s="38"/>
      <c r="V326" s="18"/>
    </row>
    <row r="327" spans="10:22" ht="15.75" customHeight="1" x14ac:dyDescent="0.25">
      <c r="J327" s="36"/>
      <c r="M327" s="37"/>
      <c r="N327" s="37"/>
      <c r="R327" s="37"/>
      <c r="S327" s="37"/>
      <c r="T327" s="38"/>
      <c r="V327" s="18"/>
    </row>
    <row r="328" spans="10:22" ht="15.75" customHeight="1" x14ac:dyDescent="0.25">
      <c r="J328" s="36"/>
      <c r="M328" s="37"/>
      <c r="N328" s="37"/>
      <c r="R328" s="37"/>
      <c r="S328" s="37"/>
      <c r="T328" s="38"/>
      <c r="V328" s="18"/>
    </row>
    <row r="329" spans="10:22" ht="15.75" customHeight="1" x14ac:dyDescent="0.25">
      <c r="J329" s="36"/>
      <c r="M329" s="37"/>
      <c r="N329" s="37"/>
      <c r="R329" s="37"/>
      <c r="S329" s="37"/>
      <c r="T329" s="38"/>
      <c r="V329" s="18"/>
    </row>
    <row r="330" spans="10:22" ht="15.75" customHeight="1" x14ac:dyDescent="0.25">
      <c r="J330" s="36"/>
      <c r="M330" s="37"/>
      <c r="N330" s="37"/>
      <c r="R330" s="37"/>
      <c r="S330" s="37"/>
      <c r="T330" s="38"/>
      <c r="V330" s="18"/>
    </row>
    <row r="331" spans="10:22" ht="15.75" customHeight="1" x14ac:dyDescent="0.25">
      <c r="J331" s="36"/>
      <c r="M331" s="37"/>
      <c r="N331" s="37"/>
      <c r="R331" s="37"/>
      <c r="S331" s="37"/>
      <c r="T331" s="38"/>
      <c r="V331" s="18"/>
    </row>
    <row r="332" spans="10:22" ht="15.75" customHeight="1" x14ac:dyDescent="0.25">
      <c r="J332" s="36"/>
      <c r="M332" s="37"/>
      <c r="N332" s="37"/>
      <c r="R332" s="37"/>
      <c r="S332" s="37"/>
      <c r="T332" s="38"/>
      <c r="V332" s="18"/>
    </row>
    <row r="333" spans="10:22" ht="15.75" customHeight="1" x14ac:dyDescent="0.25">
      <c r="J333" s="36"/>
      <c r="M333" s="37"/>
      <c r="N333" s="37"/>
      <c r="R333" s="37"/>
      <c r="S333" s="37"/>
      <c r="T333" s="38"/>
      <c r="V333" s="18"/>
    </row>
    <row r="334" spans="10:22" ht="15.75" customHeight="1" x14ac:dyDescent="0.25">
      <c r="J334" s="36"/>
      <c r="M334" s="37"/>
      <c r="N334" s="37"/>
      <c r="R334" s="37"/>
      <c r="S334" s="37"/>
      <c r="T334" s="38"/>
      <c r="V334" s="18"/>
    </row>
    <row r="335" spans="10:22" ht="15.75" customHeight="1" x14ac:dyDescent="0.25">
      <c r="J335" s="36"/>
      <c r="M335" s="37"/>
      <c r="N335" s="37"/>
      <c r="R335" s="37"/>
      <c r="S335" s="37"/>
      <c r="T335" s="38"/>
      <c r="V335" s="18"/>
    </row>
    <row r="336" spans="10:22" ht="15.75" customHeight="1" x14ac:dyDescent="0.25">
      <c r="J336" s="36"/>
      <c r="M336" s="37"/>
      <c r="N336" s="37"/>
      <c r="R336" s="37"/>
      <c r="S336" s="37"/>
      <c r="T336" s="38"/>
      <c r="V336" s="18"/>
    </row>
    <row r="337" spans="10:22" ht="15.75" customHeight="1" x14ac:dyDescent="0.25">
      <c r="J337" s="36"/>
      <c r="M337" s="37"/>
      <c r="N337" s="37"/>
      <c r="R337" s="37"/>
      <c r="S337" s="37"/>
      <c r="T337" s="38"/>
      <c r="V337" s="18"/>
    </row>
    <row r="338" spans="10:22" ht="15.75" customHeight="1" x14ac:dyDescent="0.25">
      <c r="J338" s="36"/>
      <c r="M338" s="37"/>
      <c r="N338" s="37"/>
      <c r="R338" s="37"/>
      <c r="S338" s="37"/>
      <c r="T338" s="38"/>
      <c r="V338" s="18"/>
    </row>
    <row r="339" spans="10:22" ht="15.75" customHeight="1" x14ac:dyDescent="0.25">
      <c r="J339" s="36"/>
      <c r="M339" s="37"/>
      <c r="N339" s="37"/>
      <c r="R339" s="37"/>
      <c r="S339" s="37"/>
      <c r="T339" s="38"/>
      <c r="V339" s="18"/>
    </row>
    <row r="340" spans="10:22" ht="15.75" customHeight="1" x14ac:dyDescent="0.25">
      <c r="J340" s="36"/>
      <c r="M340" s="37"/>
      <c r="N340" s="37"/>
      <c r="R340" s="37"/>
      <c r="S340" s="37"/>
      <c r="T340" s="38"/>
      <c r="V340" s="18"/>
    </row>
    <row r="341" spans="10:22" ht="15.75" customHeight="1" x14ac:dyDescent="0.25">
      <c r="J341" s="36"/>
      <c r="M341" s="37"/>
      <c r="N341" s="37"/>
      <c r="R341" s="37"/>
      <c r="S341" s="37"/>
      <c r="T341" s="38"/>
      <c r="V341" s="18"/>
    </row>
    <row r="342" spans="10:22" ht="15.75" customHeight="1" x14ac:dyDescent="0.25">
      <c r="J342" s="36"/>
      <c r="M342" s="37"/>
      <c r="N342" s="37"/>
      <c r="R342" s="37"/>
      <c r="S342" s="37"/>
      <c r="T342" s="38"/>
      <c r="V342" s="18"/>
    </row>
    <row r="343" spans="10:22" ht="15.75" customHeight="1" x14ac:dyDescent="0.25">
      <c r="J343" s="36"/>
      <c r="M343" s="37"/>
      <c r="N343" s="37"/>
      <c r="R343" s="37"/>
      <c r="S343" s="37"/>
      <c r="T343" s="38"/>
      <c r="V343" s="18"/>
    </row>
    <row r="344" spans="10:22" ht="15.75" customHeight="1" x14ac:dyDescent="0.25">
      <c r="J344" s="36"/>
      <c r="M344" s="37"/>
      <c r="N344" s="37"/>
      <c r="R344" s="37"/>
      <c r="S344" s="37"/>
      <c r="T344" s="38"/>
      <c r="V344" s="18"/>
    </row>
    <row r="345" spans="10:22" ht="15.75" customHeight="1" x14ac:dyDescent="0.25">
      <c r="J345" s="36"/>
      <c r="M345" s="37"/>
      <c r="N345" s="37"/>
      <c r="R345" s="37"/>
      <c r="S345" s="37"/>
      <c r="T345" s="38"/>
      <c r="V345" s="18"/>
    </row>
    <row r="346" spans="10:22" ht="15.75" customHeight="1" x14ac:dyDescent="0.25">
      <c r="J346" s="36"/>
      <c r="M346" s="37"/>
      <c r="N346" s="37"/>
      <c r="R346" s="37"/>
      <c r="S346" s="37"/>
      <c r="T346" s="38"/>
      <c r="V346" s="18"/>
    </row>
    <row r="347" spans="10:22" ht="15.75" customHeight="1" x14ac:dyDescent="0.25">
      <c r="J347" s="36"/>
      <c r="M347" s="37"/>
      <c r="N347" s="37"/>
      <c r="R347" s="37"/>
      <c r="S347" s="37"/>
      <c r="T347" s="38"/>
      <c r="V347" s="18"/>
    </row>
    <row r="348" spans="10:22" ht="15.75" customHeight="1" x14ac:dyDescent="0.25">
      <c r="J348" s="36"/>
      <c r="M348" s="37"/>
      <c r="N348" s="37"/>
      <c r="R348" s="37"/>
      <c r="S348" s="37"/>
      <c r="T348" s="38"/>
      <c r="V348" s="18"/>
    </row>
    <row r="349" spans="10:22" ht="15.75" customHeight="1" x14ac:dyDescent="0.25">
      <c r="J349" s="36"/>
      <c r="M349" s="37"/>
      <c r="N349" s="37"/>
      <c r="R349" s="37"/>
      <c r="S349" s="37"/>
      <c r="T349" s="38"/>
      <c r="V349" s="18"/>
    </row>
    <row r="350" spans="10:22" ht="15.75" customHeight="1" x14ac:dyDescent="0.25">
      <c r="J350" s="36"/>
      <c r="M350" s="37"/>
      <c r="N350" s="37"/>
      <c r="R350" s="37"/>
      <c r="S350" s="37"/>
      <c r="T350" s="38"/>
      <c r="V350" s="18"/>
    </row>
    <row r="351" spans="10:22" ht="15.75" customHeight="1" x14ac:dyDescent="0.25">
      <c r="J351" s="36"/>
      <c r="M351" s="37"/>
      <c r="N351" s="37"/>
      <c r="R351" s="37"/>
      <c r="S351" s="37"/>
      <c r="T351" s="38"/>
      <c r="V351" s="18"/>
    </row>
    <row r="352" spans="10:22" ht="15.75" customHeight="1" x14ac:dyDescent="0.25">
      <c r="J352" s="36"/>
      <c r="M352" s="37"/>
      <c r="N352" s="37"/>
      <c r="R352" s="37"/>
      <c r="S352" s="37"/>
      <c r="T352" s="38"/>
      <c r="V352" s="18"/>
    </row>
    <row r="353" spans="10:22" ht="15.75" customHeight="1" x14ac:dyDescent="0.25">
      <c r="J353" s="36"/>
      <c r="M353" s="37"/>
      <c r="N353" s="37"/>
      <c r="R353" s="37"/>
      <c r="S353" s="37"/>
      <c r="T353" s="38"/>
      <c r="V353" s="18"/>
    </row>
    <row r="354" spans="10:22" ht="15.75" customHeight="1" x14ac:dyDescent="0.25">
      <c r="J354" s="36"/>
      <c r="M354" s="37"/>
      <c r="N354" s="37"/>
      <c r="R354" s="37"/>
      <c r="S354" s="37"/>
      <c r="T354" s="38"/>
      <c r="V354" s="18"/>
    </row>
    <row r="355" spans="10:22" ht="15.75" customHeight="1" x14ac:dyDescent="0.25">
      <c r="J355" s="36"/>
      <c r="M355" s="37"/>
      <c r="N355" s="37"/>
      <c r="R355" s="37"/>
      <c r="S355" s="37"/>
      <c r="T355" s="38"/>
      <c r="V355" s="18"/>
    </row>
    <row r="356" spans="10:22" ht="15.75" customHeight="1" x14ac:dyDescent="0.25">
      <c r="J356" s="36"/>
      <c r="M356" s="37"/>
      <c r="N356" s="37"/>
      <c r="R356" s="37"/>
      <c r="S356" s="37"/>
      <c r="T356" s="38"/>
      <c r="V356" s="18"/>
    </row>
    <row r="357" spans="10:22" ht="15.75" customHeight="1" x14ac:dyDescent="0.25">
      <c r="J357" s="36"/>
      <c r="M357" s="37"/>
      <c r="N357" s="37"/>
      <c r="R357" s="37"/>
      <c r="S357" s="37"/>
      <c r="T357" s="38"/>
      <c r="V357" s="18"/>
    </row>
    <row r="358" spans="10:22" ht="15.75" customHeight="1" x14ac:dyDescent="0.25">
      <c r="J358" s="36"/>
      <c r="M358" s="37"/>
      <c r="N358" s="37"/>
      <c r="R358" s="37"/>
      <c r="S358" s="37"/>
      <c r="T358" s="38"/>
      <c r="V358" s="18"/>
    </row>
    <row r="359" spans="10:22" ht="15.75" customHeight="1" x14ac:dyDescent="0.25">
      <c r="J359" s="36"/>
      <c r="M359" s="37"/>
      <c r="N359" s="37"/>
      <c r="R359" s="37"/>
      <c r="S359" s="37"/>
      <c r="T359" s="38"/>
      <c r="V359" s="18"/>
    </row>
    <row r="360" spans="10:22" ht="15.75" customHeight="1" x14ac:dyDescent="0.25">
      <c r="J360" s="36"/>
      <c r="M360" s="37"/>
      <c r="N360" s="37"/>
      <c r="R360" s="37"/>
      <c r="S360" s="37"/>
      <c r="T360" s="38"/>
      <c r="V360" s="18"/>
    </row>
    <row r="361" spans="10:22" ht="15.75" customHeight="1" x14ac:dyDescent="0.25">
      <c r="J361" s="36"/>
      <c r="M361" s="37"/>
      <c r="N361" s="37"/>
      <c r="R361" s="37"/>
      <c r="S361" s="37"/>
      <c r="T361" s="38"/>
      <c r="V361" s="18"/>
    </row>
    <row r="362" spans="10:22" ht="15.75" customHeight="1" x14ac:dyDescent="0.25">
      <c r="J362" s="36"/>
      <c r="M362" s="37"/>
      <c r="N362" s="37"/>
      <c r="R362" s="37"/>
      <c r="S362" s="37"/>
      <c r="T362" s="38"/>
      <c r="V362" s="18"/>
    </row>
    <row r="363" spans="10:22" ht="15.75" customHeight="1" x14ac:dyDescent="0.25">
      <c r="J363" s="36"/>
      <c r="M363" s="37"/>
      <c r="N363" s="37"/>
      <c r="R363" s="37"/>
      <c r="S363" s="37"/>
      <c r="T363" s="38"/>
      <c r="V363" s="18"/>
    </row>
    <row r="364" spans="10:22" ht="15.75" customHeight="1" x14ac:dyDescent="0.25">
      <c r="J364" s="36"/>
      <c r="M364" s="37"/>
      <c r="N364" s="37"/>
      <c r="R364" s="37"/>
      <c r="S364" s="37"/>
      <c r="T364" s="38"/>
      <c r="V364" s="18"/>
    </row>
    <row r="365" spans="10:22" ht="15.75" customHeight="1" x14ac:dyDescent="0.25">
      <c r="J365" s="36"/>
      <c r="M365" s="37"/>
      <c r="N365" s="37"/>
      <c r="R365" s="37"/>
      <c r="S365" s="37"/>
      <c r="T365" s="38"/>
      <c r="V365" s="18"/>
    </row>
    <row r="366" spans="10:22" ht="15.75" customHeight="1" x14ac:dyDescent="0.25">
      <c r="J366" s="36"/>
      <c r="M366" s="37"/>
      <c r="N366" s="37"/>
      <c r="R366" s="37"/>
      <c r="S366" s="37"/>
      <c r="T366" s="38"/>
      <c r="V366" s="18"/>
    </row>
    <row r="367" spans="10:22" ht="15.75" customHeight="1" x14ac:dyDescent="0.25">
      <c r="J367" s="36"/>
      <c r="M367" s="37"/>
      <c r="N367" s="37"/>
      <c r="R367" s="37"/>
      <c r="S367" s="37"/>
      <c r="T367" s="38"/>
      <c r="V367" s="18"/>
    </row>
    <row r="368" spans="10:22" ht="15.75" customHeight="1" x14ac:dyDescent="0.25">
      <c r="J368" s="36"/>
      <c r="M368" s="37"/>
      <c r="N368" s="37"/>
      <c r="R368" s="37"/>
      <c r="S368" s="37"/>
      <c r="T368" s="38"/>
      <c r="V368" s="18"/>
    </row>
    <row r="369" spans="10:22" ht="15.75" customHeight="1" x14ac:dyDescent="0.25">
      <c r="J369" s="36"/>
      <c r="M369" s="37"/>
      <c r="N369" s="37"/>
      <c r="R369" s="37"/>
      <c r="S369" s="37"/>
      <c r="T369" s="38"/>
      <c r="V369" s="18"/>
    </row>
    <row r="370" spans="10:22" ht="15.75" customHeight="1" x14ac:dyDescent="0.25">
      <c r="J370" s="36"/>
      <c r="M370" s="37"/>
      <c r="N370" s="37"/>
      <c r="R370" s="37"/>
      <c r="S370" s="37"/>
      <c r="T370" s="38"/>
      <c r="V370" s="18"/>
    </row>
    <row r="371" spans="10:22" ht="15.75" customHeight="1" x14ac:dyDescent="0.25">
      <c r="J371" s="36"/>
      <c r="M371" s="37"/>
      <c r="N371" s="37"/>
      <c r="R371" s="37"/>
      <c r="S371" s="37"/>
      <c r="T371" s="38"/>
      <c r="V371" s="18"/>
    </row>
    <row r="372" spans="10:22" ht="15.75" customHeight="1" x14ac:dyDescent="0.25">
      <c r="J372" s="36"/>
      <c r="M372" s="37"/>
      <c r="N372" s="37"/>
      <c r="R372" s="37"/>
      <c r="S372" s="37"/>
      <c r="T372" s="38"/>
      <c r="V372" s="18"/>
    </row>
    <row r="373" spans="10:22" ht="15.75" customHeight="1" x14ac:dyDescent="0.25">
      <c r="J373" s="36"/>
      <c r="M373" s="37"/>
      <c r="N373" s="37"/>
      <c r="R373" s="37"/>
      <c r="S373" s="37"/>
      <c r="T373" s="38"/>
      <c r="V373" s="18"/>
    </row>
    <row r="374" spans="10:22" ht="15.75" customHeight="1" x14ac:dyDescent="0.25">
      <c r="J374" s="36"/>
      <c r="M374" s="37"/>
      <c r="N374" s="37"/>
      <c r="R374" s="37"/>
      <c r="S374" s="37"/>
      <c r="T374" s="38"/>
      <c r="V374" s="18"/>
    </row>
    <row r="375" spans="10:22" ht="15.75" customHeight="1" x14ac:dyDescent="0.25">
      <c r="J375" s="36"/>
      <c r="M375" s="37"/>
      <c r="N375" s="37"/>
      <c r="R375" s="37"/>
      <c r="S375" s="37"/>
      <c r="T375" s="38"/>
      <c r="V375" s="18"/>
    </row>
    <row r="376" spans="10:22" ht="15.75" customHeight="1" x14ac:dyDescent="0.25">
      <c r="J376" s="36"/>
      <c r="M376" s="37"/>
      <c r="N376" s="37"/>
      <c r="R376" s="37"/>
      <c r="S376" s="37"/>
      <c r="T376" s="38"/>
      <c r="V376" s="18"/>
    </row>
    <row r="377" spans="10:22" ht="15.75" customHeight="1" x14ac:dyDescent="0.25">
      <c r="J377" s="36"/>
      <c r="M377" s="37"/>
      <c r="N377" s="37"/>
      <c r="R377" s="37"/>
      <c r="S377" s="37"/>
      <c r="T377" s="38"/>
      <c r="V377" s="18"/>
    </row>
    <row r="378" spans="10:22" ht="15.75" customHeight="1" x14ac:dyDescent="0.25">
      <c r="J378" s="36"/>
      <c r="M378" s="37"/>
      <c r="N378" s="37"/>
      <c r="R378" s="37"/>
      <c r="S378" s="37"/>
      <c r="T378" s="38"/>
      <c r="V378" s="18"/>
    </row>
    <row r="379" spans="10:22" ht="15.75" customHeight="1" x14ac:dyDescent="0.25">
      <c r="J379" s="36"/>
      <c r="M379" s="37"/>
      <c r="N379" s="37"/>
      <c r="R379" s="37"/>
      <c r="S379" s="37"/>
      <c r="T379" s="38"/>
      <c r="V379" s="18"/>
    </row>
    <row r="380" spans="10:22" ht="15.75" customHeight="1" x14ac:dyDescent="0.25">
      <c r="J380" s="36"/>
      <c r="M380" s="37"/>
      <c r="N380" s="37"/>
      <c r="R380" s="37"/>
      <c r="S380" s="37"/>
      <c r="T380" s="38"/>
      <c r="V380" s="18"/>
    </row>
    <row r="381" spans="10:22" ht="15.75" customHeight="1" x14ac:dyDescent="0.25">
      <c r="J381" s="36"/>
      <c r="M381" s="37"/>
      <c r="N381" s="37"/>
      <c r="R381" s="37"/>
      <c r="S381" s="37"/>
      <c r="T381" s="38"/>
      <c r="V381" s="18"/>
    </row>
    <row r="382" spans="10:22" ht="15.75" customHeight="1" x14ac:dyDescent="0.25">
      <c r="J382" s="36"/>
      <c r="M382" s="37"/>
      <c r="N382" s="37"/>
      <c r="R382" s="37"/>
      <c r="S382" s="37"/>
      <c r="T382" s="38"/>
      <c r="V382" s="18"/>
    </row>
    <row r="383" spans="10:22" ht="15.75" customHeight="1" x14ac:dyDescent="0.25">
      <c r="J383" s="36"/>
      <c r="M383" s="37"/>
      <c r="N383" s="37"/>
      <c r="R383" s="37"/>
      <c r="S383" s="37"/>
      <c r="T383" s="38"/>
      <c r="V383" s="18"/>
    </row>
    <row r="384" spans="10:22" ht="15.75" customHeight="1" x14ac:dyDescent="0.25">
      <c r="J384" s="36"/>
      <c r="M384" s="37"/>
      <c r="N384" s="37"/>
      <c r="R384" s="37"/>
      <c r="S384" s="37"/>
      <c r="T384" s="38"/>
      <c r="V384" s="18"/>
    </row>
    <row r="385" spans="10:22" ht="15.75" customHeight="1" x14ac:dyDescent="0.25">
      <c r="J385" s="36"/>
      <c r="M385" s="37"/>
      <c r="N385" s="37"/>
      <c r="R385" s="37"/>
      <c r="S385" s="37"/>
      <c r="T385" s="38"/>
      <c r="V385" s="18"/>
    </row>
    <row r="386" spans="10:22" ht="15.75" customHeight="1" x14ac:dyDescent="0.25">
      <c r="J386" s="36"/>
      <c r="M386" s="37"/>
      <c r="N386" s="37"/>
      <c r="R386" s="37"/>
      <c r="S386" s="37"/>
      <c r="T386" s="38"/>
      <c r="V386" s="18"/>
    </row>
    <row r="387" spans="10:22" ht="15.75" customHeight="1" x14ac:dyDescent="0.25">
      <c r="J387" s="36"/>
      <c r="M387" s="37"/>
      <c r="N387" s="37"/>
      <c r="R387" s="37"/>
      <c r="S387" s="37"/>
      <c r="T387" s="38"/>
      <c r="V387" s="18"/>
    </row>
    <row r="388" spans="10:22" ht="15.75" customHeight="1" x14ac:dyDescent="0.25">
      <c r="J388" s="36"/>
      <c r="M388" s="37"/>
      <c r="N388" s="37"/>
      <c r="R388" s="37"/>
      <c r="S388" s="37"/>
      <c r="T388" s="38"/>
      <c r="V388" s="18"/>
    </row>
    <row r="389" spans="10:22" ht="15.75" customHeight="1" x14ac:dyDescent="0.25">
      <c r="J389" s="36"/>
      <c r="M389" s="37"/>
      <c r="N389" s="37"/>
      <c r="R389" s="37"/>
      <c r="S389" s="37"/>
      <c r="T389" s="38"/>
      <c r="V389" s="18"/>
    </row>
    <row r="390" spans="10:22" ht="15.75" customHeight="1" x14ac:dyDescent="0.25">
      <c r="J390" s="36"/>
      <c r="M390" s="37"/>
      <c r="N390" s="37"/>
      <c r="R390" s="37"/>
      <c r="S390" s="37"/>
      <c r="T390" s="38"/>
      <c r="V390" s="18"/>
    </row>
    <row r="391" spans="10:22" ht="15.75" customHeight="1" x14ac:dyDescent="0.25">
      <c r="J391" s="36"/>
      <c r="M391" s="37"/>
      <c r="N391" s="37"/>
      <c r="R391" s="37"/>
      <c r="S391" s="37"/>
      <c r="T391" s="38"/>
      <c r="V391" s="18"/>
    </row>
    <row r="392" spans="10:22" ht="15.75" customHeight="1" x14ac:dyDescent="0.25">
      <c r="J392" s="36"/>
      <c r="M392" s="37"/>
      <c r="N392" s="37"/>
      <c r="R392" s="37"/>
      <c r="S392" s="37"/>
      <c r="T392" s="38"/>
      <c r="V392" s="18"/>
    </row>
    <row r="393" spans="10:22" ht="15.75" customHeight="1" x14ac:dyDescent="0.25">
      <c r="J393" s="36"/>
      <c r="M393" s="37"/>
      <c r="N393" s="37"/>
      <c r="R393" s="37"/>
      <c r="S393" s="37"/>
      <c r="T393" s="38"/>
      <c r="V393" s="18"/>
    </row>
    <row r="394" spans="10:22" ht="15.75" customHeight="1" x14ac:dyDescent="0.25">
      <c r="J394" s="36"/>
      <c r="M394" s="37"/>
      <c r="N394" s="37"/>
      <c r="R394" s="37"/>
      <c r="S394" s="37"/>
      <c r="T394" s="38"/>
      <c r="V394" s="18"/>
    </row>
    <row r="395" spans="10:22" ht="15.75" customHeight="1" x14ac:dyDescent="0.25">
      <c r="J395" s="36"/>
      <c r="M395" s="37"/>
      <c r="N395" s="37"/>
      <c r="R395" s="37"/>
      <c r="S395" s="37"/>
      <c r="T395" s="38"/>
      <c r="V395" s="18"/>
    </row>
    <row r="396" spans="10:22" ht="15.75" customHeight="1" x14ac:dyDescent="0.25">
      <c r="J396" s="36"/>
      <c r="M396" s="37"/>
      <c r="N396" s="37"/>
      <c r="R396" s="37"/>
      <c r="S396" s="37"/>
      <c r="T396" s="38"/>
      <c r="V396" s="18"/>
    </row>
    <row r="397" spans="10:22" ht="15.75" customHeight="1" x14ac:dyDescent="0.25">
      <c r="J397" s="36"/>
      <c r="M397" s="37"/>
      <c r="N397" s="37"/>
      <c r="R397" s="37"/>
      <c r="S397" s="37"/>
      <c r="T397" s="38"/>
      <c r="V397" s="18"/>
    </row>
    <row r="398" spans="10:22" ht="15.75" customHeight="1" x14ac:dyDescent="0.25">
      <c r="J398" s="36"/>
      <c r="M398" s="37"/>
      <c r="N398" s="37"/>
      <c r="R398" s="37"/>
      <c r="S398" s="37"/>
      <c r="T398" s="38"/>
      <c r="V398" s="18"/>
    </row>
    <row r="399" spans="10:22" ht="15.75" customHeight="1" x14ac:dyDescent="0.25">
      <c r="J399" s="36"/>
      <c r="M399" s="37"/>
      <c r="N399" s="37"/>
      <c r="R399" s="37"/>
      <c r="S399" s="37"/>
      <c r="T399" s="38"/>
      <c r="V399" s="18"/>
    </row>
    <row r="400" spans="10:22" ht="15.75" customHeight="1" x14ac:dyDescent="0.25">
      <c r="J400" s="36"/>
      <c r="M400" s="37"/>
      <c r="N400" s="37"/>
      <c r="R400" s="37"/>
      <c r="S400" s="37"/>
      <c r="T400" s="38"/>
      <c r="V400" s="18"/>
    </row>
    <row r="401" spans="10:22" ht="15.75" customHeight="1" x14ac:dyDescent="0.25">
      <c r="J401" s="36"/>
      <c r="M401" s="37"/>
      <c r="N401" s="37"/>
      <c r="R401" s="37"/>
      <c r="S401" s="37"/>
      <c r="T401" s="38"/>
      <c r="V401" s="18"/>
    </row>
    <row r="402" spans="10:22" ht="15.75" customHeight="1" x14ac:dyDescent="0.25">
      <c r="J402" s="36"/>
      <c r="M402" s="37"/>
      <c r="N402" s="37"/>
      <c r="R402" s="37"/>
      <c r="S402" s="37"/>
      <c r="T402" s="38"/>
      <c r="V402" s="18"/>
    </row>
    <row r="403" spans="10:22" ht="15.75" customHeight="1" x14ac:dyDescent="0.25">
      <c r="J403" s="36"/>
      <c r="M403" s="37"/>
      <c r="N403" s="37"/>
      <c r="R403" s="37"/>
      <c r="S403" s="37"/>
      <c r="T403" s="38"/>
      <c r="V403" s="18"/>
    </row>
    <row r="404" spans="10:22" ht="15.75" customHeight="1" x14ac:dyDescent="0.25">
      <c r="J404" s="36"/>
      <c r="M404" s="37"/>
      <c r="N404" s="37"/>
      <c r="R404" s="37"/>
      <c r="S404" s="37"/>
      <c r="T404" s="38"/>
      <c r="V404" s="18"/>
    </row>
    <row r="405" spans="10:22" ht="15.75" customHeight="1" x14ac:dyDescent="0.25">
      <c r="J405" s="36"/>
      <c r="M405" s="37"/>
      <c r="N405" s="37"/>
      <c r="R405" s="37"/>
      <c r="S405" s="37"/>
      <c r="T405" s="38"/>
      <c r="V405" s="18"/>
    </row>
    <row r="406" spans="10:22" ht="15.75" customHeight="1" x14ac:dyDescent="0.25">
      <c r="J406" s="36"/>
      <c r="M406" s="37"/>
      <c r="N406" s="37"/>
      <c r="R406" s="37"/>
      <c r="S406" s="37"/>
      <c r="T406" s="38"/>
      <c r="V406" s="18"/>
    </row>
    <row r="407" spans="10:22" ht="15.75" customHeight="1" x14ac:dyDescent="0.25">
      <c r="J407" s="36"/>
      <c r="M407" s="37"/>
      <c r="N407" s="37"/>
      <c r="R407" s="37"/>
      <c r="S407" s="37"/>
      <c r="T407" s="38"/>
      <c r="V407" s="18"/>
    </row>
    <row r="408" spans="10:22" ht="15.75" customHeight="1" x14ac:dyDescent="0.25">
      <c r="J408" s="36"/>
      <c r="M408" s="37"/>
      <c r="N408" s="37"/>
      <c r="R408" s="37"/>
      <c r="S408" s="37"/>
      <c r="T408" s="38"/>
      <c r="V408" s="18"/>
    </row>
    <row r="409" spans="10:22" ht="15.75" customHeight="1" x14ac:dyDescent="0.25">
      <c r="J409" s="36"/>
      <c r="M409" s="37"/>
      <c r="N409" s="37"/>
      <c r="R409" s="37"/>
      <c r="S409" s="37"/>
      <c r="T409" s="38"/>
      <c r="V409" s="18"/>
    </row>
    <row r="410" spans="10:22" ht="15.75" customHeight="1" x14ac:dyDescent="0.25">
      <c r="J410" s="36"/>
      <c r="M410" s="37"/>
      <c r="N410" s="37"/>
      <c r="R410" s="37"/>
      <c r="S410" s="37"/>
      <c r="T410" s="38"/>
      <c r="V410" s="18"/>
    </row>
    <row r="411" spans="10:22" ht="15.75" customHeight="1" x14ac:dyDescent="0.25">
      <c r="J411" s="36"/>
      <c r="M411" s="37"/>
      <c r="N411" s="37"/>
      <c r="R411" s="37"/>
      <c r="S411" s="37"/>
      <c r="T411" s="38"/>
      <c r="V411" s="18"/>
    </row>
    <row r="412" spans="10:22" ht="15.75" customHeight="1" x14ac:dyDescent="0.25">
      <c r="J412" s="36"/>
      <c r="M412" s="37"/>
      <c r="N412" s="37"/>
      <c r="R412" s="37"/>
      <c r="S412" s="37"/>
      <c r="T412" s="38"/>
      <c r="V412" s="18"/>
    </row>
    <row r="413" spans="10:22" ht="15.75" customHeight="1" x14ac:dyDescent="0.25">
      <c r="J413" s="36"/>
      <c r="M413" s="37"/>
      <c r="N413" s="37"/>
      <c r="R413" s="37"/>
      <c r="S413" s="37"/>
      <c r="T413" s="38"/>
      <c r="V413" s="18"/>
    </row>
    <row r="414" spans="10:22" ht="15.75" customHeight="1" x14ac:dyDescent="0.25">
      <c r="J414" s="36"/>
      <c r="M414" s="37"/>
      <c r="N414" s="37"/>
      <c r="R414" s="37"/>
      <c r="S414" s="37"/>
      <c r="T414" s="38"/>
      <c r="V414" s="18"/>
    </row>
    <row r="415" spans="10:22" ht="15.75" customHeight="1" x14ac:dyDescent="0.25">
      <c r="J415" s="36"/>
      <c r="M415" s="37"/>
      <c r="N415" s="37"/>
      <c r="R415" s="37"/>
      <c r="S415" s="37"/>
      <c r="T415" s="38"/>
      <c r="V415" s="18"/>
    </row>
    <row r="416" spans="10:22" ht="15.75" customHeight="1" x14ac:dyDescent="0.25">
      <c r="J416" s="36"/>
      <c r="M416" s="37"/>
      <c r="N416" s="37"/>
      <c r="R416" s="37"/>
      <c r="S416" s="37"/>
      <c r="T416" s="38"/>
      <c r="V416" s="18"/>
    </row>
    <row r="417" spans="10:22" ht="15.75" customHeight="1" x14ac:dyDescent="0.25">
      <c r="J417" s="36"/>
      <c r="M417" s="37"/>
      <c r="N417" s="37"/>
      <c r="R417" s="37"/>
      <c r="S417" s="37"/>
      <c r="T417" s="38"/>
      <c r="V417" s="18"/>
    </row>
    <row r="418" spans="10:22" ht="15.75" customHeight="1" x14ac:dyDescent="0.25">
      <c r="J418" s="36"/>
      <c r="M418" s="37"/>
      <c r="N418" s="37"/>
      <c r="R418" s="37"/>
      <c r="S418" s="37"/>
      <c r="T418" s="38"/>
      <c r="V418" s="18"/>
    </row>
    <row r="419" spans="10:22" ht="15.75" customHeight="1" x14ac:dyDescent="0.25">
      <c r="J419" s="36"/>
      <c r="M419" s="37"/>
      <c r="N419" s="37"/>
      <c r="R419" s="37"/>
      <c r="S419" s="37"/>
      <c r="T419" s="38"/>
      <c r="V419" s="18"/>
    </row>
    <row r="420" spans="10:22" ht="15.75" customHeight="1" x14ac:dyDescent="0.25">
      <c r="J420" s="36"/>
      <c r="M420" s="37"/>
      <c r="N420" s="37"/>
      <c r="R420" s="37"/>
      <c r="S420" s="37"/>
      <c r="T420" s="38"/>
      <c r="V420" s="18"/>
    </row>
    <row r="421" spans="10:22" ht="15.75" customHeight="1" x14ac:dyDescent="0.25">
      <c r="J421" s="36"/>
      <c r="M421" s="37"/>
      <c r="N421" s="37"/>
      <c r="R421" s="37"/>
      <c r="S421" s="37"/>
      <c r="T421" s="38"/>
      <c r="V421" s="18"/>
    </row>
    <row r="422" spans="10:22" ht="15.75" customHeight="1" x14ac:dyDescent="0.25">
      <c r="J422" s="36"/>
      <c r="M422" s="37"/>
      <c r="N422" s="37"/>
      <c r="R422" s="37"/>
      <c r="S422" s="37"/>
      <c r="T422" s="38"/>
      <c r="V422" s="18"/>
    </row>
    <row r="423" spans="10:22" ht="15.75" customHeight="1" x14ac:dyDescent="0.25">
      <c r="J423" s="36"/>
      <c r="M423" s="37"/>
      <c r="N423" s="37"/>
      <c r="R423" s="37"/>
      <c r="S423" s="37"/>
      <c r="T423" s="38"/>
      <c r="V423" s="18"/>
    </row>
    <row r="424" spans="10:22" ht="15.75" customHeight="1" x14ac:dyDescent="0.25">
      <c r="J424" s="36"/>
      <c r="M424" s="37"/>
      <c r="N424" s="37"/>
      <c r="R424" s="37"/>
      <c r="S424" s="37"/>
      <c r="T424" s="38"/>
      <c r="V424" s="18"/>
    </row>
    <row r="425" spans="10:22" ht="15.75" customHeight="1" x14ac:dyDescent="0.25">
      <c r="J425" s="36"/>
      <c r="M425" s="37"/>
      <c r="N425" s="37"/>
      <c r="R425" s="37"/>
      <c r="S425" s="37"/>
      <c r="T425" s="38"/>
      <c r="V425" s="18"/>
    </row>
    <row r="426" spans="10:22" ht="15.75" customHeight="1" x14ac:dyDescent="0.25">
      <c r="J426" s="36"/>
      <c r="M426" s="37"/>
      <c r="N426" s="37"/>
      <c r="R426" s="37"/>
      <c r="S426" s="37"/>
      <c r="T426" s="38"/>
      <c r="V426" s="18"/>
    </row>
    <row r="427" spans="10:22" ht="15.75" customHeight="1" x14ac:dyDescent="0.25">
      <c r="J427" s="36"/>
      <c r="M427" s="37"/>
      <c r="N427" s="37"/>
      <c r="R427" s="37"/>
      <c r="S427" s="37"/>
      <c r="T427" s="38"/>
      <c r="V427" s="18"/>
    </row>
    <row r="428" spans="10:22" ht="15.75" customHeight="1" x14ac:dyDescent="0.25">
      <c r="J428" s="36"/>
      <c r="M428" s="37"/>
      <c r="N428" s="37"/>
      <c r="R428" s="37"/>
      <c r="S428" s="37"/>
      <c r="T428" s="38"/>
      <c r="V428" s="18"/>
    </row>
    <row r="429" spans="10:22" ht="15.75" customHeight="1" x14ac:dyDescent="0.25">
      <c r="J429" s="36"/>
      <c r="M429" s="37"/>
      <c r="N429" s="37"/>
      <c r="R429" s="37"/>
      <c r="S429" s="37"/>
      <c r="T429" s="38"/>
      <c r="V429" s="18"/>
    </row>
    <row r="430" spans="10:22" ht="15.75" customHeight="1" x14ac:dyDescent="0.25">
      <c r="J430" s="36"/>
      <c r="M430" s="37"/>
      <c r="N430" s="37"/>
      <c r="R430" s="37"/>
      <c r="S430" s="37"/>
      <c r="T430" s="38"/>
      <c r="V430" s="18"/>
    </row>
    <row r="431" spans="10:22" ht="15.75" customHeight="1" x14ac:dyDescent="0.25">
      <c r="J431" s="36"/>
      <c r="M431" s="37"/>
      <c r="N431" s="37"/>
      <c r="R431" s="37"/>
      <c r="S431" s="37"/>
      <c r="T431" s="38"/>
      <c r="V431" s="18"/>
    </row>
    <row r="432" spans="10:22" ht="15.75" customHeight="1" x14ac:dyDescent="0.25">
      <c r="J432" s="36"/>
      <c r="M432" s="37"/>
      <c r="N432" s="37"/>
      <c r="R432" s="37"/>
      <c r="S432" s="37"/>
      <c r="T432" s="38"/>
      <c r="V432" s="18"/>
    </row>
    <row r="433" spans="10:22" ht="15.75" customHeight="1" x14ac:dyDescent="0.25">
      <c r="J433" s="36"/>
      <c r="M433" s="37"/>
      <c r="N433" s="37"/>
      <c r="R433" s="37"/>
      <c r="S433" s="37"/>
      <c r="T433" s="38"/>
      <c r="V433" s="18"/>
    </row>
    <row r="434" spans="10:22" ht="15.75" customHeight="1" x14ac:dyDescent="0.25">
      <c r="J434" s="36"/>
      <c r="M434" s="37"/>
      <c r="N434" s="37"/>
      <c r="R434" s="37"/>
      <c r="S434" s="37"/>
      <c r="T434" s="38"/>
      <c r="V434" s="18"/>
    </row>
    <row r="435" spans="10:22" ht="15.75" customHeight="1" x14ac:dyDescent="0.25">
      <c r="J435" s="36"/>
      <c r="M435" s="37"/>
      <c r="N435" s="37"/>
      <c r="R435" s="37"/>
      <c r="S435" s="37"/>
      <c r="T435" s="38"/>
      <c r="V435" s="18"/>
    </row>
    <row r="436" spans="10:22" ht="15.75" customHeight="1" x14ac:dyDescent="0.25">
      <c r="J436" s="36"/>
      <c r="M436" s="37"/>
      <c r="N436" s="37"/>
      <c r="R436" s="37"/>
      <c r="S436" s="37"/>
      <c r="T436" s="38"/>
      <c r="V436" s="18"/>
    </row>
    <row r="437" spans="10:22" ht="15.75" customHeight="1" x14ac:dyDescent="0.25">
      <c r="J437" s="36"/>
      <c r="M437" s="37"/>
      <c r="N437" s="37"/>
      <c r="R437" s="37"/>
      <c r="S437" s="37"/>
      <c r="T437" s="38"/>
      <c r="V437" s="18"/>
    </row>
    <row r="438" spans="10:22" ht="15.75" customHeight="1" x14ac:dyDescent="0.25">
      <c r="J438" s="36"/>
      <c r="M438" s="37"/>
      <c r="N438" s="37"/>
      <c r="R438" s="37"/>
      <c r="S438" s="37"/>
      <c r="T438" s="38"/>
      <c r="V438" s="18"/>
    </row>
    <row r="439" spans="10:22" ht="15.75" customHeight="1" x14ac:dyDescent="0.25">
      <c r="J439" s="36"/>
      <c r="M439" s="37"/>
      <c r="N439" s="37"/>
      <c r="R439" s="37"/>
      <c r="S439" s="37"/>
      <c r="T439" s="38"/>
      <c r="V439" s="18"/>
    </row>
    <row r="440" spans="10:22" ht="15.75" customHeight="1" x14ac:dyDescent="0.25">
      <c r="J440" s="36"/>
      <c r="M440" s="37"/>
      <c r="N440" s="37"/>
      <c r="R440" s="37"/>
      <c r="S440" s="37"/>
      <c r="T440" s="38"/>
      <c r="V440" s="18"/>
    </row>
    <row r="441" spans="10:22" ht="15.75" customHeight="1" x14ac:dyDescent="0.25">
      <c r="J441" s="36"/>
      <c r="M441" s="37"/>
      <c r="N441" s="37"/>
      <c r="R441" s="37"/>
      <c r="S441" s="37"/>
      <c r="T441" s="38"/>
      <c r="V441" s="18"/>
    </row>
    <row r="442" spans="10:22" ht="15.75" customHeight="1" x14ac:dyDescent="0.25">
      <c r="J442" s="36"/>
      <c r="M442" s="37"/>
      <c r="N442" s="37"/>
      <c r="R442" s="37"/>
      <c r="S442" s="37"/>
      <c r="T442" s="38"/>
      <c r="V442" s="18"/>
    </row>
    <row r="443" spans="10:22" ht="15.75" customHeight="1" x14ac:dyDescent="0.25">
      <c r="J443" s="36"/>
      <c r="M443" s="37"/>
      <c r="N443" s="37"/>
      <c r="R443" s="37"/>
      <c r="S443" s="37"/>
      <c r="T443" s="38"/>
      <c r="V443" s="18"/>
    </row>
    <row r="444" spans="10:22" ht="15.75" customHeight="1" x14ac:dyDescent="0.25">
      <c r="J444" s="36"/>
      <c r="M444" s="37"/>
      <c r="N444" s="37"/>
      <c r="R444" s="37"/>
      <c r="S444" s="37"/>
      <c r="T444" s="38"/>
      <c r="V444" s="18"/>
    </row>
    <row r="445" spans="10:22" ht="15.75" customHeight="1" x14ac:dyDescent="0.25">
      <c r="J445" s="36"/>
      <c r="M445" s="37"/>
      <c r="N445" s="37"/>
      <c r="R445" s="37"/>
      <c r="S445" s="37"/>
      <c r="T445" s="38"/>
      <c r="V445" s="18"/>
    </row>
    <row r="446" spans="10:22" ht="15.75" customHeight="1" x14ac:dyDescent="0.25">
      <c r="J446" s="36"/>
      <c r="M446" s="37"/>
      <c r="N446" s="37"/>
      <c r="R446" s="37"/>
      <c r="S446" s="37"/>
      <c r="T446" s="38"/>
      <c r="V446" s="18"/>
    </row>
    <row r="447" spans="10:22" ht="15.75" customHeight="1" x14ac:dyDescent="0.25">
      <c r="J447" s="36"/>
      <c r="M447" s="37"/>
      <c r="N447" s="37"/>
      <c r="R447" s="37"/>
      <c r="S447" s="37"/>
      <c r="T447" s="38"/>
      <c r="V447" s="18"/>
    </row>
    <row r="448" spans="10:22" ht="15.75" customHeight="1" x14ac:dyDescent="0.25">
      <c r="J448" s="36"/>
      <c r="M448" s="37"/>
      <c r="N448" s="37"/>
      <c r="R448" s="37"/>
      <c r="S448" s="37"/>
      <c r="T448" s="38"/>
      <c r="V448" s="18"/>
    </row>
    <row r="449" spans="10:22" ht="15.75" customHeight="1" x14ac:dyDescent="0.25">
      <c r="J449" s="36"/>
      <c r="M449" s="37"/>
      <c r="N449" s="37"/>
      <c r="R449" s="37"/>
      <c r="S449" s="37"/>
      <c r="T449" s="38"/>
      <c r="V449" s="18"/>
    </row>
    <row r="450" spans="10:22" ht="15.75" customHeight="1" x14ac:dyDescent="0.25">
      <c r="J450" s="36"/>
      <c r="M450" s="37"/>
      <c r="N450" s="37"/>
      <c r="R450" s="37"/>
      <c r="S450" s="37"/>
      <c r="T450" s="38"/>
      <c r="V450" s="18"/>
    </row>
    <row r="451" spans="10:22" ht="15.75" customHeight="1" x14ac:dyDescent="0.25">
      <c r="J451" s="36"/>
      <c r="M451" s="37"/>
      <c r="N451" s="37"/>
      <c r="R451" s="37"/>
      <c r="S451" s="37"/>
      <c r="T451" s="38"/>
      <c r="V451" s="18"/>
    </row>
    <row r="452" spans="10:22" ht="15.75" customHeight="1" x14ac:dyDescent="0.25">
      <c r="J452" s="36"/>
      <c r="M452" s="37"/>
      <c r="N452" s="37"/>
      <c r="R452" s="37"/>
      <c r="S452" s="37"/>
      <c r="T452" s="38"/>
      <c r="V452" s="18"/>
    </row>
    <row r="453" spans="10:22" ht="15.75" customHeight="1" x14ac:dyDescent="0.25">
      <c r="J453" s="36"/>
      <c r="M453" s="37"/>
      <c r="N453" s="37"/>
      <c r="R453" s="37"/>
      <c r="S453" s="37"/>
      <c r="T453" s="38"/>
      <c r="V453" s="18"/>
    </row>
    <row r="454" spans="10:22" ht="15.75" customHeight="1" x14ac:dyDescent="0.25">
      <c r="J454" s="36"/>
      <c r="M454" s="37"/>
      <c r="N454" s="37"/>
      <c r="R454" s="37"/>
      <c r="S454" s="37"/>
      <c r="T454" s="38"/>
      <c r="V454" s="18"/>
    </row>
    <row r="455" spans="10:22" ht="15.75" customHeight="1" x14ac:dyDescent="0.25">
      <c r="J455" s="36"/>
      <c r="M455" s="37"/>
      <c r="N455" s="37"/>
      <c r="R455" s="37"/>
      <c r="S455" s="37"/>
      <c r="T455" s="38"/>
      <c r="V455" s="18"/>
    </row>
    <row r="456" spans="10:22" ht="15.75" customHeight="1" x14ac:dyDescent="0.25">
      <c r="J456" s="36"/>
      <c r="M456" s="37"/>
      <c r="N456" s="37"/>
      <c r="R456" s="37"/>
      <c r="S456" s="37"/>
      <c r="T456" s="38"/>
      <c r="V456" s="18"/>
    </row>
    <row r="457" spans="10:22" ht="15.75" customHeight="1" x14ac:dyDescent="0.25">
      <c r="J457" s="36"/>
      <c r="M457" s="37"/>
      <c r="N457" s="37"/>
      <c r="R457" s="37"/>
      <c r="S457" s="37"/>
      <c r="T457" s="38"/>
      <c r="V457" s="18"/>
    </row>
    <row r="458" spans="10:22" ht="15.75" customHeight="1" x14ac:dyDescent="0.25">
      <c r="J458" s="36"/>
      <c r="M458" s="37"/>
      <c r="N458" s="37"/>
      <c r="R458" s="37"/>
      <c r="S458" s="37"/>
      <c r="T458" s="38"/>
      <c r="V458" s="18"/>
    </row>
    <row r="459" spans="10:22" ht="15.75" customHeight="1" x14ac:dyDescent="0.25">
      <c r="J459" s="36"/>
      <c r="M459" s="37"/>
      <c r="N459" s="37"/>
      <c r="R459" s="37"/>
      <c r="S459" s="37"/>
      <c r="T459" s="38"/>
      <c r="V459" s="18"/>
    </row>
    <row r="460" spans="10:22" ht="15.75" customHeight="1" x14ac:dyDescent="0.25">
      <c r="J460" s="36"/>
      <c r="M460" s="37"/>
      <c r="N460" s="37"/>
      <c r="R460" s="37"/>
      <c r="S460" s="37"/>
      <c r="T460" s="38"/>
      <c r="V460" s="18"/>
    </row>
    <row r="461" spans="10:22" ht="15.75" customHeight="1" x14ac:dyDescent="0.25">
      <c r="J461" s="36"/>
      <c r="M461" s="37"/>
      <c r="N461" s="37"/>
      <c r="R461" s="37"/>
      <c r="S461" s="37"/>
      <c r="T461" s="38"/>
      <c r="V461" s="18"/>
    </row>
    <row r="462" spans="10:22" ht="15.75" customHeight="1" x14ac:dyDescent="0.25">
      <c r="J462" s="36"/>
      <c r="M462" s="37"/>
      <c r="N462" s="37"/>
      <c r="R462" s="37"/>
      <c r="S462" s="37"/>
      <c r="T462" s="38"/>
      <c r="V462" s="18"/>
    </row>
    <row r="463" spans="10:22" ht="15.75" customHeight="1" x14ac:dyDescent="0.25">
      <c r="J463" s="36"/>
      <c r="M463" s="37"/>
      <c r="N463" s="37"/>
      <c r="R463" s="37"/>
      <c r="S463" s="37"/>
      <c r="T463" s="38"/>
      <c r="V463" s="18"/>
    </row>
    <row r="464" spans="10:22" ht="15.75" customHeight="1" x14ac:dyDescent="0.25">
      <c r="J464" s="36"/>
      <c r="M464" s="37"/>
      <c r="N464" s="37"/>
      <c r="R464" s="37"/>
      <c r="S464" s="37"/>
      <c r="T464" s="38"/>
      <c r="V464" s="18"/>
    </row>
    <row r="465" spans="10:22" ht="15.75" customHeight="1" x14ac:dyDescent="0.25">
      <c r="J465" s="36"/>
      <c r="M465" s="37"/>
      <c r="N465" s="37"/>
      <c r="R465" s="37"/>
      <c r="S465" s="37"/>
      <c r="T465" s="38"/>
      <c r="V465" s="18"/>
    </row>
    <row r="466" spans="10:22" ht="15.75" customHeight="1" x14ac:dyDescent="0.25">
      <c r="J466" s="36"/>
      <c r="M466" s="37"/>
      <c r="N466" s="37"/>
      <c r="R466" s="37"/>
      <c r="S466" s="37"/>
      <c r="T466" s="38"/>
      <c r="V466" s="18"/>
    </row>
    <row r="467" spans="10:22" ht="15.75" customHeight="1" x14ac:dyDescent="0.25">
      <c r="J467" s="36"/>
      <c r="M467" s="37"/>
      <c r="N467" s="37"/>
      <c r="R467" s="37"/>
      <c r="S467" s="37"/>
      <c r="T467" s="38"/>
      <c r="V467" s="18"/>
    </row>
    <row r="468" spans="10:22" ht="15.75" customHeight="1" x14ac:dyDescent="0.25">
      <c r="J468" s="36"/>
      <c r="M468" s="37"/>
      <c r="N468" s="37"/>
      <c r="R468" s="37"/>
      <c r="S468" s="37"/>
      <c r="T468" s="38"/>
      <c r="V468" s="18"/>
    </row>
    <row r="469" spans="10:22" ht="15.75" customHeight="1" x14ac:dyDescent="0.25">
      <c r="J469" s="36"/>
      <c r="M469" s="37"/>
      <c r="N469" s="37"/>
      <c r="R469" s="37"/>
      <c r="S469" s="37"/>
      <c r="T469" s="38"/>
      <c r="V469" s="18"/>
    </row>
    <row r="470" spans="10:22" ht="15.75" customHeight="1" x14ac:dyDescent="0.25">
      <c r="J470" s="36"/>
      <c r="M470" s="37"/>
      <c r="N470" s="37"/>
      <c r="R470" s="37"/>
      <c r="S470" s="37"/>
      <c r="T470" s="38"/>
      <c r="V470" s="18"/>
    </row>
    <row r="471" spans="10:22" ht="15.75" customHeight="1" x14ac:dyDescent="0.25">
      <c r="J471" s="36"/>
      <c r="M471" s="37"/>
      <c r="N471" s="37"/>
      <c r="R471" s="37"/>
      <c r="S471" s="37"/>
      <c r="T471" s="38"/>
      <c r="V471" s="18"/>
    </row>
    <row r="472" spans="10:22" ht="15.75" customHeight="1" x14ac:dyDescent="0.25">
      <c r="J472" s="36"/>
      <c r="M472" s="37"/>
      <c r="N472" s="37"/>
      <c r="R472" s="37"/>
      <c r="S472" s="37"/>
      <c r="T472" s="38"/>
      <c r="V472" s="18"/>
    </row>
    <row r="473" spans="10:22" ht="15.75" customHeight="1" x14ac:dyDescent="0.25">
      <c r="J473" s="36"/>
      <c r="M473" s="37"/>
      <c r="N473" s="37"/>
      <c r="R473" s="37"/>
      <c r="S473" s="37"/>
      <c r="T473" s="38"/>
      <c r="V473" s="18"/>
    </row>
    <row r="474" spans="10:22" ht="15.75" customHeight="1" x14ac:dyDescent="0.25">
      <c r="J474" s="36"/>
      <c r="M474" s="37"/>
      <c r="N474" s="37"/>
      <c r="R474" s="37"/>
      <c r="S474" s="37"/>
      <c r="T474" s="38"/>
      <c r="V474" s="18"/>
    </row>
    <row r="475" spans="10:22" ht="15.75" customHeight="1" x14ac:dyDescent="0.25">
      <c r="J475" s="36"/>
      <c r="M475" s="37"/>
      <c r="N475" s="37"/>
      <c r="R475" s="37"/>
      <c r="S475" s="37"/>
      <c r="T475" s="38"/>
      <c r="V475" s="18"/>
    </row>
    <row r="476" spans="10:22" ht="15.75" customHeight="1" x14ac:dyDescent="0.25">
      <c r="J476" s="36"/>
      <c r="M476" s="37"/>
      <c r="N476" s="37"/>
      <c r="R476" s="37"/>
      <c r="S476" s="37"/>
      <c r="T476" s="38"/>
      <c r="V476" s="18"/>
    </row>
    <row r="477" spans="10:22" ht="15.75" customHeight="1" x14ac:dyDescent="0.25">
      <c r="J477" s="36"/>
      <c r="M477" s="37"/>
      <c r="N477" s="37"/>
      <c r="R477" s="37"/>
      <c r="S477" s="37"/>
      <c r="T477" s="38"/>
      <c r="V477" s="25"/>
    </row>
    <row r="478" spans="10:22" ht="15.75" customHeight="1" x14ac:dyDescent="0.25">
      <c r="J478" s="36"/>
      <c r="M478" s="37"/>
      <c r="N478" s="37"/>
      <c r="R478" s="37"/>
      <c r="S478" s="37"/>
      <c r="T478" s="38"/>
      <c r="V478" s="18"/>
    </row>
    <row r="479" spans="10:22" ht="15.75" customHeight="1" x14ac:dyDescent="0.25">
      <c r="J479" s="36"/>
      <c r="M479" s="37"/>
      <c r="N479" s="37"/>
      <c r="R479" s="37"/>
      <c r="S479" s="37"/>
      <c r="T479" s="38"/>
      <c r="V479" s="18"/>
    </row>
    <row r="480" spans="10:22" ht="15.75" customHeight="1" x14ac:dyDescent="0.25">
      <c r="J480" s="36"/>
      <c r="M480" s="37"/>
      <c r="N480" s="37"/>
      <c r="R480" s="37"/>
      <c r="S480" s="37"/>
      <c r="T480" s="38"/>
      <c r="V480" s="18"/>
    </row>
    <row r="481" spans="10:22" ht="15.75" customHeight="1" x14ac:dyDescent="0.25">
      <c r="J481" s="36"/>
      <c r="M481" s="37"/>
      <c r="N481" s="37"/>
      <c r="R481" s="37"/>
      <c r="S481" s="37"/>
      <c r="T481" s="38"/>
      <c r="V481" s="18"/>
    </row>
    <row r="482" spans="10:22" ht="15.75" customHeight="1" x14ac:dyDescent="0.25">
      <c r="J482" s="36"/>
      <c r="M482" s="37"/>
      <c r="N482" s="37"/>
      <c r="R482" s="37"/>
      <c r="S482" s="37"/>
      <c r="T482" s="38"/>
      <c r="V482" s="18"/>
    </row>
    <row r="483" spans="10:22" ht="15.75" customHeight="1" x14ac:dyDescent="0.25">
      <c r="J483" s="36"/>
      <c r="M483" s="37"/>
      <c r="N483" s="37"/>
      <c r="R483" s="37"/>
      <c r="S483" s="37"/>
      <c r="T483" s="38"/>
      <c r="V483" s="18"/>
    </row>
    <row r="484" spans="10:22" ht="15.75" customHeight="1" x14ac:dyDescent="0.25">
      <c r="J484" s="36"/>
      <c r="M484" s="37"/>
      <c r="N484" s="37"/>
      <c r="R484" s="37"/>
      <c r="S484" s="37"/>
      <c r="T484" s="38"/>
      <c r="V484" s="18"/>
    </row>
    <row r="485" spans="10:22" ht="15.75" customHeight="1" x14ac:dyDescent="0.25">
      <c r="J485" s="36"/>
      <c r="M485" s="37"/>
      <c r="N485" s="37"/>
      <c r="R485" s="37"/>
      <c r="S485" s="37"/>
      <c r="T485" s="38"/>
      <c r="V485" s="18"/>
    </row>
    <row r="486" spans="10:22" ht="15.75" customHeight="1" x14ac:dyDescent="0.25">
      <c r="J486" s="36"/>
      <c r="M486" s="37"/>
      <c r="N486" s="37"/>
      <c r="R486" s="37"/>
      <c r="S486" s="37"/>
      <c r="T486" s="38"/>
      <c r="V486" s="18"/>
    </row>
    <row r="487" spans="10:22" ht="15.75" customHeight="1" x14ac:dyDescent="0.25">
      <c r="J487" s="36"/>
      <c r="M487" s="37"/>
      <c r="N487" s="37"/>
      <c r="R487" s="37"/>
      <c r="S487" s="37"/>
      <c r="T487" s="38"/>
      <c r="V487" s="18"/>
    </row>
    <row r="488" spans="10:22" ht="15.75" customHeight="1" x14ac:dyDescent="0.25">
      <c r="J488" s="36"/>
      <c r="M488" s="37"/>
      <c r="N488" s="37"/>
      <c r="R488" s="37"/>
      <c r="S488" s="37"/>
      <c r="T488" s="38"/>
      <c r="V488" s="18"/>
    </row>
    <row r="489" spans="10:22" ht="15.75" customHeight="1" x14ac:dyDescent="0.25">
      <c r="J489" s="36"/>
      <c r="M489" s="37"/>
      <c r="N489" s="37"/>
      <c r="R489" s="37"/>
      <c r="S489" s="37"/>
      <c r="T489" s="38"/>
      <c r="V489" s="18"/>
    </row>
    <row r="490" spans="10:22" ht="15.75" customHeight="1" x14ac:dyDescent="0.25">
      <c r="J490" s="36"/>
      <c r="M490" s="37"/>
      <c r="N490" s="37"/>
      <c r="R490" s="37"/>
      <c r="S490" s="37"/>
      <c r="T490" s="38"/>
      <c r="V490" s="18"/>
    </row>
    <row r="491" spans="10:22" ht="15.75" customHeight="1" x14ac:dyDescent="0.25">
      <c r="J491" s="36"/>
      <c r="M491" s="37"/>
      <c r="N491" s="37"/>
      <c r="R491" s="37"/>
      <c r="S491" s="37"/>
      <c r="T491" s="38"/>
      <c r="V491" s="18"/>
    </row>
    <row r="492" spans="10:22" ht="15.75" customHeight="1" x14ac:dyDescent="0.25">
      <c r="J492" s="36"/>
      <c r="M492" s="37"/>
      <c r="N492" s="37"/>
      <c r="R492" s="37"/>
      <c r="S492" s="37"/>
      <c r="T492" s="38"/>
      <c r="V492" s="18"/>
    </row>
    <row r="493" spans="10:22" ht="15.75" customHeight="1" x14ac:dyDescent="0.25">
      <c r="J493" s="36"/>
      <c r="M493" s="37"/>
      <c r="N493" s="37"/>
      <c r="R493" s="37"/>
      <c r="S493" s="37"/>
      <c r="T493" s="38"/>
      <c r="V493" s="18"/>
    </row>
    <row r="494" spans="10:22" ht="15.75" customHeight="1" x14ac:dyDescent="0.25">
      <c r="J494" s="36"/>
      <c r="M494" s="37"/>
      <c r="N494" s="37"/>
      <c r="R494" s="37"/>
      <c r="S494" s="37"/>
      <c r="T494" s="38"/>
      <c r="V494" s="18"/>
    </row>
    <row r="495" spans="10:22" ht="15.75" customHeight="1" x14ac:dyDescent="0.25">
      <c r="J495" s="36"/>
      <c r="M495" s="37"/>
      <c r="N495" s="37"/>
      <c r="R495" s="37"/>
      <c r="S495" s="37"/>
      <c r="T495" s="38"/>
      <c r="V495" s="18"/>
    </row>
    <row r="496" spans="10:22" ht="15.75" customHeight="1" x14ac:dyDescent="0.25">
      <c r="J496" s="36"/>
      <c r="M496" s="37"/>
      <c r="N496" s="37"/>
      <c r="R496" s="37"/>
      <c r="S496" s="37"/>
      <c r="T496" s="38"/>
      <c r="V496" s="18"/>
    </row>
    <row r="497" spans="10:22" ht="15.75" customHeight="1" x14ac:dyDescent="0.25">
      <c r="J497" s="36"/>
      <c r="M497" s="37"/>
      <c r="N497" s="37"/>
      <c r="R497" s="37"/>
      <c r="S497" s="37"/>
      <c r="T497" s="38"/>
      <c r="V497" s="18"/>
    </row>
    <row r="498" spans="10:22" ht="15.75" customHeight="1" x14ac:dyDescent="0.25">
      <c r="J498" s="36"/>
      <c r="M498" s="37"/>
      <c r="N498" s="37"/>
      <c r="R498" s="37"/>
      <c r="S498" s="37"/>
      <c r="T498" s="38"/>
      <c r="V498" s="18"/>
    </row>
    <row r="499" spans="10:22" ht="15.75" customHeight="1" x14ac:dyDescent="0.25">
      <c r="J499" s="36"/>
      <c r="M499" s="37"/>
      <c r="N499" s="37"/>
      <c r="R499" s="37"/>
      <c r="S499" s="37"/>
      <c r="T499" s="38"/>
      <c r="V499" s="18"/>
    </row>
    <row r="500" spans="10:22" ht="15.75" customHeight="1" x14ac:dyDescent="0.25">
      <c r="J500" s="36"/>
      <c r="M500" s="37"/>
      <c r="N500" s="37"/>
      <c r="R500" s="37"/>
      <c r="S500" s="37"/>
      <c r="T500" s="38"/>
      <c r="V500" s="18"/>
    </row>
    <row r="501" spans="10:22" ht="15.75" customHeight="1" x14ac:dyDescent="0.25">
      <c r="J501" s="36"/>
      <c r="M501" s="37"/>
      <c r="N501" s="37"/>
      <c r="R501" s="37"/>
      <c r="S501" s="37"/>
      <c r="T501" s="38"/>
      <c r="V501" s="18"/>
    </row>
    <row r="502" spans="10:22" ht="15.75" customHeight="1" x14ac:dyDescent="0.25">
      <c r="J502" s="36"/>
      <c r="M502" s="37"/>
      <c r="N502" s="37"/>
      <c r="R502" s="37"/>
      <c r="S502" s="37"/>
      <c r="T502" s="38"/>
      <c r="V502" s="18"/>
    </row>
    <row r="503" spans="10:22" ht="15.75" customHeight="1" x14ac:dyDescent="0.25">
      <c r="J503" s="36"/>
      <c r="M503" s="37"/>
      <c r="N503" s="37"/>
      <c r="R503" s="37"/>
      <c r="S503" s="37"/>
      <c r="T503" s="38"/>
      <c r="V503" s="18"/>
    </row>
    <row r="504" spans="10:22" ht="15.75" customHeight="1" x14ac:dyDescent="0.25">
      <c r="J504" s="36"/>
      <c r="M504" s="37"/>
      <c r="N504" s="37"/>
      <c r="R504" s="37"/>
      <c r="S504" s="37"/>
      <c r="T504" s="38"/>
      <c r="V504" s="18"/>
    </row>
    <row r="505" spans="10:22" ht="15.75" customHeight="1" x14ac:dyDescent="0.25">
      <c r="J505" s="36"/>
      <c r="M505" s="37"/>
      <c r="N505" s="37"/>
      <c r="R505" s="37"/>
      <c r="S505" s="37"/>
      <c r="T505" s="38"/>
      <c r="V505" s="18"/>
    </row>
    <row r="506" spans="10:22" ht="15.75" customHeight="1" x14ac:dyDescent="0.25">
      <c r="J506" s="36"/>
      <c r="M506" s="37"/>
      <c r="N506" s="37"/>
      <c r="R506" s="37"/>
      <c r="S506" s="37"/>
      <c r="T506" s="38"/>
      <c r="V506" s="18"/>
    </row>
    <row r="507" spans="10:22" ht="15.75" customHeight="1" x14ac:dyDescent="0.25">
      <c r="J507" s="36"/>
      <c r="M507" s="37"/>
      <c r="N507" s="37"/>
      <c r="R507" s="37"/>
      <c r="S507" s="37"/>
      <c r="T507" s="38"/>
      <c r="V507" s="18"/>
    </row>
    <row r="508" spans="10:22" ht="15.75" customHeight="1" x14ac:dyDescent="0.25">
      <c r="J508" s="36"/>
      <c r="M508" s="37"/>
      <c r="N508" s="37"/>
      <c r="R508" s="37"/>
      <c r="S508" s="37"/>
      <c r="T508" s="38"/>
      <c r="V508" s="18"/>
    </row>
    <row r="509" spans="10:22" ht="15.75" customHeight="1" x14ac:dyDescent="0.25">
      <c r="J509" s="36"/>
      <c r="M509" s="37"/>
      <c r="N509" s="37"/>
      <c r="R509" s="37"/>
      <c r="S509" s="37"/>
      <c r="T509" s="38"/>
      <c r="V509" s="18"/>
    </row>
    <row r="510" spans="10:22" ht="15.75" customHeight="1" x14ac:dyDescent="0.25">
      <c r="J510" s="36"/>
      <c r="M510" s="37"/>
      <c r="N510" s="37"/>
      <c r="R510" s="37"/>
      <c r="S510" s="37"/>
      <c r="T510" s="38"/>
      <c r="V510" s="18"/>
    </row>
    <row r="511" spans="10:22" ht="15.75" customHeight="1" x14ac:dyDescent="0.25">
      <c r="J511" s="36"/>
      <c r="M511" s="37"/>
      <c r="N511" s="37"/>
      <c r="R511" s="37"/>
      <c r="S511" s="37"/>
      <c r="T511" s="38"/>
      <c r="V511" s="18"/>
    </row>
    <row r="512" spans="10:22" ht="15.75" customHeight="1" x14ac:dyDescent="0.25">
      <c r="J512" s="36"/>
      <c r="M512" s="37"/>
      <c r="N512" s="37"/>
      <c r="R512" s="37"/>
      <c r="S512" s="37"/>
      <c r="T512" s="38"/>
      <c r="V512" s="18"/>
    </row>
    <row r="513" spans="10:22" ht="15.75" customHeight="1" x14ac:dyDescent="0.25">
      <c r="J513" s="36"/>
      <c r="M513" s="37"/>
      <c r="N513" s="37"/>
      <c r="R513" s="37"/>
      <c r="S513" s="37"/>
      <c r="T513" s="38"/>
      <c r="V513" s="18"/>
    </row>
    <row r="514" spans="10:22" ht="15.75" customHeight="1" x14ac:dyDescent="0.25">
      <c r="J514" s="36"/>
      <c r="M514" s="37"/>
      <c r="N514" s="37"/>
      <c r="R514" s="37"/>
      <c r="S514" s="37"/>
      <c r="T514" s="38"/>
      <c r="V514" s="18"/>
    </row>
    <row r="515" spans="10:22" ht="15.75" customHeight="1" x14ac:dyDescent="0.25">
      <c r="J515" s="36"/>
      <c r="M515" s="37"/>
      <c r="N515" s="37"/>
      <c r="R515" s="37"/>
      <c r="S515" s="37"/>
      <c r="T515" s="38"/>
      <c r="V515" s="18"/>
    </row>
    <row r="516" spans="10:22" ht="15.75" customHeight="1" x14ac:dyDescent="0.25">
      <c r="J516" s="36"/>
      <c r="M516" s="37"/>
      <c r="N516" s="37"/>
      <c r="R516" s="37"/>
      <c r="S516" s="37"/>
      <c r="T516" s="38"/>
      <c r="V516" s="18"/>
    </row>
    <row r="517" spans="10:22" ht="15.75" customHeight="1" x14ac:dyDescent="0.25">
      <c r="J517" s="36"/>
      <c r="M517" s="37"/>
      <c r="N517" s="37"/>
      <c r="R517" s="37"/>
      <c r="S517" s="37"/>
      <c r="T517" s="38"/>
      <c r="V517" s="18"/>
    </row>
    <row r="518" spans="10:22" ht="15.75" customHeight="1" x14ac:dyDescent="0.25">
      <c r="J518" s="36"/>
      <c r="M518" s="37"/>
      <c r="N518" s="37"/>
      <c r="R518" s="37"/>
      <c r="S518" s="37"/>
      <c r="T518" s="38"/>
      <c r="V518" s="18"/>
    </row>
    <row r="519" spans="10:22" ht="15.75" customHeight="1" x14ac:dyDescent="0.25">
      <c r="J519" s="36"/>
      <c r="M519" s="37"/>
      <c r="N519" s="37"/>
      <c r="R519" s="37"/>
      <c r="S519" s="37"/>
      <c r="T519" s="38"/>
      <c r="V519" s="18"/>
    </row>
    <row r="520" spans="10:22" ht="15.75" customHeight="1" x14ac:dyDescent="0.25">
      <c r="J520" s="36"/>
      <c r="M520" s="37"/>
      <c r="N520" s="37"/>
      <c r="R520" s="37"/>
      <c r="S520" s="37"/>
      <c r="T520" s="38"/>
      <c r="V520" s="18"/>
    </row>
    <row r="521" spans="10:22" ht="15.75" customHeight="1" x14ac:dyDescent="0.25">
      <c r="J521" s="36"/>
      <c r="M521" s="37"/>
      <c r="N521" s="37"/>
      <c r="R521" s="37"/>
      <c r="S521" s="37"/>
      <c r="T521" s="38"/>
      <c r="V521" s="18"/>
    </row>
    <row r="522" spans="10:22" ht="15.75" customHeight="1" x14ac:dyDescent="0.25">
      <c r="J522" s="36"/>
      <c r="M522" s="37"/>
      <c r="N522" s="37"/>
      <c r="R522" s="37"/>
      <c r="S522" s="37"/>
      <c r="T522" s="38"/>
      <c r="V522" s="18"/>
    </row>
    <row r="523" spans="10:22" ht="15.75" customHeight="1" x14ac:dyDescent="0.25">
      <c r="J523" s="36"/>
      <c r="M523" s="37"/>
      <c r="N523" s="37"/>
      <c r="R523" s="37"/>
      <c r="S523" s="37"/>
      <c r="T523" s="38"/>
      <c r="V523" s="18"/>
    </row>
    <row r="524" spans="10:22" ht="15.75" customHeight="1" x14ac:dyDescent="0.25">
      <c r="J524" s="36"/>
      <c r="M524" s="37"/>
      <c r="N524" s="37"/>
      <c r="R524" s="37"/>
      <c r="S524" s="37"/>
      <c r="T524" s="38"/>
      <c r="V524" s="18"/>
    </row>
    <row r="525" spans="10:22" ht="15.75" customHeight="1" x14ac:dyDescent="0.25">
      <c r="J525" s="36"/>
      <c r="M525" s="37"/>
      <c r="N525" s="37"/>
      <c r="R525" s="37"/>
      <c r="S525" s="37"/>
      <c r="T525" s="38"/>
      <c r="V525" s="18"/>
    </row>
    <row r="526" spans="10:22" ht="15.75" customHeight="1" x14ac:dyDescent="0.25">
      <c r="J526" s="36"/>
      <c r="M526" s="37"/>
      <c r="N526" s="37"/>
      <c r="R526" s="37"/>
      <c r="S526" s="37"/>
      <c r="T526" s="38"/>
      <c r="V526" s="18"/>
    </row>
    <row r="527" spans="10:22" ht="15.75" customHeight="1" x14ac:dyDescent="0.25">
      <c r="J527" s="36"/>
      <c r="M527" s="37"/>
      <c r="N527" s="37"/>
      <c r="R527" s="37"/>
      <c r="S527" s="37"/>
      <c r="T527" s="38"/>
      <c r="V527" s="18"/>
    </row>
    <row r="528" spans="10:22" ht="15.75" customHeight="1" x14ac:dyDescent="0.25">
      <c r="J528" s="36"/>
      <c r="M528" s="37"/>
      <c r="N528" s="37"/>
      <c r="R528" s="37"/>
      <c r="S528" s="37"/>
      <c r="T528" s="38"/>
      <c r="V528" s="18"/>
    </row>
    <row r="529" spans="10:22" ht="15.75" customHeight="1" x14ac:dyDescent="0.25">
      <c r="J529" s="36"/>
      <c r="M529" s="37"/>
      <c r="N529" s="37"/>
      <c r="R529" s="37"/>
      <c r="S529" s="37"/>
      <c r="T529" s="38"/>
      <c r="V529" s="18"/>
    </row>
    <row r="530" spans="10:22" ht="15.75" customHeight="1" x14ac:dyDescent="0.25">
      <c r="J530" s="36"/>
      <c r="M530" s="37"/>
      <c r="N530" s="37"/>
      <c r="R530" s="37"/>
      <c r="S530" s="37"/>
      <c r="T530" s="38"/>
      <c r="V530" s="18"/>
    </row>
    <row r="531" spans="10:22" ht="15.75" customHeight="1" x14ac:dyDescent="0.25">
      <c r="J531" s="36"/>
      <c r="M531" s="37"/>
      <c r="N531" s="37"/>
      <c r="R531" s="37"/>
      <c r="S531" s="37"/>
      <c r="T531" s="38"/>
      <c r="V531" s="18"/>
    </row>
    <row r="532" spans="10:22" ht="15.75" customHeight="1" x14ac:dyDescent="0.25">
      <c r="J532" s="36"/>
      <c r="M532" s="37"/>
      <c r="N532" s="37"/>
      <c r="R532" s="37"/>
      <c r="S532" s="37"/>
      <c r="T532" s="38"/>
      <c r="V532" s="18"/>
    </row>
    <row r="533" spans="10:22" ht="15.75" customHeight="1" x14ac:dyDescent="0.25">
      <c r="J533" s="36"/>
      <c r="M533" s="37"/>
      <c r="N533" s="37"/>
      <c r="R533" s="37"/>
      <c r="S533" s="37"/>
      <c r="T533" s="38"/>
      <c r="V533" s="18"/>
    </row>
    <row r="534" spans="10:22" ht="15.75" customHeight="1" x14ac:dyDescent="0.25">
      <c r="J534" s="36"/>
      <c r="M534" s="37"/>
      <c r="N534" s="37"/>
      <c r="R534" s="37"/>
      <c r="S534" s="37"/>
      <c r="T534" s="38"/>
      <c r="V534" s="18"/>
    </row>
    <row r="535" spans="10:22" ht="15.75" customHeight="1" x14ac:dyDescent="0.25">
      <c r="J535" s="36"/>
      <c r="M535" s="37"/>
      <c r="N535" s="37"/>
      <c r="R535" s="37"/>
      <c r="S535" s="37"/>
      <c r="T535" s="38"/>
      <c r="V535" s="18"/>
    </row>
    <row r="536" spans="10:22" ht="15.75" customHeight="1" x14ac:dyDescent="0.25">
      <c r="J536" s="36"/>
      <c r="M536" s="37"/>
      <c r="N536" s="37"/>
      <c r="R536" s="37"/>
      <c r="S536" s="37"/>
      <c r="T536" s="38"/>
      <c r="V536" s="18"/>
    </row>
    <row r="537" spans="10:22" ht="15.75" customHeight="1" x14ac:dyDescent="0.25">
      <c r="J537" s="36"/>
      <c r="M537" s="37"/>
      <c r="N537" s="37"/>
      <c r="R537" s="37"/>
      <c r="S537" s="37"/>
      <c r="T537" s="38"/>
      <c r="V537" s="18"/>
    </row>
    <row r="538" spans="10:22" ht="15.75" customHeight="1" x14ac:dyDescent="0.25">
      <c r="J538" s="36"/>
      <c r="M538" s="37"/>
      <c r="N538" s="37"/>
      <c r="R538" s="37"/>
      <c r="S538" s="37"/>
      <c r="T538" s="38"/>
      <c r="V538" s="18"/>
    </row>
    <row r="539" spans="10:22" ht="15.75" customHeight="1" x14ac:dyDescent="0.25">
      <c r="J539" s="36"/>
      <c r="M539" s="37"/>
      <c r="N539" s="37"/>
      <c r="R539" s="37"/>
      <c r="S539" s="37"/>
      <c r="T539" s="38"/>
      <c r="V539" s="18"/>
    </row>
    <row r="540" spans="10:22" ht="15.75" customHeight="1" x14ac:dyDescent="0.25">
      <c r="J540" s="36"/>
      <c r="M540" s="37"/>
      <c r="N540" s="37"/>
      <c r="R540" s="37"/>
      <c r="S540" s="37"/>
      <c r="T540" s="38"/>
      <c r="V540" s="18"/>
    </row>
    <row r="541" spans="10:22" ht="15.75" customHeight="1" x14ac:dyDescent="0.25">
      <c r="J541" s="36"/>
      <c r="M541" s="37"/>
      <c r="N541" s="37"/>
      <c r="R541" s="37"/>
      <c r="S541" s="37"/>
      <c r="T541" s="38"/>
      <c r="V541" s="18"/>
    </row>
    <row r="542" spans="10:22" ht="15.75" customHeight="1" x14ac:dyDescent="0.25">
      <c r="J542" s="36"/>
      <c r="M542" s="37"/>
      <c r="N542" s="37"/>
      <c r="R542" s="37"/>
      <c r="S542" s="37"/>
      <c r="T542" s="38"/>
      <c r="V542" s="18"/>
    </row>
    <row r="543" spans="10:22" ht="15.75" customHeight="1" x14ac:dyDescent="0.25">
      <c r="J543" s="36"/>
      <c r="M543" s="37"/>
      <c r="N543" s="37"/>
      <c r="R543" s="37"/>
      <c r="S543" s="37"/>
      <c r="T543" s="38"/>
      <c r="V543" s="18"/>
    </row>
    <row r="544" spans="10:22" ht="15.75" customHeight="1" x14ac:dyDescent="0.25">
      <c r="J544" s="36"/>
      <c r="M544" s="37"/>
      <c r="N544" s="37"/>
      <c r="R544" s="37"/>
      <c r="S544" s="37"/>
      <c r="T544" s="38"/>
      <c r="V544" s="18"/>
    </row>
    <row r="545" spans="10:22" ht="15.75" customHeight="1" x14ac:dyDescent="0.25">
      <c r="J545" s="36"/>
      <c r="M545" s="37"/>
      <c r="N545" s="37"/>
      <c r="R545" s="37"/>
      <c r="S545" s="37"/>
      <c r="T545" s="38"/>
      <c r="V545" s="18"/>
    </row>
    <row r="546" spans="10:22" ht="15.75" customHeight="1" x14ac:dyDescent="0.25">
      <c r="J546" s="36"/>
      <c r="M546" s="37"/>
      <c r="N546" s="37"/>
      <c r="R546" s="37"/>
      <c r="S546" s="37"/>
      <c r="T546" s="38"/>
      <c r="V546" s="18"/>
    </row>
    <row r="547" spans="10:22" ht="15.75" customHeight="1" x14ac:dyDescent="0.25">
      <c r="J547" s="36"/>
      <c r="M547" s="37"/>
      <c r="N547" s="37"/>
      <c r="R547" s="37"/>
      <c r="S547" s="37"/>
      <c r="T547" s="38"/>
      <c r="V547" s="18"/>
    </row>
    <row r="548" spans="10:22" ht="15.75" customHeight="1" x14ac:dyDescent="0.25">
      <c r="J548" s="36"/>
      <c r="M548" s="37"/>
      <c r="N548" s="37"/>
      <c r="R548" s="37"/>
      <c r="S548" s="37"/>
      <c r="T548" s="38"/>
      <c r="V548" s="18"/>
    </row>
    <row r="549" spans="10:22" ht="15.75" customHeight="1" x14ac:dyDescent="0.25">
      <c r="J549" s="36"/>
      <c r="M549" s="37"/>
      <c r="N549" s="37"/>
      <c r="R549" s="37"/>
      <c r="S549" s="37"/>
      <c r="T549" s="38"/>
      <c r="V549" s="18"/>
    </row>
    <row r="550" spans="10:22" ht="15.75" customHeight="1" x14ac:dyDescent="0.25">
      <c r="J550" s="36"/>
      <c r="M550" s="37"/>
      <c r="N550" s="37"/>
      <c r="R550" s="37"/>
      <c r="S550" s="37"/>
      <c r="T550" s="38"/>
      <c r="V550" s="18"/>
    </row>
    <row r="551" spans="10:22" ht="15.75" customHeight="1" x14ac:dyDescent="0.25">
      <c r="J551" s="36"/>
      <c r="M551" s="37"/>
      <c r="N551" s="37"/>
      <c r="R551" s="37"/>
      <c r="S551" s="37"/>
      <c r="T551" s="38"/>
      <c r="V551" s="18"/>
    </row>
    <row r="552" spans="10:22" ht="15.75" customHeight="1" x14ac:dyDescent="0.25">
      <c r="J552" s="36"/>
      <c r="M552" s="37"/>
      <c r="N552" s="37"/>
      <c r="R552" s="37"/>
      <c r="S552" s="37"/>
      <c r="T552" s="38"/>
      <c r="V552" s="18"/>
    </row>
    <row r="553" spans="10:22" ht="15.75" customHeight="1" x14ac:dyDescent="0.25">
      <c r="J553" s="36"/>
      <c r="M553" s="37"/>
      <c r="N553" s="37"/>
      <c r="R553" s="37"/>
      <c r="S553" s="37"/>
      <c r="T553" s="38"/>
      <c r="V553" s="18"/>
    </row>
    <row r="554" spans="10:22" ht="15.75" customHeight="1" x14ac:dyDescent="0.25">
      <c r="J554" s="36"/>
      <c r="M554" s="37"/>
      <c r="N554" s="37"/>
      <c r="R554" s="37"/>
      <c r="S554" s="37"/>
      <c r="T554" s="38"/>
      <c r="V554" s="18"/>
    </row>
    <row r="555" spans="10:22" ht="15.75" customHeight="1" x14ac:dyDescent="0.25">
      <c r="J555" s="36"/>
      <c r="M555" s="37"/>
      <c r="N555" s="37"/>
      <c r="R555" s="37"/>
      <c r="S555" s="37"/>
      <c r="T555" s="38"/>
      <c r="V555" s="18"/>
    </row>
    <row r="556" spans="10:22" ht="15.75" customHeight="1" x14ac:dyDescent="0.25">
      <c r="J556" s="36"/>
      <c r="M556" s="37"/>
      <c r="N556" s="37"/>
      <c r="R556" s="37"/>
      <c r="S556" s="37"/>
      <c r="T556" s="38"/>
      <c r="V556" s="18"/>
    </row>
    <row r="557" spans="10:22" ht="15.75" customHeight="1" x14ac:dyDescent="0.25">
      <c r="J557" s="36"/>
      <c r="M557" s="37"/>
      <c r="N557" s="37"/>
      <c r="R557" s="37"/>
      <c r="S557" s="37"/>
      <c r="T557" s="38"/>
      <c r="V557" s="18"/>
    </row>
    <row r="558" spans="10:22" ht="15.75" customHeight="1" x14ac:dyDescent="0.25">
      <c r="J558" s="36"/>
      <c r="M558" s="37"/>
      <c r="N558" s="37"/>
      <c r="R558" s="37"/>
      <c r="S558" s="37"/>
      <c r="T558" s="38"/>
      <c r="V558" s="18"/>
    </row>
    <row r="559" spans="10:22" ht="15.75" customHeight="1" x14ac:dyDescent="0.25">
      <c r="J559" s="36"/>
      <c r="M559" s="37"/>
      <c r="N559" s="37"/>
      <c r="R559" s="37"/>
      <c r="S559" s="37"/>
      <c r="T559" s="38"/>
      <c r="V559" s="18"/>
    </row>
    <row r="560" spans="10:22" ht="15.75" customHeight="1" x14ac:dyDescent="0.25">
      <c r="J560" s="36"/>
      <c r="M560" s="37"/>
      <c r="N560" s="37"/>
      <c r="R560" s="37"/>
      <c r="S560" s="37"/>
      <c r="T560" s="38"/>
      <c r="V560" s="18"/>
    </row>
    <row r="561" spans="10:22" ht="15.75" customHeight="1" x14ac:dyDescent="0.25">
      <c r="J561" s="36"/>
      <c r="M561" s="37"/>
      <c r="N561" s="37"/>
      <c r="R561" s="37"/>
      <c r="S561" s="37"/>
      <c r="T561" s="38"/>
      <c r="V561" s="18"/>
    </row>
    <row r="562" spans="10:22" ht="15.75" customHeight="1" x14ac:dyDescent="0.25">
      <c r="J562" s="36"/>
      <c r="M562" s="37"/>
      <c r="N562" s="37"/>
      <c r="R562" s="37"/>
      <c r="S562" s="37"/>
      <c r="T562" s="38"/>
      <c r="V562" s="18"/>
    </row>
    <row r="563" spans="10:22" ht="15.75" customHeight="1" x14ac:dyDescent="0.25">
      <c r="J563" s="36"/>
      <c r="M563" s="37"/>
      <c r="N563" s="37"/>
      <c r="R563" s="37"/>
      <c r="S563" s="37"/>
      <c r="T563" s="38"/>
      <c r="V563" s="18"/>
    </row>
    <row r="564" spans="10:22" ht="15.75" customHeight="1" x14ac:dyDescent="0.25">
      <c r="J564" s="36"/>
      <c r="M564" s="37"/>
      <c r="N564" s="37"/>
      <c r="R564" s="37"/>
      <c r="S564" s="37"/>
      <c r="T564" s="38"/>
      <c r="V564" s="18"/>
    </row>
    <row r="565" spans="10:22" ht="15.75" customHeight="1" x14ac:dyDescent="0.25">
      <c r="J565" s="36"/>
      <c r="M565" s="37"/>
      <c r="N565" s="37"/>
      <c r="R565" s="37"/>
      <c r="S565" s="37"/>
      <c r="T565" s="38"/>
      <c r="V565" s="18"/>
    </row>
    <row r="566" spans="10:22" ht="15.75" customHeight="1" x14ac:dyDescent="0.25">
      <c r="J566" s="36"/>
      <c r="M566" s="37"/>
      <c r="N566" s="37"/>
      <c r="R566" s="37"/>
      <c r="S566" s="37"/>
      <c r="T566" s="38"/>
      <c r="V566" s="18"/>
    </row>
    <row r="567" spans="10:22" ht="15.75" customHeight="1" x14ac:dyDescent="0.25">
      <c r="J567" s="36"/>
      <c r="M567" s="37"/>
      <c r="N567" s="37"/>
      <c r="R567" s="37"/>
      <c r="S567" s="37"/>
      <c r="T567" s="38"/>
      <c r="V567" s="18"/>
    </row>
    <row r="568" spans="10:22" ht="15.75" customHeight="1" x14ac:dyDescent="0.25">
      <c r="J568" s="36"/>
      <c r="M568" s="37"/>
      <c r="N568" s="37"/>
      <c r="R568" s="37"/>
      <c r="S568" s="37"/>
      <c r="T568" s="38"/>
      <c r="V568" s="18"/>
    </row>
    <row r="569" spans="10:22" ht="15.75" customHeight="1" x14ac:dyDescent="0.25">
      <c r="J569" s="36"/>
      <c r="M569" s="37"/>
      <c r="N569" s="37"/>
      <c r="R569" s="37"/>
      <c r="S569" s="37"/>
      <c r="T569" s="38"/>
      <c r="V569" s="18"/>
    </row>
    <row r="570" spans="10:22" ht="15.75" customHeight="1" x14ac:dyDescent="0.25">
      <c r="J570" s="36"/>
      <c r="M570" s="37"/>
      <c r="N570" s="37"/>
      <c r="R570" s="37"/>
      <c r="S570" s="37"/>
      <c r="T570" s="38"/>
      <c r="V570" s="18"/>
    </row>
    <row r="571" spans="10:22" ht="15.75" customHeight="1" x14ac:dyDescent="0.25">
      <c r="J571" s="36"/>
      <c r="M571" s="37"/>
      <c r="N571" s="37"/>
      <c r="R571" s="37"/>
      <c r="S571" s="37"/>
      <c r="T571" s="38"/>
      <c r="V571" s="18"/>
    </row>
    <row r="572" spans="10:22" ht="15.75" customHeight="1" x14ac:dyDescent="0.25">
      <c r="J572" s="36"/>
      <c r="M572" s="37"/>
      <c r="N572" s="37"/>
      <c r="R572" s="37"/>
      <c r="S572" s="37"/>
      <c r="T572" s="38"/>
      <c r="V572" s="18"/>
    </row>
    <row r="573" spans="10:22" ht="15.75" customHeight="1" x14ac:dyDescent="0.25">
      <c r="J573" s="36"/>
      <c r="M573" s="37"/>
      <c r="N573" s="37"/>
      <c r="R573" s="37"/>
      <c r="S573" s="37"/>
      <c r="T573" s="38"/>
      <c r="V573" s="18"/>
    </row>
    <row r="574" spans="10:22" ht="15.75" customHeight="1" x14ac:dyDescent="0.25">
      <c r="J574" s="36"/>
      <c r="M574" s="37"/>
      <c r="N574" s="37"/>
      <c r="R574" s="37"/>
      <c r="S574" s="37"/>
      <c r="T574" s="38"/>
      <c r="V574" s="18"/>
    </row>
    <row r="575" spans="10:22" ht="15.75" customHeight="1" x14ac:dyDescent="0.25">
      <c r="J575" s="36"/>
      <c r="M575" s="37"/>
      <c r="N575" s="37"/>
      <c r="R575" s="37"/>
      <c r="S575" s="37"/>
      <c r="T575" s="38"/>
      <c r="V575" s="18"/>
    </row>
    <row r="576" spans="10:22" ht="15.75" customHeight="1" x14ac:dyDescent="0.25">
      <c r="J576" s="36"/>
      <c r="M576" s="37"/>
      <c r="N576" s="37"/>
      <c r="R576" s="37"/>
      <c r="S576" s="37"/>
      <c r="T576" s="38"/>
      <c r="V576" s="18"/>
    </row>
    <row r="577" spans="10:22" ht="15.75" customHeight="1" x14ac:dyDescent="0.25">
      <c r="J577" s="36"/>
      <c r="M577" s="37"/>
      <c r="N577" s="37"/>
      <c r="R577" s="37"/>
      <c r="S577" s="37"/>
      <c r="T577" s="38"/>
      <c r="V577" s="18"/>
    </row>
    <row r="578" spans="10:22" ht="15.75" customHeight="1" x14ac:dyDescent="0.25">
      <c r="J578" s="36"/>
      <c r="M578" s="37"/>
      <c r="N578" s="37"/>
      <c r="R578" s="37"/>
      <c r="S578" s="37"/>
      <c r="T578" s="38"/>
      <c r="V578" s="18"/>
    </row>
    <row r="579" spans="10:22" ht="15.75" customHeight="1" x14ac:dyDescent="0.25">
      <c r="J579" s="36"/>
      <c r="M579" s="37"/>
      <c r="N579" s="37"/>
      <c r="R579" s="37"/>
      <c r="S579" s="37"/>
      <c r="T579" s="38"/>
      <c r="V579" s="18"/>
    </row>
    <row r="580" spans="10:22" ht="15.75" customHeight="1" x14ac:dyDescent="0.25">
      <c r="J580" s="36"/>
      <c r="M580" s="37"/>
      <c r="N580" s="37"/>
      <c r="R580" s="37"/>
      <c r="S580" s="37"/>
      <c r="T580" s="38"/>
      <c r="V580" s="18"/>
    </row>
    <row r="581" spans="10:22" ht="15.75" customHeight="1" x14ac:dyDescent="0.25">
      <c r="J581" s="36"/>
      <c r="M581" s="37"/>
      <c r="N581" s="37"/>
      <c r="R581" s="37"/>
      <c r="S581" s="37"/>
      <c r="T581" s="38"/>
      <c r="V581" s="18"/>
    </row>
    <row r="582" spans="10:22" ht="15.75" customHeight="1" x14ac:dyDescent="0.25">
      <c r="J582" s="36"/>
      <c r="M582" s="37"/>
      <c r="N582" s="37"/>
      <c r="R582" s="37"/>
      <c r="S582" s="37"/>
      <c r="T582" s="38"/>
      <c r="V582" s="18"/>
    </row>
    <row r="583" spans="10:22" ht="15.75" customHeight="1" x14ac:dyDescent="0.25">
      <c r="J583" s="36"/>
      <c r="M583" s="37"/>
      <c r="N583" s="37"/>
      <c r="R583" s="37"/>
      <c r="S583" s="37"/>
      <c r="T583" s="38"/>
      <c r="V583" s="18"/>
    </row>
    <row r="584" spans="10:22" ht="15.75" customHeight="1" x14ac:dyDescent="0.25">
      <c r="J584" s="36"/>
      <c r="M584" s="37"/>
      <c r="N584" s="37"/>
      <c r="R584" s="37"/>
      <c r="S584" s="37"/>
      <c r="T584" s="38"/>
      <c r="V584" s="18"/>
    </row>
    <row r="585" spans="10:22" ht="15.75" customHeight="1" x14ac:dyDescent="0.25">
      <c r="J585" s="36"/>
      <c r="M585" s="37"/>
      <c r="N585" s="37"/>
      <c r="R585" s="37"/>
      <c r="S585" s="37"/>
      <c r="T585" s="38"/>
      <c r="V585" s="18"/>
    </row>
    <row r="586" spans="10:22" ht="15.75" customHeight="1" x14ac:dyDescent="0.25">
      <c r="J586" s="36"/>
      <c r="M586" s="37"/>
      <c r="N586" s="37"/>
      <c r="R586" s="37"/>
      <c r="S586" s="37"/>
      <c r="T586" s="38"/>
      <c r="V586" s="18"/>
    </row>
    <row r="587" spans="10:22" ht="15.75" customHeight="1" x14ac:dyDescent="0.25">
      <c r="J587" s="36"/>
      <c r="M587" s="37"/>
      <c r="N587" s="37"/>
      <c r="R587" s="37"/>
      <c r="S587" s="37"/>
      <c r="T587" s="38"/>
      <c r="V587" s="18"/>
    </row>
    <row r="588" spans="10:22" ht="15.75" customHeight="1" x14ac:dyDescent="0.25">
      <c r="J588" s="36"/>
      <c r="M588" s="37"/>
      <c r="N588" s="37"/>
      <c r="R588" s="37"/>
      <c r="S588" s="37"/>
      <c r="T588" s="38"/>
      <c r="V588" s="18"/>
    </row>
    <row r="589" spans="10:22" ht="15.75" customHeight="1" x14ac:dyDescent="0.25">
      <c r="J589" s="36"/>
      <c r="M589" s="37"/>
      <c r="N589" s="37"/>
      <c r="R589" s="37"/>
      <c r="S589" s="37"/>
      <c r="T589" s="38"/>
      <c r="V589" s="18"/>
    </row>
    <row r="590" spans="10:22" ht="15.75" customHeight="1" x14ac:dyDescent="0.25">
      <c r="J590" s="36"/>
      <c r="M590" s="37"/>
      <c r="N590" s="37"/>
      <c r="R590" s="37"/>
      <c r="S590" s="37"/>
      <c r="T590" s="38"/>
      <c r="V590" s="18"/>
    </row>
    <row r="591" spans="10:22" ht="15.75" customHeight="1" x14ac:dyDescent="0.25">
      <c r="J591" s="36"/>
      <c r="M591" s="37"/>
      <c r="N591" s="37"/>
      <c r="R591" s="37"/>
      <c r="S591" s="37"/>
      <c r="T591" s="38"/>
      <c r="V591" s="18"/>
    </row>
    <row r="592" spans="10:22" ht="15.75" customHeight="1" x14ac:dyDescent="0.25">
      <c r="J592" s="36"/>
      <c r="M592" s="37"/>
      <c r="N592" s="37"/>
      <c r="R592" s="37"/>
      <c r="S592" s="37"/>
      <c r="T592" s="38"/>
      <c r="V592" s="18"/>
    </row>
    <row r="593" spans="10:22" ht="15.75" customHeight="1" x14ac:dyDescent="0.25">
      <c r="J593" s="36"/>
      <c r="M593" s="37"/>
      <c r="N593" s="37"/>
      <c r="R593" s="37"/>
      <c r="S593" s="37"/>
      <c r="T593" s="38"/>
      <c r="V593" s="18"/>
    </row>
    <row r="594" spans="10:22" ht="15.75" customHeight="1" x14ac:dyDescent="0.25">
      <c r="J594" s="36"/>
      <c r="M594" s="37"/>
      <c r="N594" s="37"/>
      <c r="R594" s="37"/>
      <c r="S594" s="37"/>
      <c r="T594" s="38"/>
      <c r="V594" s="18"/>
    </row>
    <row r="595" spans="10:22" ht="15.75" customHeight="1" x14ac:dyDescent="0.25">
      <c r="J595" s="36"/>
      <c r="M595" s="37"/>
      <c r="N595" s="37"/>
      <c r="R595" s="37"/>
      <c r="S595" s="37"/>
      <c r="T595" s="38"/>
      <c r="V595" s="18"/>
    </row>
    <row r="596" spans="10:22" ht="15.75" customHeight="1" x14ac:dyDescent="0.25">
      <c r="J596" s="36"/>
      <c r="M596" s="37"/>
      <c r="N596" s="37"/>
      <c r="R596" s="37"/>
      <c r="S596" s="37"/>
      <c r="T596" s="38"/>
      <c r="V596" s="18"/>
    </row>
    <row r="597" spans="10:22" ht="15.75" customHeight="1" x14ac:dyDescent="0.25">
      <c r="J597" s="36"/>
      <c r="M597" s="37"/>
      <c r="N597" s="37"/>
      <c r="R597" s="37"/>
      <c r="S597" s="37"/>
      <c r="T597" s="38"/>
      <c r="V597" s="18"/>
    </row>
    <row r="598" spans="10:22" ht="15.75" customHeight="1" x14ac:dyDescent="0.25">
      <c r="J598" s="36"/>
      <c r="M598" s="37"/>
      <c r="N598" s="37"/>
      <c r="R598" s="37"/>
      <c r="S598" s="37"/>
      <c r="T598" s="38"/>
      <c r="V598" s="18"/>
    </row>
    <row r="599" spans="10:22" ht="15.75" customHeight="1" x14ac:dyDescent="0.25">
      <c r="J599" s="36"/>
      <c r="M599" s="37"/>
      <c r="N599" s="37"/>
      <c r="R599" s="37"/>
      <c r="S599" s="37"/>
      <c r="T599" s="38"/>
      <c r="V599" s="18"/>
    </row>
    <row r="600" spans="10:22" ht="15.75" customHeight="1" x14ac:dyDescent="0.25">
      <c r="J600" s="36"/>
      <c r="M600" s="37"/>
      <c r="N600" s="37"/>
      <c r="R600" s="37"/>
      <c r="S600" s="37"/>
      <c r="T600" s="38"/>
      <c r="V600" s="18"/>
    </row>
    <row r="601" spans="10:22" ht="15.75" customHeight="1" x14ac:dyDescent="0.25">
      <c r="J601" s="36"/>
      <c r="M601" s="37"/>
      <c r="N601" s="37"/>
      <c r="R601" s="37"/>
      <c r="S601" s="37"/>
      <c r="T601" s="38"/>
      <c r="V601" s="18"/>
    </row>
    <row r="602" spans="10:22" ht="15.75" customHeight="1" x14ac:dyDescent="0.25">
      <c r="J602" s="36"/>
      <c r="M602" s="37"/>
      <c r="N602" s="37"/>
      <c r="R602" s="37"/>
      <c r="S602" s="37"/>
      <c r="T602" s="38"/>
      <c r="V602" s="18"/>
    </row>
    <row r="603" spans="10:22" ht="15.75" customHeight="1" x14ac:dyDescent="0.25">
      <c r="J603" s="36"/>
      <c r="M603" s="37"/>
      <c r="N603" s="37"/>
      <c r="R603" s="37"/>
      <c r="S603" s="37"/>
      <c r="T603" s="38"/>
      <c r="V603" s="18"/>
    </row>
    <row r="604" spans="10:22" ht="15.75" customHeight="1" x14ac:dyDescent="0.25">
      <c r="J604" s="36"/>
      <c r="M604" s="37"/>
      <c r="N604" s="37"/>
      <c r="R604" s="37"/>
      <c r="S604" s="37"/>
      <c r="T604" s="38"/>
      <c r="V604" s="18"/>
    </row>
    <row r="605" spans="10:22" ht="15.75" customHeight="1" x14ac:dyDescent="0.25">
      <c r="J605" s="36"/>
      <c r="M605" s="37"/>
      <c r="N605" s="37"/>
      <c r="R605" s="37"/>
      <c r="S605" s="37"/>
      <c r="T605" s="38"/>
      <c r="V605" s="18"/>
    </row>
    <row r="606" spans="10:22" ht="15.75" customHeight="1" x14ac:dyDescent="0.25">
      <c r="J606" s="36"/>
      <c r="M606" s="37"/>
      <c r="N606" s="37"/>
      <c r="R606" s="37"/>
      <c r="S606" s="37"/>
      <c r="T606" s="38"/>
      <c r="V606" s="18"/>
    </row>
    <row r="607" spans="10:22" ht="15.75" customHeight="1" x14ac:dyDescent="0.25">
      <c r="J607" s="36"/>
      <c r="M607" s="37"/>
      <c r="N607" s="37"/>
      <c r="R607" s="37"/>
      <c r="S607" s="37"/>
      <c r="T607" s="38"/>
      <c r="V607" s="18"/>
    </row>
    <row r="608" spans="10:22" ht="15.75" customHeight="1" x14ac:dyDescent="0.25">
      <c r="J608" s="36"/>
      <c r="M608" s="37"/>
      <c r="N608" s="37"/>
      <c r="R608" s="37"/>
      <c r="S608" s="37"/>
      <c r="T608" s="38"/>
      <c r="V608" s="18"/>
    </row>
    <row r="609" spans="10:22" ht="15.75" customHeight="1" x14ac:dyDescent="0.25">
      <c r="J609" s="36"/>
      <c r="M609" s="37"/>
      <c r="N609" s="37"/>
      <c r="R609" s="37"/>
      <c r="S609" s="37"/>
      <c r="T609" s="38"/>
      <c r="V609" s="18"/>
    </row>
    <row r="610" spans="10:22" ht="15.75" customHeight="1" x14ac:dyDescent="0.25">
      <c r="J610" s="36"/>
      <c r="M610" s="37"/>
      <c r="N610" s="37"/>
      <c r="R610" s="37"/>
      <c r="S610" s="37"/>
      <c r="T610" s="38"/>
      <c r="V610" s="18"/>
    </row>
    <row r="611" spans="10:22" ht="15.75" customHeight="1" x14ac:dyDescent="0.25">
      <c r="J611" s="36"/>
      <c r="M611" s="37"/>
      <c r="N611" s="37"/>
      <c r="R611" s="37"/>
      <c r="S611" s="37"/>
      <c r="T611" s="38"/>
      <c r="V611" s="18"/>
    </row>
    <row r="612" spans="10:22" ht="15.75" customHeight="1" x14ac:dyDescent="0.25">
      <c r="J612" s="36"/>
      <c r="M612" s="37"/>
      <c r="N612" s="37"/>
      <c r="R612" s="37"/>
      <c r="S612" s="37"/>
      <c r="T612" s="38"/>
      <c r="V612" s="18"/>
    </row>
    <row r="613" spans="10:22" ht="15.75" customHeight="1" x14ac:dyDescent="0.25">
      <c r="J613" s="36"/>
      <c r="M613" s="37"/>
      <c r="N613" s="37"/>
      <c r="R613" s="37"/>
      <c r="S613" s="37"/>
      <c r="T613" s="38"/>
      <c r="V613" s="18"/>
    </row>
    <row r="614" spans="10:22" ht="15.75" customHeight="1" x14ac:dyDescent="0.25">
      <c r="J614" s="36"/>
      <c r="M614" s="37"/>
      <c r="N614" s="37"/>
      <c r="R614" s="37"/>
      <c r="S614" s="37"/>
      <c r="T614" s="38"/>
      <c r="V614" s="18"/>
    </row>
    <row r="615" spans="10:22" ht="15.75" customHeight="1" x14ac:dyDescent="0.25">
      <c r="J615" s="36"/>
      <c r="M615" s="37"/>
      <c r="N615" s="37"/>
      <c r="R615" s="37"/>
      <c r="S615" s="37"/>
      <c r="T615" s="38"/>
      <c r="V615" s="18"/>
    </row>
    <row r="616" spans="10:22" ht="15.75" customHeight="1" x14ac:dyDescent="0.25">
      <c r="J616" s="36"/>
      <c r="M616" s="37"/>
      <c r="N616" s="37"/>
      <c r="R616" s="37"/>
      <c r="S616" s="37"/>
      <c r="T616" s="38"/>
      <c r="V616" s="18"/>
    </row>
    <row r="617" spans="10:22" ht="15.75" customHeight="1" x14ac:dyDescent="0.25">
      <c r="J617" s="36"/>
      <c r="M617" s="37"/>
      <c r="N617" s="37"/>
      <c r="R617" s="37"/>
      <c r="S617" s="37"/>
      <c r="T617" s="38"/>
      <c r="V617" s="18"/>
    </row>
    <row r="618" spans="10:22" ht="15.75" customHeight="1" x14ac:dyDescent="0.25">
      <c r="J618" s="36"/>
      <c r="M618" s="37"/>
      <c r="N618" s="37"/>
      <c r="R618" s="37"/>
      <c r="S618" s="37"/>
      <c r="T618" s="38"/>
      <c r="V618" s="18"/>
    </row>
    <row r="619" spans="10:22" ht="15.75" customHeight="1" x14ac:dyDescent="0.25">
      <c r="J619" s="36"/>
      <c r="M619" s="37"/>
      <c r="N619" s="37"/>
      <c r="R619" s="37"/>
      <c r="S619" s="37"/>
      <c r="T619" s="38"/>
      <c r="V619" s="18"/>
    </row>
    <row r="620" spans="10:22" ht="15.75" customHeight="1" x14ac:dyDescent="0.25">
      <c r="J620" s="36"/>
      <c r="M620" s="37"/>
      <c r="N620" s="37"/>
      <c r="R620" s="37"/>
      <c r="S620" s="37"/>
      <c r="T620" s="38"/>
      <c r="V620" s="18"/>
    </row>
    <row r="621" spans="10:22" ht="15.75" customHeight="1" x14ac:dyDescent="0.25">
      <c r="J621" s="36"/>
      <c r="M621" s="37"/>
      <c r="N621" s="37"/>
      <c r="R621" s="37"/>
      <c r="S621" s="37"/>
      <c r="T621" s="38"/>
      <c r="V621" s="18"/>
    </row>
    <row r="622" spans="10:22" ht="15.75" customHeight="1" x14ac:dyDescent="0.25">
      <c r="J622" s="36"/>
      <c r="M622" s="37"/>
      <c r="N622" s="37"/>
      <c r="R622" s="37"/>
      <c r="S622" s="37"/>
      <c r="T622" s="38"/>
      <c r="V622" s="18"/>
    </row>
    <row r="623" spans="10:22" ht="15.75" customHeight="1" x14ac:dyDescent="0.25">
      <c r="J623" s="36"/>
      <c r="M623" s="37"/>
      <c r="N623" s="37"/>
      <c r="R623" s="37"/>
      <c r="S623" s="37"/>
      <c r="T623" s="38"/>
      <c r="V623" s="18"/>
    </row>
    <row r="624" spans="10:22" ht="15.75" customHeight="1" x14ac:dyDescent="0.25">
      <c r="J624" s="36"/>
      <c r="M624" s="37"/>
      <c r="N624" s="37"/>
      <c r="R624" s="37"/>
      <c r="S624" s="37"/>
      <c r="T624" s="38"/>
      <c r="V624" s="18"/>
    </row>
    <row r="625" spans="10:22" ht="15.75" customHeight="1" x14ac:dyDescent="0.25">
      <c r="J625" s="36"/>
      <c r="M625" s="37"/>
      <c r="N625" s="37"/>
      <c r="R625" s="37"/>
      <c r="S625" s="37"/>
      <c r="T625" s="38"/>
      <c r="V625" s="18"/>
    </row>
    <row r="626" spans="10:22" ht="15.75" customHeight="1" x14ac:dyDescent="0.25">
      <c r="J626" s="36"/>
      <c r="M626" s="37"/>
      <c r="N626" s="37"/>
      <c r="R626" s="37"/>
      <c r="S626" s="37"/>
      <c r="T626" s="38"/>
      <c r="V626" s="18"/>
    </row>
    <row r="627" spans="10:22" ht="15.75" customHeight="1" x14ac:dyDescent="0.25">
      <c r="J627" s="36"/>
      <c r="M627" s="37"/>
      <c r="N627" s="37"/>
      <c r="R627" s="37"/>
      <c r="S627" s="37"/>
      <c r="T627" s="38"/>
      <c r="V627" s="18"/>
    </row>
    <row r="628" spans="10:22" ht="15.75" customHeight="1" x14ac:dyDescent="0.25">
      <c r="J628" s="36"/>
      <c r="M628" s="37"/>
      <c r="N628" s="37"/>
      <c r="R628" s="37"/>
      <c r="S628" s="37"/>
      <c r="T628" s="38"/>
      <c r="V628" s="18"/>
    </row>
    <row r="629" spans="10:22" ht="15.75" customHeight="1" x14ac:dyDescent="0.25">
      <c r="J629" s="36"/>
      <c r="M629" s="37"/>
      <c r="N629" s="37"/>
      <c r="R629" s="37"/>
      <c r="S629" s="37"/>
      <c r="T629" s="38"/>
      <c r="V629" s="18"/>
    </row>
    <row r="630" spans="10:22" ht="15.75" customHeight="1" x14ac:dyDescent="0.25">
      <c r="J630" s="36"/>
      <c r="M630" s="37"/>
      <c r="N630" s="37"/>
      <c r="R630" s="37"/>
      <c r="S630" s="37"/>
      <c r="T630" s="38"/>
      <c r="V630" s="18"/>
    </row>
    <row r="631" spans="10:22" ht="15.75" customHeight="1" x14ac:dyDescent="0.25">
      <c r="J631" s="36"/>
      <c r="M631" s="37"/>
      <c r="N631" s="37"/>
      <c r="R631" s="37"/>
      <c r="S631" s="37"/>
      <c r="T631" s="38"/>
      <c r="V631" s="18"/>
    </row>
    <row r="632" spans="10:22" ht="15.75" customHeight="1" x14ac:dyDescent="0.25">
      <c r="J632" s="36"/>
      <c r="M632" s="37"/>
      <c r="N632" s="37"/>
      <c r="R632" s="37"/>
      <c r="S632" s="37"/>
      <c r="T632" s="38"/>
      <c r="V632" s="18"/>
    </row>
    <row r="633" spans="10:22" ht="15.75" customHeight="1" x14ac:dyDescent="0.25">
      <c r="J633" s="36"/>
      <c r="M633" s="37"/>
      <c r="N633" s="37"/>
      <c r="R633" s="37"/>
      <c r="S633" s="37"/>
      <c r="T633" s="38"/>
      <c r="V633" s="18"/>
    </row>
    <row r="634" spans="10:22" ht="15.75" customHeight="1" x14ac:dyDescent="0.25">
      <c r="J634" s="36"/>
      <c r="M634" s="37"/>
      <c r="N634" s="37"/>
      <c r="R634" s="37"/>
      <c r="S634" s="37"/>
      <c r="T634" s="38"/>
      <c r="V634" s="18"/>
    </row>
    <row r="635" spans="10:22" ht="15.75" customHeight="1" x14ac:dyDescent="0.25">
      <c r="J635" s="36"/>
      <c r="M635" s="37"/>
      <c r="N635" s="37"/>
      <c r="R635" s="37"/>
      <c r="S635" s="37"/>
      <c r="T635" s="38"/>
      <c r="V635" s="18"/>
    </row>
    <row r="636" spans="10:22" ht="15.75" customHeight="1" x14ac:dyDescent="0.25">
      <c r="J636" s="36"/>
      <c r="M636" s="37"/>
      <c r="N636" s="37"/>
      <c r="R636" s="37"/>
      <c r="S636" s="37"/>
      <c r="T636" s="38"/>
      <c r="V636" s="18"/>
    </row>
    <row r="637" spans="10:22" ht="15.75" customHeight="1" x14ac:dyDescent="0.25">
      <c r="J637" s="36"/>
      <c r="M637" s="37"/>
      <c r="N637" s="37"/>
      <c r="R637" s="37"/>
      <c r="S637" s="37"/>
      <c r="T637" s="38"/>
      <c r="V637" s="18"/>
    </row>
    <row r="638" spans="10:22" ht="15.75" customHeight="1" x14ac:dyDescent="0.25">
      <c r="J638" s="36"/>
      <c r="M638" s="37"/>
      <c r="N638" s="37"/>
      <c r="R638" s="37"/>
      <c r="S638" s="37"/>
      <c r="T638" s="38"/>
      <c r="V638" s="18"/>
    </row>
    <row r="639" spans="10:22" ht="15.75" customHeight="1" x14ac:dyDescent="0.25">
      <c r="J639" s="36"/>
      <c r="M639" s="37"/>
      <c r="N639" s="37"/>
      <c r="R639" s="37"/>
      <c r="S639" s="37"/>
      <c r="T639" s="38"/>
      <c r="V639" s="18"/>
    </row>
    <row r="640" spans="10:22" ht="15.75" customHeight="1" x14ac:dyDescent="0.25">
      <c r="J640" s="36"/>
      <c r="M640" s="37"/>
      <c r="N640" s="37"/>
      <c r="R640" s="37"/>
      <c r="S640" s="37"/>
      <c r="T640" s="38"/>
      <c r="V640" s="18"/>
    </row>
    <row r="641" spans="10:22" ht="15.75" customHeight="1" x14ac:dyDescent="0.25">
      <c r="J641" s="36"/>
      <c r="M641" s="37"/>
      <c r="N641" s="37"/>
      <c r="R641" s="37"/>
      <c r="S641" s="37"/>
      <c r="T641" s="38"/>
      <c r="V641" s="18"/>
    </row>
    <row r="642" spans="10:22" ht="15.75" customHeight="1" x14ac:dyDescent="0.25">
      <c r="J642" s="36"/>
      <c r="M642" s="37"/>
      <c r="N642" s="37"/>
      <c r="R642" s="37"/>
      <c r="S642" s="37"/>
      <c r="T642" s="38"/>
      <c r="V642" s="18"/>
    </row>
    <row r="643" spans="10:22" ht="15.75" customHeight="1" x14ac:dyDescent="0.25">
      <c r="J643" s="36"/>
      <c r="M643" s="37"/>
      <c r="N643" s="37"/>
      <c r="R643" s="37"/>
      <c r="S643" s="37"/>
      <c r="T643" s="38"/>
      <c r="V643" s="18"/>
    </row>
    <row r="644" spans="10:22" ht="15.75" customHeight="1" x14ac:dyDescent="0.25">
      <c r="J644" s="36"/>
      <c r="M644" s="37"/>
      <c r="N644" s="37"/>
      <c r="R644" s="37"/>
      <c r="S644" s="37"/>
      <c r="T644" s="38"/>
      <c r="V644" s="18"/>
    </row>
    <row r="645" spans="10:22" ht="15.75" customHeight="1" x14ac:dyDescent="0.25">
      <c r="J645" s="36"/>
      <c r="M645" s="37"/>
      <c r="N645" s="37"/>
      <c r="R645" s="37"/>
      <c r="S645" s="37"/>
      <c r="T645" s="38"/>
      <c r="V645" s="18"/>
    </row>
    <row r="646" spans="10:22" ht="15.75" customHeight="1" x14ac:dyDescent="0.25">
      <c r="J646" s="36"/>
      <c r="M646" s="37"/>
      <c r="N646" s="37"/>
      <c r="R646" s="37"/>
      <c r="S646" s="37"/>
      <c r="T646" s="38"/>
      <c r="V646" s="18"/>
    </row>
    <row r="647" spans="10:22" ht="15.75" customHeight="1" x14ac:dyDescent="0.25">
      <c r="J647" s="36"/>
      <c r="M647" s="37"/>
      <c r="N647" s="37"/>
      <c r="R647" s="37"/>
      <c r="S647" s="37"/>
      <c r="T647" s="38"/>
      <c r="V647" s="18"/>
    </row>
    <row r="648" spans="10:22" ht="15.75" customHeight="1" x14ac:dyDescent="0.25">
      <c r="J648" s="36"/>
      <c r="M648" s="37"/>
      <c r="N648" s="37"/>
      <c r="R648" s="37"/>
      <c r="S648" s="37"/>
      <c r="T648" s="38"/>
      <c r="V648" s="18"/>
    </row>
    <row r="649" spans="10:22" ht="15.75" customHeight="1" x14ac:dyDescent="0.25">
      <c r="J649" s="36"/>
      <c r="M649" s="37"/>
      <c r="N649" s="37"/>
      <c r="R649" s="37"/>
      <c r="S649" s="37"/>
      <c r="T649" s="38"/>
      <c r="V649" s="18"/>
    </row>
    <row r="650" spans="10:22" ht="15.75" customHeight="1" x14ac:dyDescent="0.25">
      <c r="J650" s="36"/>
      <c r="M650" s="37"/>
      <c r="N650" s="37"/>
      <c r="R650" s="37"/>
      <c r="S650" s="37"/>
      <c r="T650" s="38"/>
      <c r="V650" s="18"/>
    </row>
    <row r="651" spans="10:22" ht="15.75" customHeight="1" x14ac:dyDescent="0.25">
      <c r="J651" s="36"/>
      <c r="M651" s="37"/>
      <c r="N651" s="37"/>
      <c r="R651" s="37"/>
      <c r="S651" s="37"/>
      <c r="T651" s="38"/>
      <c r="V651" s="18"/>
    </row>
    <row r="652" spans="10:22" ht="15.75" customHeight="1" x14ac:dyDescent="0.25">
      <c r="J652" s="36"/>
      <c r="M652" s="37"/>
      <c r="N652" s="37"/>
      <c r="R652" s="37"/>
      <c r="S652" s="37"/>
      <c r="T652" s="38"/>
      <c r="V652" s="18"/>
    </row>
    <row r="653" spans="10:22" ht="15.75" customHeight="1" x14ac:dyDescent="0.25">
      <c r="J653" s="36"/>
      <c r="M653" s="37"/>
      <c r="N653" s="37"/>
      <c r="R653" s="37"/>
      <c r="S653" s="37"/>
      <c r="T653" s="38"/>
      <c r="V653" s="18"/>
    </row>
    <row r="654" spans="10:22" ht="15.75" customHeight="1" x14ac:dyDescent="0.25">
      <c r="J654" s="36"/>
      <c r="M654" s="37"/>
      <c r="N654" s="37"/>
      <c r="R654" s="37"/>
      <c r="S654" s="37"/>
      <c r="T654" s="38"/>
      <c r="V654" s="18"/>
    </row>
    <row r="655" spans="10:22" ht="15.75" customHeight="1" x14ac:dyDescent="0.25">
      <c r="J655" s="36"/>
      <c r="M655" s="37"/>
      <c r="N655" s="37"/>
      <c r="R655" s="37"/>
      <c r="S655" s="37"/>
      <c r="T655" s="38"/>
      <c r="V655" s="18"/>
    </row>
    <row r="656" spans="10:22" ht="15.75" customHeight="1" x14ac:dyDescent="0.25">
      <c r="J656" s="36"/>
      <c r="M656" s="37"/>
      <c r="N656" s="37"/>
      <c r="R656" s="37"/>
      <c r="S656" s="37"/>
      <c r="T656" s="38"/>
      <c r="V656" s="18"/>
    </row>
    <row r="657" spans="10:22" ht="15.75" customHeight="1" x14ac:dyDescent="0.25">
      <c r="J657" s="36"/>
      <c r="M657" s="37"/>
      <c r="N657" s="37"/>
      <c r="R657" s="37"/>
      <c r="S657" s="37"/>
      <c r="T657" s="38"/>
      <c r="V657" s="18"/>
    </row>
    <row r="658" spans="10:22" ht="15.75" customHeight="1" x14ac:dyDescent="0.25">
      <c r="J658" s="36"/>
      <c r="M658" s="37"/>
      <c r="N658" s="37"/>
      <c r="R658" s="37"/>
      <c r="S658" s="37"/>
      <c r="T658" s="38"/>
      <c r="V658" s="18"/>
    </row>
    <row r="659" spans="10:22" ht="15.75" customHeight="1" x14ac:dyDescent="0.25">
      <c r="J659" s="36"/>
      <c r="M659" s="37"/>
      <c r="N659" s="37"/>
      <c r="R659" s="37"/>
      <c r="S659" s="37"/>
      <c r="T659" s="38"/>
      <c r="V659" s="18"/>
    </row>
    <row r="660" spans="10:22" ht="15.75" customHeight="1" x14ac:dyDescent="0.25">
      <c r="J660" s="36"/>
      <c r="M660" s="37"/>
      <c r="N660" s="37"/>
      <c r="R660" s="37"/>
      <c r="S660" s="37"/>
      <c r="T660" s="38"/>
      <c r="V660" s="18"/>
    </row>
    <row r="661" spans="10:22" ht="15.75" customHeight="1" x14ac:dyDescent="0.25">
      <c r="J661" s="36"/>
      <c r="M661" s="37"/>
      <c r="N661" s="37"/>
      <c r="R661" s="37"/>
      <c r="S661" s="37"/>
      <c r="T661" s="38"/>
      <c r="V661" s="18"/>
    </row>
    <row r="662" spans="10:22" ht="15.75" customHeight="1" x14ac:dyDescent="0.25">
      <c r="J662" s="36"/>
      <c r="M662" s="37"/>
      <c r="N662" s="37"/>
      <c r="R662" s="37"/>
      <c r="S662" s="37"/>
      <c r="T662" s="38"/>
      <c r="V662" s="18"/>
    </row>
    <row r="663" spans="10:22" ht="15.75" customHeight="1" x14ac:dyDescent="0.25">
      <c r="J663" s="36"/>
      <c r="M663" s="37"/>
      <c r="N663" s="37"/>
      <c r="R663" s="37"/>
      <c r="S663" s="37"/>
      <c r="T663" s="38"/>
      <c r="V663" s="18"/>
    </row>
    <row r="664" spans="10:22" ht="15.75" customHeight="1" x14ac:dyDescent="0.25">
      <c r="J664" s="36"/>
      <c r="M664" s="37"/>
      <c r="N664" s="37"/>
      <c r="R664" s="37"/>
      <c r="S664" s="37"/>
      <c r="T664" s="38"/>
      <c r="V664" s="18"/>
    </row>
    <row r="665" spans="10:22" ht="15.75" customHeight="1" x14ac:dyDescent="0.25">
      <c r="J665" s="36"/>
      <c r="M665" s="37"/>
      <c r="N665" s="37"/>
      <c r="R665" s="37"/>
      <c r="S665" s="37"/>
      <c r="T665" s="38"/>
      <c r="V665" s="18"/>
    </row>
    <row r="666" spans="10:22" ht="15.75" customHeight="1" x14ac:dyDescent="0.25">
      <c r="J666" s="36"/>
      <c r="M666" s="37"/>
      <c r="N666" s="37"/>
      <c r="R666" s="37"/>
      <c r="S666" s="37"/>
      <c r="T666" s="38"/>
      <c r="V666" s="18"/>
    </row>
    <row r="667" spans="10:22" ht="15.75" customHeight="1" x14ac:dyDescent="0.25">
      <c r="J667" s="36"/>
      <c r="M667" s="37"/>
      <c r="N667" s="37"/>
      <c r="R667" s="37"/>
      <c r="S667" s="37"/>
      <c r="T667" s="38"/>
      <c r="V667" s="18"/>
    </row>
    <row r="668" spans="10:22" ht="15.75" customHeight="1" x14ac:dyDescent="0.25">
      <c r="J668" s="36"/>
      <c r="M668" s="37"/>
      <c r="N668" s="37"/>
      <c r="R668" s="37"/>
      <c r="S668" s="37"/>
      <c r="T668" s="38"/>
      <c r="V668" s="18"/>
    </row>
    <row r="669" spans="10:22" ht="15.75" customHeight="1" x14ac:dyDescent="0.25">
      <c r="J669" s="36"/>
      <c r="M669" s="37"/>
      <c r="N669" s="37"/>
      <c r="R669" s="37"/>
      <c r="S669" s="37"/>
      <c r="T669" s="38"/>
      <c r="V669" s="18"/>
    </row>
    <row r="670" spans="10:22" ht="15.75" customHeight="1" x14ac:dyDescent="0.25">
      <c r="J670" s="36"/>
      <c r="M670" s="37"/>
      <c r="N670" s="37"/>
      <c r="R670" s="37"/>
      <c r="S670" s="37"/>
      <c r="T670" s="38"/>
      <c r="V670" s="18"/>
    </row>
    <row r="671" spans="10:22" ht="15.75" customHeight="1" x14ac:dyDescent="0.25">
      <c r="J671" s="36"/>
      <c r="M671" s="37"/>
      <c r="N671" s="37"/>
      <c r="R671" s="37"/>
      <c r="S671" s="37"/>
      <c r="T671" s="38"/>
      <c r="V671" s="18"/>
    </row>
    <row r="672" spans="10:22" ht="15.75" customHeight="1" x14ac:dyDescent="0.25">
      <c r="J672" s="36"/>
      <c r="M672" s="37"/>
      <c r="N672" s="37"/>
      <c r="R672" s="37"/>
      <c r="S672" s="37"/>
      <c r="T672" s="38"/>
      <c r="V672" s="18"/>
    </row>
    <row r="673" spans="10:22" ht="15.75" customHeight="1" x14ac:dyDescent="0.25">
      <c r="J673" s="36"/>
      <c r="M673" s="37"/>
      <c r="N673" s="37"/>
      <c r="R673" s="37"/>
      <c r="S673" s="37"/>
      <c r="T673" s="38"/>
      <c r="V673" s="18"/>
    </row>
    <row r="674" spans="10:22" ht="15.75" customHeight="1" x14ac:dyDescent="0.25">
      <c r="J674" s="36"/>
      <c r="M674" s="37"/>
      <c r="N674" s="37"/>
      <c r="R674" s="37"/>
      <c r="S674" s="37"/>
      <c r="T674" s="38"/>
      <c r="V674" s="18"/>
    </row>
    <row r="675" spans="10:22" ht="15.75" customHeight="1" x14ac:dyDescent="0.25">
      <c r="J675" s="36"/>
      <c r="M675" s="37"/>
      <c r="N675" s="37"/>
      <c r="R675" s="37"/>
      <c r="S675" s="37"/>
      <c r="T675" s="38"/>
      <c r="V675" s="18"/>
    </row>
    <row r="676" spans="10:22" ht="15.75" customHeight="1" x14ac:dyDescent="0.25">
      <c r="J676" s="36"/>
      <c r="M676" s="37"/>
      <c r="N676" s="37"/>
      <c r="R676" s="37"/>
      <c r="S676" s="37"/>
      <c r="T676" s="38"/>
      <c r="V676" s="18"/>
    </row>
    <row r="677" spans="10:22" ht="15.75" customHeight="1" x14ac:dyDescent="0.25">
      <c r="J677" s="36"/>
      <c r="M677" s="37"/>
      <c r="N677" s="37"/>
      <c r="R677" s="37"/>
      <c r="S677" s="37"/>
      <c r="T677" s="38"/>
      <c r="V677" s="18"/>
    </row>
    <row r="678" spans="10:22" ht="15.75" customHeight="1" x14ac:dyDescent="0.25">
      <c r="J678" s="36"/>
      <c r="M678" s="37"/>
      <c r="N678" s="37"/>
      <c r="R678" s="37"/>
      <c r="S678" s="37"/>
      <c r="T678" s="38"/>
      <c r="V678" s="18"/>
    </row>
    <row r="679" spans="10:22" ht="15.75" customHeight="1" x14ac:dyDescent="0.25">
      <c r="J679" s="36"/>
      <c r="M679" s="37"/>
      <c r="N679" s="37"/>
      <c r="R679" s="37"/>
      <c r="S679" s="37"/>
      <c r="T679" s="38"/>
      <c r="V679" s="18"/>
    </row>
    <row r="680" spans="10:22" ht="15.75" customHeight="1" x14ac:dyDescent="0.25">
      <c r="J680" s="36"/>
      <c r="M680" s="37"/>
      <c r="N680" s="37"/>
      <c r="R680" s="37"/>
      <c r="S680" s="37"/>
      <c r="T680" s="38"/>
      <c r="V680" s="18"/>
    </row>
    <row r="681" spans="10:22" ht="15.75" customHeight="1" x14ac:dyDescent="0.25">
      <c r="J681" s="36"/>
      <c r="M681" s="37"/>
      <c r="N681" s="37"/>
      <c r="R681" s="37"/>
      <c r="S681" s="37"/>
      <c r="T681" s="38"/>
      <c r="V681" s="18"/>
    </row>
    <row r="682" spans="10:22" ht="15.75" customHeight="1" x14ac:dyDescent="0.25">
      <c r="J682" s="36"/>
      <c r="M682" s="37"/>
      <c r="N682" s="37"/>
      <c r="R682" s="37"/>
      <c r="S682" s="37"/>
      <c r="T682" s="38"/>
      <c r="V682" s="18"/>
    </row>
    <row r="683" spans="10:22" ht="15.75" customHeight="1" x14ac:dyDescent="0.25">
      <c r="J683" s="36"/>
      <c r="M683" s="37"/>
      <c r="N683" s="37"/>
      <c r="R683" s="37"/>
      <c r="S683" s="37"/>
      <c r="T683" s="38"/>
      <c r="V683" s="18"/>
    </row>
    <row r="684" spans="10:22" ht="15.75" customHeight="1" x14ac:dyDescent="0.25">
      <c r="J684" s="36"/>
      <c r="M684" s="37"/>
      <c r="N684" s="37"/>
      <c r="R684" s="37"/>
      <c r="S684" s="37"/>
      <c r="T684" s="38"/>
      <c r="V684" s="18"/>
    </row>
    <row r="685" spans="10:22" ht="15.75" customHeight="1" x14ac:dyDescent="0.25">
      <c r="J685" s="36"/>
      <c r="M685" s="37"/>
      <c r="N685" s="37"/>
      <c r="R685" s="37"/>
      <c r="S685" s="37"/>
      <c r="T685" s="38"/>
      <c r="V685" s="18"/>
    </row>
    <row r="686" spans="10:22" ht="15.75" customHeight="1" x14ac:dyDescent="0.25">
      <c r="J686" s="36"/>
      <c r="M686" s="37"/>
      <c r="N686" s="37"/>
      <c r="R686" s="37"/>
      <c r="S686" s="37"/>
      <c r="T686" s="38"/>
      <c r="V686" s="18"/>
    </row>
    <row r="687" spans="10:22" ht="15.75" customHeight="1" x14ac:dyDescent="0.25">
      <c r="J687" s="36"/>
      <c r="M687" s="37"/>
      <c r="N687" s="37"/>
      <c r="R687" s="37"/>
      <c r="S687" s="37"/>
      <c r="T687" s="38"/>
      <c r="V687" s="18"/>
    </row>
    <row r="688" spans="10:22" ht="15.75" customHeight="1" x14ac:dyDescent="0.25">
      <c r="J688" s="36"/>
      <c r="M688" s="37"/>
      <c r="N688" s="37"/>
      <c r="R688" s="37"/>
      <c r="S688" s="37"/>
      <c r="T688" s="38"/>
      <c r="V688" s="18"/>
    </row>
    <row r="689" spans="10:22" ht="15.75" customHeight="1" x14ac:dyDescent="0.25">
      <c r="J689" s="36"/>
      <c r="M689" s="37"/>
      <c r="N689" s="37"/>
      <c r="R689" s="37"/>
      <c r="S689" s="37"/>
      <c r="T689" s="38"/>
      <c r="V689" s="18"/>
    </row>
    <row r="690" spans="10:22" ht="15.75" customHeight="1" x14ac:dyDescent="0.25">
      <c r="J690" s="36"/>
      <c r="M690" s="37"/>
      <c r="N690" s="37"/>
      <c r="R690" s="37"/>
      <c r="S690" s="37"/>
      <c r="T690" s="38"/>
      <c r="V690" s="18"/>
    </row>
    <row r="691" spans="10:22" ht="15.75" customHeight="1" x14ac:dyDescent="0.25">
      <c r="J691" s="36"/>
      <c r="M691" s="37"/>
      <c r="N691" s="37"/>
      <c r="R691" s="37"/>
      <c r="S691" s="37"/>
      <c r="T691" s="38"/>
      <c r="V691" s="18"/>
    </row>
    <row r="692" spans="10:22" ht="15.75" customHeight="1" x14ac:dyDescent="0.25">
      <c r="J692" s="36"/>
      <c r="M692" s="37"/>
      <c r="N692" s="37"/>
      <c r="R692" s="37"/>
      <c r="S692" s="37"/>
      <c r="T692" s="38"/>
      <c r="V692" s="18"/>
    </row>
    <row r="693" spans="10:22" ht="15.75" customHeight="1" x14ac:dyDescent="0.25">
      <c r="J693" s="36"/>
      <c r="M693" s="37"/>
      <c r="N693" s="37"/>
      <c r="R693" s="37"/>
      <c r="S693" s="37"/>
      <c r="T693" s="38"/>
      <c r="V693" s="18"/>
    </row>
    <row r="694" spans="10:22" ht="15.75" customHeight="1" x14ac:dyDescent="0.25">
      <c r="J694" s="36"/>
      <c r="M694" s="37"/>
      <c r="N694" s="37"/>
      <c r="R694" s="37"/>
      <c r="S694" s="37"/>
      <c r="T694" s="38"/>
      <c r="V694" s="18"/>
    </row>
    <row r="695" spans="10:22" ht="15.75" customHeight="1" x14ac:dyDescent="0.25">
      <c r="J695" s="36"/>
      <c r="M695" s="37"/>
      <c r="N695" s="37"/>
      <c r="R695" s="37"/>
      <c r="S695" s="37"/>
      <c r="T695" s="38"/>
      <c r="V695" s="18"/>
    </row>
    <row r="696" spans="10:22" ht="15.75" customHeight="1" x14ac:dyDescent="0.25">
      <c r="J696" s="36"/>
      <c r="M696" s="37"/>
      <c r="N696" s="37"/>
      <c r="R696" s="37"/>
      <c r="S696" s="37"/>
      <c r="T696" s="38"/>
      <c r="V696" s="18"/>
    </row>
    <row r="697" spans="10:22" ht="15.75" customHeight="1" x14ac:dyDescent="0.25">
      <c r="J697" s="36"/>
      <c r="M697" s="37"/>
      <c r="N697" s="37"/>
      <c r="R697" s="37"/>
      <c r="S697" s="37"/>
      <c r="T697" s="38"/>
      <c r="V697" s="18"/>
    </row>
    <row r="698" spans="10:22" ht="15.75" customHeight="1" x14ac:dyDescent="0.25">
      <c r="J698" s="36"/>
      <c r="M698" s="37"/>
      <c r="N698" s="37"/>
      <c r="R698" s="37"/>
      <c r="S698" s="37"/>
      <c r="T698" s="38"/>
      <c r="V698" s="18"/>
    </row>
    <row r="699" spans="10:22" ht="15.75" customHeight="1" x14ac:dyDescent="0.25">
      <c r="J699" s="36"/>
      <c r="M699" s="37"/>
      <c r="N699" s="37"/>
      <c r="R699" s="37"/>
      <c r="S699" s="37"/>
      <c r="T699" s="38"/>
      <c r="V699" s="18"/>
    </row>
    <row r="700" spans="10:22" ht="15.75" customHeight="1" x14ac:dyDescent="0.25">
      <c r="J700" s="36"/>
      <c r="M700" s="37"/>
      <c r="N700" s="37"/>
      <c r="R700" s="37"/>
      <c r="S700" s="37"/>
      <c r="T700" s="38"/>
      <c r="V700" s="18"/>
    </row>
    <row r="701" spans="10:22" ht="15.75" customHeight="1" x14ac:dyDescent="0.25">
      <c r="J701" s="36"/>
      <c r="M701" s="37"/>
      <c r="N701" s="37"/>
      <c r="R701" s="37"/>
      <c r="S701" s="37"/>
      <c r="T701" s="38"/>
      <c r="V701" s="18"/>
    </row>
    <row r="702" spans="10:22" ht="15.75" customHeight="1" x14ac:dyDescent="0.25">
      <c r="J702" s="36"/>
      <c r="M702" s="37"/>
      <c r="N702" s="37"/>
      <c r="R702" s="37"/>
      <c r="S702" s="37"/>
      <c r="T702" s="38"/>
      <c r="V702" s="18"/>
    </row>
    <row r="703" spans="10:22" ht="15.75" customHeight="1" x14ac:dyDescent="0.25">
      <c r="J703" s="36"/>
      <c r="M703" s="37"/>
      <c r="N703" s="37"/>
      <c r="R703" s="37"/>
      <c r="S703" s="37"/>
      <c r="T703" s="38"/>
      <c r="V703" s="18"/>
    </row>
    <row r="704" spans="10:22" ht="15.75" customHeight="1" x14ac:dyDescent="0.25">
      <c r="J704" s="36"/>
      <c r="M704" s="37"/>
      <c r="N704" s="37"/>
      <c r="R704" s="37"/>
      <c r="S704" s="37"/>
      <c r="T704" s="38"/>
      <c r="V704" s="18"/>
    </row>
    <row r="705" spans="10:22" ht="15.75" customHeight="1" x14ac:dyDescent="0.25">
      <c r="J705" s="36"/>
      <c r="M705" s="37"/>
      <c r="N705" s="37"/>
      <c r="R705" s="37"/>
      <c r="S705" s="37"/>
      <c r="T705" s="38"/>
      <c r="V705" s="18"/>
    </row>
    <row r="706" spans="10:22" ht="15.75" customHeight="1" x14ac:dyDescent="0.25">
      <c r="J706" s="36"/>
      <c r="M706" s="37"/>
      <c r="N706" s="37"/>
      <c r="R706" s="37"/>
      <c r="S706" s="37"/>
      <c r="T706" s="38"/>
      <c r="V706" s="18"/>
    </row>
    <row r="707" spans="10:22" ht="15.75" customHeight="1" x14ac:dyDescent="0.25">
      <c r="J707" s="36"/>
      <c r="M707" s="37"/>
      <c r="N707" s="37"/>
      <c r="R707" s="37"/>
      <c r="S707" s="37"/>
      <c r="T707" s="38"/>
      <c r="V707" s="18"/>
    </row>
    <row r="708" spans="10:22" ht="15.75" customHeight="1" x14ac:dyDescent="0.25">
      <c r="J708" s="36"/>
      <c r="M708" s="37"/>
      <c r="N708" s="37"/>
      <c r="R708" s="37"/>
      <c r="S708" s="37"/>
      <c r="T708" s="38"/>
      <c r="V708" s="18"/>
    </row>
    <row r="709" spans="10:22" ht="15.75" customHeight="1" x14ac:dyDescent="0.25">
      <c r="J709" s="36"/>
      <c r="M709" s="37"/>
      <c r="N709" s="37"/>
      <c r="R709" s="37"/>
      <c r="S709" s="37"/>
      <c r="T709" s="38"/>
      <c r="V709" s="18"/>
    </row>
    <row r="710" spans="10:22" ht="15.75" customHeight="1" x14ac:dyDescent="0.25">
      <c r="J710" s="36"/>
      <c r="M710" s="37"/>
      <c r="N710" s="37"/>
      <c r="R710" s="37"/>
      <c r="S710" s="37"/>
      <c r="T710" s="38"/>
      <c r="V710" s="18"/>
    </row>
    <row r="711" spans="10:22" ht="15.75" customHeight="1" x14ac:dyDescent="0.25">
      <c r="J711" s="36"/>
      <c r="M711" s="37"/>
      <c r="N711" s="37"/>
      <c r="R711" s="37"/>
      <c r="S711" s="37"/>
      <c r="T711" s="38"/>
      <c r="V711" s="18"/>
    </row>
    <row r="712" spans="10:22" ht="15.75" customHeight="1" x14ac:dyDescent="0.25">
      <c r="J712" s="36"/>
      <c r="M712" s="37"/>
      <c r="N712" s="37"/>
      <c r="R712" s="37"/>
      <c r="S712" s="37"/>
      <c r="T712" s="38"/>
      <c r="V712" s="18"/>
    </row>
    <row r="713" spans="10:22" ht="15.75" customHeight="1" x14ac:dyDescent="0.25">
      <c r="J713" s="36"/>
      <c r="M713" s="37"/>
      <c r="N713" s="37"/>
      <c r="R713" s="37"/>
      <c r="S713" s="37"/>
      <c r="T713" s="38"/>
      <c r="V713" s="18"/>
    </row>
    <row r="714" spans="10:22" ht="15.75" customHeight="1" x14ac:dyDescent="0.25">
      <c r="J714" s="36"/>
      <c r="M714" s="37"/>
      <c r="N714" s="37"/>
      <c r="R714" s="37"/>
      <c r="S714" s="37"/>
      <c r="T714" s="38"/>
      <c r="V714" s="18"/>
    </row>
    <row r="715" spans="10:22" ht="15.75" customHeight="1" x14ac:dyDescent="0.25">
      <c r="J715" s="36"/>
      <c r="M715" s="37"/>
      <c r="N715" s="37"/>
      <c r="R715" s="37"/>
      <c r="S715" s="37"/>
      <c r="T715" s="38"/>
      <c r="V715" s="18"/>
    </row>
    <row r="716" spans="10:22" ht="15.75" customHeight="1" x14ac:dyDescent="0.25">
      <c r="J716" s="36"/>
      <c r="M716" s="37"/>
      <c r="N716" s="37"/>
      <c r="R716" s="37"/>
      <c r="S716" s="37"/>
      <c r="T716" s="38"/>
      <c r="V716" s="18"/>
    </row>
    <row r="717" spans="10:22" ht="15.75" customHeight="1" x14ac:dyDescent="0.25">
      <c r="J717" s="36"/>
      <c r="M717" s="37"/>
      <c r="N717" s="37"/>
      <c r="R717" s="37"/>
      <c r="S717" s="37"/>
      <c r="T717" s="38"/>
      <c r="V717" s="18"/>
    </row>
    <row r="718" spans="10:22" ht="15.75" customHeight="1" x14ac:dyDescent="0.25">
      <c r="J718" s="36"/>
      <c r="M718" s="37"/>
      <c r="N718" s="37"/>
      <c r="R718" s="37"/>
      <c r="S718" s="37"/>
      <c r="T718" s="38"/>
      <c r="V718" s="18"/>
    </row>
    <row r="719" spans="10:22" ht="15.75" customHeight="1" x14ac:dyDescent="0.25">
      <c r="J719" s="36"/>
      <c r="M719" s="37"/>
      <c r="N719" s="37"/>
      <c r="R719" s="37"/>
      <c r="S719" s="37"/>
      <c r="T719" s="38"/>
      <c r="V719" s="18"/>
    </row>
    <row r="720" spans="10:22" ht="15.75" customHeight="1" x14ac:dyDescent="0.25">
      <c r="J720" s="36"/>
      <c r="M720" s="37"/>
      <c r="N720" s="37"/>
      <c r="R720" s="37"/>
      <c r="S720" s="37"/>
      <c r="T720" s="38"/>
      <c r="V720" s="18"/>
    </row>
    <row r="721" spans="10:22" ht="15.75" customHeight="1" x14ac:dyDescent="0.25">
      <c r="J721" s="36"/>
      <c r="M721" s="37"/>
      <c r="N721" s="37"/>
      <c r="R721" s="37"/>
      <c r="S721" s="37"/>
      <c r="T721" s="38"/>
      <c r="V721" s="18"/>
    </row>
    <row r="722" spans="10:22" ht="15.75" customHeight="1" x14ac:dyDescent="0.25">
      <c r="J722" s="36"/>
      <c r="M722" s="37"/>
      <c r="N722" s="37"/>
      <c r="R722" s="37"/>
      <c r="S722" s="37"/>
      <c r="T722" s="38"/>
      <c r="V722" s="18"/>
    </row>
    <row r="723" spans="10:22" ht="15.75" customHeight="1" x14ac:dyDescent="0.25">
      <c r="J723" s="36"/>
      <c r="M723" s="37"/>
      <c r="N723" s="37"/>
      <c r="R723" s="37"/>
      <c r="S723" s="37"/>
      <c r="T723" s="38"/>
      <c r="V723" s="18"/>
    </row>
    <row r="724" spans="10:22" ht="15.75" customHeight="1" x14ac:dyDescent="0.25">
      <c r="J724" s="36"/>
      <c r="M724" s="37"/>
      <c r="N724" s="37"/>
      <c r="R724" s="37"/>
      <c r="S724" s="37"/>
      <c r="T724" s="38"/>
      <c r="V724" s="18"/>
    </row>
    <row r="725" spans="10:22" ht="15.75" customHeight="1" x14ac:dyDescent="0.25">
      <c r="J725" s="36"/>
      <c r="M725" s="37"/>
      <c r="N725" s="37"/>
      <c r="R725" s="37"/>
      <c r="S725" s="37"/>
      <c r="T725" s="38"/>
      <c r="V725" s="18"/>
    </row>
    <row r="726" spans="10:22" ht="15.75" customHeight="1" x14ac:dyDescent="0.25">
      <c r="J726" s="36"/>
      <c r="M726" s="37"/>
      <c r="N726" s="37"/>
      <c r="R726" s="37"/>
      <c r="S726" s="37"/>
      <c r="T726" s="38"/>
      <c r="V726" s="18"/>
    </row>
    <row r="727" spans="10:22" ht="15.75" customHeight="1" x14ac:dyDescent="0.25">
      <c r="J727" s="36"/>
      <c r="M727" s="37"/>
      <c r="N727" s="37"/>
      <c r="R727" s="37"/>
      <c r="S727" s="37"/>
      <c r="T727" s="38"/>
      <c r="V727" s="18"/>
    </row>
    <row r="728" spans="10:22" ht="15.75" customHeight="1" x14ac:dyDescent="0.25">
      <c r="J728" s="36"/>
      <c r="M728" s="37"/>
      <c r="N728" s="37"/>
      <c r="R728" s="37"/>
      <c r="S728" s="37"/>
      <c r="T728" s="38"/>
      <c r="V728" s="18"/>
    </row>
    <row r="729" spans="10:22" ht="15.75" customHeight="1" x14ac:dyDescent="0.25">
      <c r="J729" s="36"/>
      <c r="M729" s="37"/>
      <c r="N729" s="37"/>
      <c r="R729" s="37"/>
      <c r="S729" s="37"/>
      <c r="T729" s="38"/>
      <c r="V729" s="18"/>
    </row>
    <row r="730" spans="10:22" ht="15.75" customHeight="1" x14ac:dyDescent="0.25">
      <c r="J730" s="36"/>
      <c r="M730" s="37"/>
      <c r="N730" s="37"/>
      <c r="R730" s="37"/>
      <c r="S730" s="37"/>
      <c r="T730" s="38"/>
      <c r="V730" s="18"/>
    </row>
    <row r="731" spans="10:22" ht="15.75" customHeight="1" x14ac:dyDescent="0.25">
      <c r="J731" s="36"/>
      <c r="M731" s="37"/>
      <c r="N731" s="37"/>
      <c r="R731" s="37"/>
      <c r="S731" s="37"/>
      <c r="T731" s="38"/>
      <c r="V731" s="18"/>
    </row>
    <row r="732" spans="10:22" ht="15.75" customHeight="1" x14ac:dyDescent="0.25">
      <c r="J732" s="36"/>
      <c r="M732" s="37"/>
      <c r="N732" s="37"/>
      <c r="R732" s="37"/>
      <c r="S732" s="37"/>
      <c r="T732" s="38"/>
      <c r="V732" s="18"/>
    </row>
    <row r="733" spans="10:22" ht="15.75" customHeight="1" x14ac:dyDescent="0.25">
      <c r="J733" s="36"/>
      <c r="M733" s="37"/>
      <c r="N733" s="37"/>
      <c r="R733" s="37"/>
      <c r="S733" s="37"/>
      <c r="T733" s="38"/>
      <c r="V733" s="18"/>
    </row>
    <row r="734" spans="10:22" ht="15.75" customHeight="1" x14ac:dyDescent="0.25">
      <c r="J734" s="36"/>
      <c r="M734" s="37"/>
      <c r="N734" s="37"/>
      <c r="R734" s="37"/>
      <c r="S734" s="37"/>
      <c r="T734" s="38"/>
      <c r="V734" s="18"/>
    </row>
    <row r="735" spans="10:22" ht="15.75" customHeight="1" x14ac:dyDescent="0.25">
      <c r="J735" s="36"/>
      <c r="M735" s="37"/>
      <c r="N735" s="37"/>
      <c r="R735" s="37"/>
      <c r="S735" s="37"/>
      <c r="T735" s="38"/>
      <c r="V735" s="18"/>
    </row>
    <row r="736" spans="10:22" ht="15.75" customHeight="1" x14ac:dyDescent="0.25">
      <c r="J736" s="36"/>
      <c r="M736" s="37"/>
      <c r="N736" s="37"/>
      <c r="R736" s="37"/>
      <c r="S736" s="37"/>
      <c r="T736" s="38"/>
      <c r="V736" s="18"/>
    </row>
    <row r="737" spans="10:22" ht="15.75" customHeight="1" x14ac:dyDescent="0.25">
      <c r="J737" s="36"/>
      <c r="M737" s="37"/>
      <c r="N737" s="37"/>
      <c r="R737" s="37"/>
      <c r="S737" s="37"/>
      <c r="T737" s="38"/>
      <c r="V737" s="18"/>
    </row>
    <row r="738" spans="10:22" ht="15.75" customHeight="1" x14ac:dyDescent="0.25">
      <c r="J738" s="36"/>
      <c r="M738" s="37"/>
      <c r="N738" s="37"/>
      <c r="R738" s="37"/>
      <c r="S738" s="37"/>
      <c r="T738" s="38"/>
      <c r="V738" s="18"/>
    </row>
    <row r="739" spans="10:22" ht="15.75" customHeight="1" x14ac:dyDescent="0.25">
      <c r="J739" s="36"/>
      <c r="M739" s="37"/>
      <c r="N739" s="37"/>
      <c r="R739" s="37"/>
      <c r="S739" s="37"/>
      <c r="T739" s="38"/>
      <c r="V739" s="18"/>
    </row>
    <row r="740" spans="10:22" ht="15.75" customHeight="1" x14ac:dyDescent="0.25">
      <c r="J740" s="36"/>
      <c r="M740" s="37"/>
      <c r="N740" s="37"/>
      <c r="R740" s="37"/>
      <c r="S740" s="37"/>
      <c r="T740" s="38"/>
      <c r="V740" s="18"/>
    </row>
    <row r="741" spans="10:22" ht="15.75" customHeight="1" x14ac:dyDescent="0.25">
      <c r="J741" s="36"/>
      <c r="M741" s="37"/>
      <c r="N741" s="37"/>
      <c r="R741" s="37"/>
      <c r="S741" s="37"/>
      <c r="T741" s="38"/>
      <c r="V741" s="18"/>
    </row>
    <row r="742" spans="10:22" ht="15.75" customHeight="1" x14ac:dyDescent="0.25">
      <c r="J742" s="36"/>
      <c r="M742" s="37"/>
      <c r="N742" s="37"/>
      <c r="R742" s="37"/>
      <c r="S742" s="37"/>
      <c r="T742" s="38"/>
      <c r="V742" s="18"/>
    </row>
    <row r="743" spans="10:22" ht="15.75" customHeight="1" x14ac:dyDescent="0.25">
      <c r="J743" s="36"/>
      <c r="M743" s="37"/>
      <c r="N743" s="37"/>
      <c r="R743" s="37"/>
      <c r="S743" s="37"/>
      <c r="T743" s="38"/>
      <c r="V743" s="18"/>
    </row>
    <row r="744" spans="10:22" ht="15.75" customHeight="1" x14ac:dyDescent="0.25">
      <c r="J744" s="36"/>
      <c r="M744" s="37"/>
      <c r="N744" s="37"/>
      <c r="R744" s="37"/>
      <c r="S744" s="37"/>
      <c r="T744" s="38"/>
      <c r="V744" s="18"/>
    </row>
    <row r="745" spans="10:22" ht="15.75" customHeight="1" x14ac:dyDescent="0.25">
      <c r="J745" s="36"/>
      <c r="M745" s="37"/>
      <c r="N745" s="37"/>
      <c r="R745" s="37"/>
      <c r="S745" s="37"/>
      <c r="T745" s="38"/>
      <c r="V745" s="18"/>
    </row>
    <row r="746" spans="10:22" ht="15.75" customHeight="1" x14ac:dyDescent="0.25">
      <c r="J746" s="36"/>
      <c r="M746" s="37"/>
      <c r="N746" s="37"/>
      <c r="R746" s="37"/>
      <c r="S746" s="37"/>
      <c r="T746" s="38"/>
      <c r="V746" s="18"/>
    </row>
    <row r="747" spans="10:22" ht="15.75" customHeight="1" x14ac:dyDescent="0.25">
      <c r="J747" s="36"/>
      <c r="M747" s="37"/>
      <c r="N747" s="37"/>
      <c r="R747" s="37"/>
      <c r="S747" s="37"/>
      <c r="T747" s="38"/>
      <c r="V747" s="18"/>
    </row>
    <row r="748" spans="10:22" ht="15.75" customHeight="1" x14ac:dyDescent="0.25">
      <c r="J748" s="36"/>
      <c r="M748" s="37"/>
      <c r="N748" s="37"/>
      <c r="R748" s="37"/>
      <c r="S748" s="37"/>
      <c r="T748" s="38"/>
      <c r="V748" s="18"/>
    </row>
    <row r="749" spans="10:22" ht="15.75" customHeight="1" x14ac:dyDescent="0.25">
      <c r="J749" s="36"/>
      <c r="M749" s="37"/>
      <c r="N749" s="37"/>
      <c r="R749" s="37"/>
      <c r="S749" s="37"/>
      <c r="T749" s="38"/>
      <c r="V749" s="18"/>
    </row>
    <row r="750" spans="10:22" ht="15.75" customHeight="1" x14ac:dyDescent="0.25">
      <c r="J750" s="36"/>
      <c r="M750" s="37"/>
      <c r="N750" s="37"/>
      <c r="R750" s="37"/>
      <c r="S750" s="37"/>
      <c r="T750" s="38"/>
      <c r="V750" s="18"/>
    </row>
    <row r="751" spans="10:22" ht="15.75" customHeight="1" x14ac:dyDescent="0.25">
      <c r="J751" s="36"/>
      <c r="M751" s="37"/>
      <c r="N751" s="37"/>
      <c r="R751" s="37"/>
      <c r="S751" s="37"/>
      <c r="T751" s="38"/>
      <c r="V751" s="18"/>
    </row>
    <row r="752" spans="10:22" ht="15.75" customHeight="1" x14ac:dyDescent="0.25">
      <c r="J752" s="36"/>
      <c r="M752" s="37"/>
      <c r="N752" s="37"/>
      <c r="R752" s="37"/>
      <c r="S752" s="37"/>
      <c r="T752" s="38"/>
      <c r="V752" s="18"/>
    </row>
    <row r="753" spans="10:22" ht="15.75" customHeight="1" x14ac:dyDescent="0.25">
      <c r="J753" s="36"/>
      <c r="M753" s="37"/>
      <c r="N753" s="37"/>
      <c r="R753" s="37"/>
      <c r="S753" s="37"/>
      <c r="T753" s="38"/>
      <c r="V753" s="18"/>
    </row>
    <row r="754" spans="10:22" ht="15.75" customHeight="1" x14ac:dyDescent="0.25">
      <c r="J754" s="36"/>
      <c r="M754" s="37"/>
      <c r="N754" s="37"/>
      <c r="R754" s="37"/>
      <c r="S754" s="37"/>
      <c r="T754" s="38"/>
      <c r="V754" s="18"/>
    </row>
    <row r="755" spans="10:22" ht="15.75" customHeight="1" x14ac:dyDescent="0.25">
      <c r="J755" s="36"/>
      <c r="M755" s="37"/>
      <c r="N755" s="37"/>
      <c r="R755" s="37"/>
      <c r="S755" s="37"/>
      <c r="T755" s="38"/>
      <c r="V755" s="18"/>
    </row>
    <row r="756" spans="10:22" ht="15.75" customHeight="1" x14ac:dyDescent="0.25">
      <c r="J756" s="36"/>
      <c r="M756" s="37"/>
      <c r="N756" s="37"/>
      <c r="R756" s="37"/>
      <c r="S756" s="37"/>
      <c r="T756" s="38"/>
      <c r="V756" s="18"/>
    </row>
    <row r="757" spans="10:22" ht="15.75" customHeight="1" x14ac:dyDescent="0.25">
      <c r="J757" s="36"/>
      <c r="M757" s="37"/>
      <c r="N757" s="37"/>
      <c r="R757" s="37"/>
      <c r="S757" s="37"/>
      <c r="T757" s="38"/>
      <c r="V757" s="18"/>
    </row>
    <row r="758" spans="10:22" ht="15.75" customHeight="1" x14ac:dyDescent="0.25">
      <c r="J758" s="36"/>
      <c r="M758" s="37"/>
      <c r="N758" s="37"/>
      <c r="R758" s="37"/>
      <c r="S758" s="37"/>
      <c r="T758" s="38"/>
      <c r="V758" s="18"/>
    </row>
    <row r="759" spans="10:22" ht="15.75" customHeight="1" x14ac:dyDescent="0.25">
      <c r="J759" s="36"/>
      <c r="M759" s="37"/>
      <c r="N759" s="37"/>
      <c r="R759" s="37"/>
      <c r="S759" s="37"/>
      <c r="T759" s="38"/>
      <c r="V759" s="18"/>
    </row>
    <row r="760" spans="10:22" ht="15.75" customHeight="1" x14ac:dyDescent="0.25">
      <c r="J760" s="36"/>
      <c r="M760" s="37"/>
      <c r="N760" s="37"/>
      <c r="R760" s="37"/>
      <c r="S760" s="37"/>
      <c r="T760" s="38"/>
      <c r="V760" s="18"/>
    </row>
    <row r="761" spans="10:22" ht="15.75" customHeight="1" x14ac:dyDescent="0.25">
      <c r="J761" s="36"/>
      <c r="M761" s="37"/>
      <c r="N761" s="37"/>
      <c r="R761" s="37"/>
      <c r="S761" s="37"/>
      <c r="T761" s="38"/>
      <c r="V761" s="18"/>
    </row>
    <row r="762" spans="10:22" ht="15.75" customHeight="1" x14ac:dyDescent="0.25">
      <c r="J762" s="36"/>
      <c r="M762" s="37"/>
      <c r="N762" s="37"/>
      <c r="R762" s="37"/>
      <c r="S762" s="37"/>
      <c r="T762" s="38"/>
      <c r="V762" s="18"/>
    </row>
    <row r="763" spans="10:22" ht="15.75" customHeight="1" x14ac:dyDescent="0.25">
      <c r="J763" s="36"/>
      <c r="M763" s="37"/>
      <c r="N763" s="37"/>
      <c r="R763" s="37"/>
      <c r="S763" s="37"/>
      <c r="T763" s="38"/>
      <c r="V763" s="18"/>
    </row>
    <row r="764" spans="10:22" ht="15.75" customHeight="1" x14ac:dyDescent="0.25">
      <c r="J764" s="36"/>
      <c r="M764" s="37"/>
      <c r="N764" s="37"/>
      <c r="R764" s="37"/>
      <c r="S764" s="37"/>
      <c r="T764" s="38"/>
      <c r="V764" s="18"/>
    </row>
    <row r="765" spans="10:22" ht="15.75" customHeight="1" x14ac:dyDescent="0.25">
      <c r="J765" s="36"/>
      <c r="M765" s="37"/>
      <c r="N765" s="37"/>
      <c r="R765" s="37"/>
      <c r="S765" s="37"/>
      <c r="T765" s="38"/>
      <c r="V765" s="18"/>
    </row>
    <row r="766" spans="10:22" ht="15.75" customHeight="1" x14ac:dyDescent="0.25">
      <c r="J766" s="36"/>
      <c r="M766" s="37"/>
      <c r="N766" s="37"/>
      <c r="R766" s="37"/>
      <c r="S766" s="37"/>
      <c r="T766" s="38"/>
      <c r="V766" s="18"/>
    </row>
    <row r="767" spans="10:22" ht="15.75" customHeight="1" x14ac:dyDescent="0.25">
      <c r="J767" s="36"/>
      <c r="M767" s="37"/>
      <c r="N767" s="37"/>
      <c r="R767" s="37"/>
      <c r="S767" s="37"/>
      <c r="T767" s="38"/>
      <c r="V767" s="18"/>
    </row>
    <row r="768" spans="10:22" ht="15.75" customHeight="1" x14ac:dyDescent="0.25">
      <c r="J768" s="36"/>
      <c r="M768" s="37"/>
      <c r="N768" s="37"/>
      <c r="R768" s="37"/>
      <c r="S768" s="37"/>
      <c r="T768" s="38"/>
      <c r="V768" s="18"/>
    </row>
    <row r="769" spans="10:22" ht="15.75" customHeight="1" x14ac:dyDescent="0.25">
      <c r="J769" s="36"/>
      <c r="M769" s="37"/>
      <c r="N769" s="37"/>
      <c r="R769" s="37"/>
      <c r="S769" s="37"/>
      <c r="T769" s="38"/>
      <c r="V769" s="18"/>
    </row>
    <row r="770" spans="10:22" ht="15.75" customHeight="1" x14ac:dyDescent="0.25">
      <c r="J770" s="36"/>
      <c r="M770" s="37"/>
      <c r="N770" s="37"/>
      <c r="R770" s="37"/>
      <c r="S770" s="37"/>
      <c r="T770" s="38"/>
      <c r="V770" s="18"/>
    </row>
    <row r="771" spans="10:22" ht="15.75" customHeight="1" x14ac:dyDescent="0.25">
      <c r="J771" s="36"/>
      <c r="M771" s="37"/>
      <c r="N771" s="37"/>
      <c r="R771" s="37"/>
      <c r="S771" s="37"/>
      <c r="T771" s="38"/>
      <c r="V771" s="18"/>
    </row>
    <row r="772" spans="10:22" ht="15.75" customHeight="1" x14ac:dyDescent="0.25">
      <c r="J772" s="36"/>
      <c r="M772" s="37"/>
      <c r="N772" s="37"/>
      <c r="R772" s="37"/>
      <c r="S772" s="37"/>
      <c r="T772" s="38"/>
      <c r="V772" s="18"/>
    </row>
    <row r="773" spans="10:22" ht="15.75" customHeight="1" x14ac:dyDescent="0.25">
      <c r="J773" s="36"/>
      <c r="M773" s="37"/>
      <c r="N773" s="37"/>
      <c r="R773" s="37"/>
      <c r="S773" s="37"/>
      <c r="T773" s="38"/>
      <c r="V773" s="18"/>
    </row>
    <row r="774" spans="10:22" ht="15.75" customHeight="1" x14ac:dyDescent="0.25">
      <c r="J774" s="36"/>
      <c r="M774" s="37"/>
      <c r="N774" s="37"/>
      <c r="R774" s="37"/>
      <c r="S774" s="37"/>
      <c r="T774" s="38"/>
      <c r="V774" s="18"/>
    </row>
    <row r="775" spans="10:22" ht="15.75" customHeight="1" x14ac:dyDescent="0.25">
      <c r="J775" s="36"/>
      <c r="M775" s="37"/>
      <c r="N775" s="37"/>
      <c r="R775" s="37"/>
      <c r="S775" s="37"/>
      <c r="T775" s="38"/>
      <c r="V775" s="18"/>
    </row>
    <row r="776" spans="10:22" ht="15.75" customHeight="1" x14ac:dyDescent="0.25">
      <c r="J776" s="36"/>
      <c r="M776" s="37"/>
      <c r="N776" s="37"/>
      <c r="R776" s="37"/>
      <c r="S776" s="37"/>
      <c r="T776" s="38"/>
      <c r="V776" s="18"/>
    </row>
    <row r="777" spans="10:22" ht="15.75" customHeight="1" x14ac:dyDescent="0.25">
      <c r="J777" s="36"/>
      <c r="M777" s="37"/>
      <c r="N777" s="37"/>
      <c r="R777" s="37"/>
      <c r="S777" s="37"/>
      <c r="T777" s="38"/>
      <c r="V777" s="18"/>
    </row>
    <row r="778" spans="10:22" ht="15.75" customHeight="1" x14ac:dyDescent="0.25">
      <c r="J778" s="36"/>
      <c r="M778" s="37"/>
      <c r="N778" s="37"/>
      <c r="R778" s="37"/>
      <c r="S778" s="37"/>
      <c r="T778" s="38"/>
      <c r="V778" s="18"/>
    </row>
    <row r="779" spans="10:22" ht="15.75" customHeight="1" x14ac:dyDescent="0.25">
      <c r="J779" s="36"/>
      <c r="M779" s="37"/>
      <c r="N779" s="37"/>
      <c r="R779" s="37"/>
      <c r="S779" s="37"/>
      <c r="T779" s="38"/>
      <c r="V779" s="18"/>
    </row>
    <row r="780" spans="10:22" ht="15.75" customHeight="1" x14ac:dyDescent="0.25">
      <c r="J780" s="36"/>
      <c r="M780" s="37"/>
      <c r="N780" s="37"/>
      <c r="R780" s="37"/>
      <c r="S780" s="37"/>
      <c r="T780" s="38"/>
      <c r="V780" s="18"/>
    </row>
    <row r="781" spans="10:22" ht="15.75" customHeight="1" x14ac:dyDescent="0.25">
      <c r="J781" s="36"/>
      <c r="M781" s="37"/>
      <c r="N781" s="37"/>
      <c r="R781" s="37"/>
      <c r="S781" s="37"/>
      <c r="T781" s="38"/>
      <c r="V781" s="18"/>
    </row>
    <row r="782" spans="10:22" ht="15.75" customHeight="1" x14ac:dyDescent="0.25">
      <c r="J782" s="36"/>
      <c r="M782" s="37"/>
      <c r="N782" s="37"/>
      <c r="R782" s="37"/>
      <c r="S782" s="37"/>
      <c r="T782" s="38"/>
      <c r="V782" s="18"/>
    </row>
    <row r="783" spans="10:22" ht="15.75" customHeight="1" x14ac:dyDescent="0.25">
      <c r="J783" s="36"/>
      <c r="M783" s="37"/>
      <c r="N783" s="37"/>
      <c r="R783" s="37"/>
      <c r="S783" s="37"/>
      <c r="T783" s="38"/>
      <c r="V783" s="18"/>
    </row>
    <row r="784" spans="10:22" ht="15.75" customHeight="1" x14ac:dyDescent="0.25">
      <c r="J784" s="36"/>
      <c r="M784" s="37"/>
      <c r="N784" s="37"/>
      <c r="R784" s="37"/>
      <c r="S784" s="37"/>
      <c r="T784" s="38"/>
      <c r="V784" s="18"/>
    </row>
    <row r="785" spans="10:22" ht="15.75" customHeight="1" x14ac:dyDescent="0.25">
      <c r="J785" s="36"/>
      <c r="M785" s="37"/>
      <c r="N785" s="37"/>
      <c r="R785" s="37"/>
      <c r="S785" s="37"/>
      <c r="T785" s="38"/>
      <c r="V785" s="18"/>
    </row>
    <row r="786" spans="10:22" ht="15.75" customHeight="1" x14ac:dyDescent="0.25">
      <c r="J786" s="36"/>
      <c r="M786" s="37"/>
      <c r="N786" s="37"/>
      <c r="R786" s="37"/>
      <c r="S786" s="37"/>
      <c r="T786" s="38"/>
      <c r="V786" s="18"/>
    </row>
    <row r="787" spans="10:22" ht="15.75" customHeight="1" x14ac:dyDescent="0.25">
      <c r="J787" s="36"/>
      <c r="M787" s="37"/>
      <c r="N787" s="37"/>
      <c r="R787" s="37"/>
      <c r="S787" s="37"/>
      <c r="T787" s="38"/>
      <c r="V787" s="18"/>
    </row>
    <row r="788" spans="10:22" ht="15.75" customHeight="1" x14ac:dyDescent="0.25">
      <c r="J788" s="36"/>
      <c r="M788" s="37"/>
      <c r="N788" s="37"/>
      <c r="R788" s="37"/>
      <c r="S788" s="37"/>
      <c r="T788" s="38"/>
      <c r="V788" s="18"/>
    </row>
    <row r="789" spans="10:22" ht="15.75" customHeight="1" x14ac:dyDescent="0.25">
      <c r="J789" s="36"/>
      <c r="M789" s="37"/>
      <c r="N789" s="37"/>
      <c r="R789" s="37"/>
      <c r="S789" s="37"/>
      <c r="T789" s="38"/>
      <c r="V789" s="18"/>
    </row>
    <row r="790" spans="10:22" ht="15.75" customHeight="1" x14ac:dyDescent="0.25">
      <c r="J790" s="36"/>
      <c r="M790" s="37"/>
      <c r="N790" s="37"/>
      <c r="R790" s="37"/>
      <c r="S790" s="37"/>
      <c r="T790" s="38"/>
      <c r="V790" s="18"/>
    </row>
    <row r="791" spans="10:22" ht="15.75" customHeight="1" x14ac:dyDescent="0.25">
      <c r="J791" s="36"/>
      <c r="M791" s="37"/>
      <c r="N791" s="37"/>
      <c r="R791" s="37"/>
      <c r="S791" s="37"/>
      <c r="T791" s="38"/>
      <c r="V791" s="18"/>
    </row>
    <row r="792" spans="10:22" ht="15.75" customHeight="1" x14ac:dyDescent="0.25">
      <c r="J792" s="36"/>
      <c r="M792" s="37"/>
      <c r="N792" s="37"/>
      <c r="R792" s="37"/>
      <c r="S792" s="37"/>
      <c r="T792" s="38"/>
      <c r="V792" s="18"/>
    </row>
    <row r="793" spans="10:22" ht="15.75" customHeight="1" x14ac:dyDescent="0.25">
      <c r="J793" s="36"/>
      <c r="M793" s="37"/>
      <c r="N793" s="37"/>
      <c r="R793" s="37"/>
      <c r="S793" s="37"/>
      <c r="T793" s="38"/>
      <c r="V793" s="18"/>
    </row>
    <row r="794" spans="10:22" ht="15.75" customHeight="1" x14ac:dyDescent="0.25">
      <c r="J794" s="36"/>
      <c r="M794" s="37"/>
      <c r="N794" s="37"/>
      <c r="R794" s="37"/>
      <c r="S794" s="37"/>
      <c r="T794" s="38"/>
      <c r="V794" s="18"/>
    </row>
    <row r="795" spans="10:22" ht="15.75" customHeight="1" x14ac:dyDescent="0.25">
      <c r="J795" s="36"/>
      <c r="M795" s="37"/>
      <c r="N795" s="37"/>
      <c r="R795" s="37"/>
      <c r="S795" s="37"/>
      <c r="T795" s="38"/>
      <c r="V795" s="18"/>
    </row>
    <row r="796" spans="10:22" ht="15.75" customHeight="1" x14ac:dyDescent="0.25">
      <c r="J796" s="36"/>
      <c r="M796" s="37"/>
      <c r="N796" s="37"/>
      <c r="R796" s="37"/>
      <c r="S796" s="37"/>
      <c r="T796" s="38"/>
      <c r="V796" s="18"/>
    </row>
    <row r="797" spans="10:22" ht="15.75" customHeight="1" x14ac:dyDescent="0.25">
      <c r="J797" s="36"/>
      <c r="M797" s="37"/>
      <c r="N797" s="37"/>
      <c r="R797" s="37"/>
      <c r="S797" s="37"/>
      <c r="T797" s="38"/>
      <c r="V797" s="18"/>
    </row>
    <row r="798" spans="10:22" ht="15.75" customHeight="1" x14ac:dyDescent="0.25">
      <c r="J798" s="36"/>
      <c r="M798" s="37"/>
      <c r="N798" s="37"/>
      <c r="R798" s="37"/>
      <c r="S798" s="37"/>
      <c r="T798" s="38"/>
      <c r="V798" s="18"/>
    </row>
    <row r="799" spans="10:22" ht="15.75" customHeight="1" x14ac:dyDescent="0.25">
      <c r="J799" s="36"/>
      <c r="M799" s="37"/>
      <c r="N799" s="37"/>
      <c r="R799" s="37"/>
      <c r="S799" s="37"/>
      <c r="T799" s="38"/>
      <c r="V799" s="18"/>
    </row>
    <row r="800" spans="10:22" ht="15.75" customHeight="1" x14ac:dyDescent="0.25">
      <c r="J800" s="36"/>
      <c r="M800" s="37"/>
      <c r="N800" s="37"/>
      <c r="R800" s="37"/>
      <c r="S800" s="37"/>
      <c r="T800" s="38"/>
      <c r="V800" s="18"/>
    </row>
    <row r="801" spans="10:22" ht="15.75" customHeight="1" x14ac:dyDescent="0.25">
      <c r="J801" s="36"/>
      <c r="M801" s="37"/>
      <c r="N801" s="37"/>
      <c r="R801" s="37"/>
      <c r="S801" s="37"/>
      <c r="T801" s="38"/>
      <c r="V801" s="18"/>
    </row>
    <row r="802" spans="10:22" ht="15.75" customHeight="1" x14ac:dyDescent="0.25">
      <c r="J802" s="36"/>
      <c r="M802" s="37"/>
      <c r="N802" s="37"/>
      <c r="R802" s="37"/>
      <c r="S802" s="37"/>
      <c r="T802" s="38"/>
      <c r="V802" s="18"/>
    </row>
    <row r="803" spans="10:22" ht="15.75" customHeight="1" x14ac:dyDescent="0.25">
      <c r="J803" s="36"/>
      <c r="M803" s="37"/>
      <c r="N803" s="37"/>
      <c r="R803" s="37"/>
      <c r="S803" s="37"/>
      <c r="T803" s="38"/>
      <c r="V803" s="18"/>
    </row>
    <row r="804" spans="10:22" ht="15.75" customHeight="1" x14ac:dyDescent="0.25">
      <c r="J804" s="36"/>
      <c r="M804" s="37"/>
      <c r="N804" s="37"/>
      <c r="R804" s="37"/>
      <c r="S804" s="37"/>
      <c r="T804" s="38"/>
      <c r="V804" s="18"/>
    </row>
    <row r="805" spans="10:22" ht="15.75" customHeight="1" x14ac:dyDescent="0.25">
      <c r="J805" s="36"/>
      <c r="M805" s="37"/>
      <c r="N805" s="37"/>
      <c r="R805" s="37"/>
      <c r="S805" s="37"/>
      <c r="T805" s="38"/>
      <c r="V805" s="18"/>
    </row>
    <row r="806" spans="10:22" ht="15.75" customHeight="1" x14ac:dyDescent="0.25">
      <c r="J806" s="36"/>
      <c r="M806" s="37"/>
      <c r="N806" s="37"/>
      <c r="R806" s="37"/>
      <c r="S806" s="37"/>
      <c r="T806" s="38"/>
      <c r="V806" s="18"/>
    </row>
    <row r="807" spans="10:22" ht="15.75" customHeight="1" x14ac:dyDescent="0.25">
      <c r="J807" s="36"/>
      <c r="M807" s="37"/>
      <c r="N807" s="37"/>
      <c r="R807" s="37"/>
      <c r="S807" s="37"/>
      <c r="T807" s="38"/>
      <c r="V807" s="18"/>
    </row>
    <row r="808" spans="10:22" ht="15.75" customHeight="1" x14ac:dyDescent="0.25">
      <c r="J808" s="36"/>
      <c r="M808" s="37"/>
      <c r="N808" s="37"/>
      <c r="R808" s="37"/>
      <c r="S808" s="37"/>
      <c r="T808" s="38"/>
      <c r="V808" s="18"/>
    </row>
    <row r="809" spans="10:22" ht="15.75" customHeight="1" x14ac:dyDescent="0.25">
      <c r="J809" s="36"/>
      <c r="M809" s="37"/>
      <c r="N809" s="37"/>
      <c r="R809" s="37"/>
      <c r="S809" s="37"/>
      <c r="T809" s="38"/>
      <c r="V809" s="18"/>
    </row>
    <row r="810" spans="10:22" ht="15.75" customHeight="1" x14ac:dyDescent="0.25">
      <c r="J810" s="36"/>
      <c r="M810" s="37"/>
      <c r="N810" s="37"/>
      <c r="R810" s="37"/>
      <c r="S810" s="37"/>
      <c r="T810" s="38"/>
      <c r="V810" s="18"/>
    </row>
    <row r="811" spans="10:22" ht="15.75" customHeight="1" x14ac:dyDescent="0.25">
      <c r="J811" s="36"/>
      <c r="M811" s="37"/>
      <c r="N811" s="37"/>
      <c r="R811" s="37"/>
      <c r="S811" s="37"/>
      <c r="T811" s="38"/>
      <c r="V811" s="18"/>
    </row>
    <row r="812" spans="10:22" ht="15.75" customHeight="1" x14ac:dyDescent="0.25">
      <c r="J812" s="36"/>
      <c r="M812" s="37"/>
      <c r="N812" s="37"/>
      <c r="R812" s="37"/>
      <c r="S812" s="37"/>
      <c r="T812" s="38"/>
      <c r="V812" s="18"/>
    </row>
    <row r="813" spans="10:22" ht="15.75" customHeight="1" x14ac:dyDescent="0.25">
      <c r="J813" s="36"/>
      <c r="M813" s="37"/>
      <c r="N813" s="37"/>
      <c r="R813" s="37"/>
      <c r="S813" s="37"/>
      <c r="T813" s="38"/>
      <c r="V813" s="18"/>
    </row>
    <row r="814" spans="10:22" ht="15.75" customHeight="1" x14ac:dyDescent="0.25">
      <c r="J814" s="36"/>
      <c r="M814" s="37"/>
      <c r="N814" s="37"/>
      <c r="R814" s="37"/>
      <c r="S814" s="37"/>
      <c r="T814" s="38"/>
      <c r="V814" s="18"/>
    </row>
    <row r="815" spans="10:22" ht="15.75" customHeight="1" x14ac:dyDescent="0.25">
      <c r="J815" s="36"/>
      <c r="M815" s="37"/>
      <c r="N815" s="37"/>
      <c r="R815" s="37"/>
      <c r="S815" s="37"/>
      <c r="T815" s="38"/>
      <c r="V815" s="18"/>
    </row>
    <row r="816" spans="10:22" ht="15.75" customHeight="1" x14ac:dyDescent="0.25">
      <c r="J816" s="36"/>
      <c r="M816" s="37"/>
      <c r="N816" s="37"/>
      <c r="R816" s="37"/>
      <c r="S816" s="37"/>
      <c r="T816" s="38"/>
      <c r="V816" s="18"/>
    </row>
    <row r="817" spans="10:22" ht="15.75" customHeight="1" x14ac:dyDescent="0.25">
      <c r="J817" s="36"/>
      <c r="M817" s="37"/>
      <c r="N817" s="37"/>
      <c r="R817" s="37"/>
      <c r="S817" s="37"/>
      <c r="T817" s="38"/>
      <c r="V817" s="18"/>
    </row>
    <row r="818" spans="10:22" ht="15.75" customHeight="1" x14ac:dyDescent="0.25">
      <c r="J818" s="36"/>
      <c r="M818" s="37"/>
      <c r="N818" s="37"/>
      <c r="R818" s="37"/>
      <c r="S818" s="37"/>
      <c r="T818" s="38"/>
      <c r="V818" s="18"/>
    </row>
    <row r="819" spans="10:22" ht="15.75" customHeight="1" x14ac:dyDescent="0.25">
      <c r="J819" s="36"/>
      <c r="M819" s="37"/>
      <c r="N819" s="37"/>
      <c r="R819" s="37"/>
      <c r="S819" s="37"/>
      <c r="T819" s="38"/>
      <c r="V819" s="18"/>
    </row>
    <row r="820" spans="10:22" ht="15.75" customHeight="1" x14ac:dyDescent="0.25">
      <c r="J820" s="36"/>
      <c r="M820" s="37"/>
      <c r="N820" s="37"/>
      <c r="R820" s="37"/>
      <c r="S820" s="37"/>
      <c r="T820" s="38"/>
      <c r="V820" s="18"/>
    </row>
    <row r="821" spans="10:22" ht="15.75" customHeight="1" x14ac:dyDescent="0.25">
      <c r="J821" s="36"/>
      <c r="M821" s="37"/>
      <c r="N821" s="37"/>
      <c r="R821" s="37"/>
      <c r="S821" s="37"/>
      <c r="T821" s="38"/>
      <c r="V821" s="18"/>
    </row>
    <row r="822" spans="10:22" ht="15.75" customHeight="1" x14ac:dyDescent="0.25">
      <c r="J822" s="36"/>
      <c r="M822" s="37"/>
      <c r="N822" s="37"/>
      <c r="R822" s="37"/>
      <c r="S822" s="37"/>
      <c r="T822" s="38"/>
      <c r="V822" s="18"/>
    </row>
    <row r="823" spans="10:22" ht="15.75" customHeight="1" x14ac:dyDescent="0.25">
      <c r="J823" s="36"/>
      <c r="M823" s="37"/>
      <c r="N823" s="37"/>
      <c r="R823" s="37"/>
      <c r="S823" s="37"/>
      <c r="T823" s="38"/>
      <c r="V823" s="18"/>
    </row>
    <row r="824" spans="10:22" ht="15.75" customHeight="1" x14ac:dyDescent="0.25">
      <c r="J824" s="36"/>
      <c r="M824" s="37"/>
      <c r="N824" s="37"/>
      <c r="R824" s="37"/>
      <c r="S824" s="37"/>
      <c r="T824" s="38"/>
      <c r="V824" s="18"/>
    </row>
    <row r="825" spans="10:22" ht="15.75" customHeight="1" x14ac:dyDescent="0.25">
      <c r="J825" s="36"/>
      <c r="M825" s="37"/>
      <c r="N825" s="37"/>
      <c r="R825" s="37"/>
      <c r="S825" s="37"/>
      <c r="T825" s="38"/>
      <c r="V825" s="18"/>
    </row>
    <row r="826" spans="10:22" ht="15.75" customHeight="1" x14ac:dyDescent="0.25">
      <c r="J826" s="36"/>
      <c r="M826" s="37"/>
      <c r="N826" s="37"/>
      <c r="R826" s="37"/>
      <c r="S826" s="37"/>
      <c r="T826" s="38"/>
      <c r="V826" s="18"/>
    </row>
    <row r="827" spans="10:22" ht="15.75" customHeight="1" x14ac:dyDescent="0.25">
      <c r="J827" s="36"/>
      <c r="M827" s="37"/>
      <c r="N827" s="37"/>
      <c r="R827" s="37"/>
      <c r="S827" s="37"/>
      <c r="T827" s="38"/>
      <c r="V827" s="18"/>
    </row>
    <row r="828" spans="10:22" ht="15.75" customHeight="1" x14ac:dyDescent="0.25">
      <c r="J828" s="36"/>
      <c r="M828" s="37"/>
      <c r="N828" s="37"/>
      <c r="R828" s="37"/>
      <c r="S828" s="37"/>
      <c r="T828" s="38"/>
      <c r="V828" s="18"/>
    </row>
    <row r="829" spans="10:22" ht="15.75" customHeight="1" x14ac:dyDescent="0.25">
      <c r="J829" s="36"/>
      <c r="M829" s="37"/>
      <c r="N829" s="37"/>
      <c r="R829" s="37"/>
      <c r="S829" s="37"/>
      <c r="T829" s="38"/>
      <c r="V829" s="18"/>
    </row>
    <row r="830" spans="10:22" ht="15.75" customHeight="1" x14ac:dyDescent="0.25">
      <c r="J830" s="36"/>
      <c r="M830" s="37"/>
      <c r="N830" s="37"/>
      <c r="R830" s="37"/>
      <c r="S830" s="37"/>
      <c r="T830" s="38"/>
      <c r="V830" s="18"/>
    </row>
    <row r="831" spans="10:22" ht="15.75" customHeight="1" x14ac:dyDescent="0.25">
      <c r="J831" s="36"/>
      <c r="M831" s="37"/>
      <c r="N831" s="37"/>
      <c r="R831" s="37"/>
      <c r="S831" s="37"/>
      <c r="T831" s="38"/>
      <c r="V831" s="18"/>
    </row>
    <row r="832" spans="10:22" ht="15.75" customHeight="1" x14ac:dyDescent="0.25">
      <c r="J832" s="36"/>
      <c r="M832" s="37"/>
      <c r="N832" s="37"/>
      <c r="R832" s="37"/>
      <c r="S832" s="37"/>
      <c r="T832" s="38"/>
      <c r="V832" s="18"/>
    </row>
    <row r="833" spans="10:22" ht="15.75" customHeight="1" x14ac:dyDescent="0.25">
      <c r="J833" s="36"/>
      <c r="M833" s="37"/>
      <c r="N833" s="37"/>
      <c r="R833" s="37"/>
      <c r="S833" s="37"/>
      <c r="T833" s="38"/>
      <c r="V833" s="18"/>
    </row>
    <row r="834" spans="10:22" ht="15.75" customHeight="1" x14ac:dyDescent="0.25">
      <c r="J834" s="36"/>
      <c r="M834" s="37"/>
      <c r="N834" s="37"/>
      <c r="R834" s="37"/>
      <c r="S834" s="37"/>
      <c r="T834" s="38"/>
      <c r="V834" s="18"/>
    </row>
    <row r="835" spans="10:22" ht="15.75" customHeight="1" x14ac:dyDescent="0.25">
      <c r="J835" s="36"/>
      <c r="M835" s="37"/>
      <c r="N835" s="37"/>
      <c r="R835" s="37"/>
      <c r="S835" s="37"/>
      <c r="T835" s="38"/>
      <c r="V835" s="18"/>
    </row>
    <row r="836" spans="10:22" ht="15.75" customHeight="1" x14ac:dyDescent="0.25">
      <c r="J836" s="36"/>
      <c r="M836" s="37"/>
      <c r="N836" s="37"/>
      <c r="R836" s="37"/>
      <c r="S836" s="37"/>
      <c r="T836" s="38"/>
      <c r="V836" s="18"/>
    </row>
    <row r="837" spans="10:22" ht="15.75" customHeight="1" x14ac:dyDescent="0.25">
      <c r="J837" s="36"/>
      <c r="M837" s="37"/>
      <c r="N837" s="37"/>
      <c r="R837" s="37"/>
      <c r="S837" s="37"/>
      <c r="T837" s="38"/>
      <c r="V837" s="18"/>
    </row>
    <row r="838" spans="10:22" ht="15.75" customHeight="1" x14ac:dyDescent="0.25">
      <c r="J838" s="36"/>
      <c r="M838" s="37"/>
      <c r="N838" s="37"/>
      <c r="R838" s="37"/>
      <c r="S838" s="37"/>
      <c r="T838" s="38"/>
      <c r="V838" s="18"/>
    </row>
    <row r="839" spans="10:22" ht="15.75" customHeight="1" x14ac:dyDescent="0.25">
      <c r="J839" s="36"/>
      <c r="M839" s="37"/>
      <c r="N839" s="37"/>
      <c r="R839" s="37"/>
      <c r="S839" s="37"/>
      <c r="T839" s="38"/>
      <c r="V839" s="18"/>
    </row>
    <row r="840" spans="10:22" ht="15.75" customHeight="1" x14ac:dyDescent="0.25">
      <c r="J840" s="36"/>
      <c r="M840" s="37"/>
      <c r="N840" s="37"/>
      <c r="R840" s="37"/>
      <c r="S840" s="37"/>
      <c r="T840" s="38"/>
      <c r="V840" s="18"/>
    </row>
    <row r="841" spans="10:22" ht="15.75" customHeight="1" x14ac:dyDescent="0.25">
      <c r="J841" s="36"/>
      <c r="M841" s="37"/>
      <c r="N841" s="37"/>
      <c r="R841" s="37"/>
      <c r="S841" s="37"/>
      <c r="T841" s="38"/>
      <c r="V841" s="18"/>
    </row>
    <row r="842" spans="10:22" ht="15.75" customHeight="1" x14ac:dyDescent="0.25">
      <c r="J842" s="36"/>
      <c r="M842" s="37"/>
      <c r="N842" s="37"/>
      <c r="R842" s="37"/>
      <c r="S842" s="37"/>
      <c r="T842" s="38"/>
      <c r="V842" s="18"/>
    </row>
    <row r="843" spans="10:22" ht="15.75" customHeight="1" x14ac:dyDescent="0.25">
      <c r="J843" s="36"/>
      <c r="M843" s="37"/>
      <c r="N843" s="37"/>
      <c r="R843" s="37"/>
      <c r="S843" s="37"/>
      <c r="T843" s="38"/>
      <c r="V843" s="18"/>
    </row>
    <row r="844" spans="10:22" ht="15.75" customHeight="1" x14ac:dyDescent="0.25">
      <c r="J844" s="36"/>
      <c r="M844" s="37"/>
      <c r="N844" s="37"/>
      <c r="R844" s="37"/>
      <c r="S844" s="37"/>
      <c r="T844" s="38"/>
      <c r="V844" s="18"/>
    </row>
    <row r="845" spans="10:22" ht="15.75" customHeight="1" x14ac:dyDescent="0.25">
      <c r="J845" s="36"/>
      <c r="M845" s="37"/>
      <c r="N845" s="37"/>
      <c r="R845" s="37"/>
      <c r="S845" s="37"/>
      <c r="T845" s="38"/>
      <c r="V845" s="18"/>
    </row>
    <row r="846" spans="10:22" ht="15.75" customHeight="1" x14ac:dyDescent="0.25">
      <c r="J846" s="36"/>
      <c r="M846" s="37"/>
      <c r="N846" s="37"/>
      <c r="R846" s="37"/>
      <c r="S846" s="37"/>
      <c r="T846" s="38"/>
      <c r="V846" s="18"/>
    </row>
    <row r="847" spans="10:22" ht="15.75" customHeight="1" x14ac:dyDescent="0.25">
      <c r="J847" s="36"/>
      <c r="M847" s="37"/>
      <c r="N847" s="37"/>
      <c r="R847" s="37"/>
      <c r="S847" s="37"/>
      <c r="T847" s="38"/>
      <c r="V847" s="18"/>
    </row>
    <row r="848" spans="10:22" ht="15.75" customHeight="1" x14ac:dyDescent="0.25">
      <c r="J848" s="36"/>
      <c r="M848" s="37"/>
      <c r="N848" s="37"/>
      <c r="R848" s="37"/>
      <c r="S848" s="37"/>
      <c r="T848" s="38"/>
      <c r="V848" s="18"/>
    </row>
    <row r="849" spans="10:22" ht="15.75" customHeight="1" x14ac:dyDescent="0.25">
      <c r="J849" s="36"/>
      <c r="M849" s="37"/>
      <c r="N849" s="37"/>
      <c r="R849" s="37"/>
      <c r="S849" s="37"/>
      <c r="T849" s="38"/>
      <c r="V849" s="18"/>
    </row>
    <row r="850" spans="10:22" ht="15.75" customHeight="1" x14ac:dyDescent="0.25">
      <c r="J850" s="36"/>
      <c r="M850" s="37"/>
      <c r="N850" s="37"/>
      <c r="R850" s="37"/>
      <c r="S850" s="37"/>
      <c r="T850" s="38"/>
      <c r="V850" s="18"/>
    </row>
    <row r="851" spans="10:22" ht="15.75" customHeight="1" x14ac:dyDescent="0.25">
      <c r="J851" s="36"/>
      <c r="M851" s="37"/>
      <c r="N851" s="37"/>
      <c r="R851" s="37"/>
      <c r="S851" s="37"/>
      <c r="T851" s="38"/>
      <c r="V851" s="18"/>
    </row>
    <row r="852" spans="10:22" ht="15.75" customHeight="1" x14ac:dyDescent="0.25">
      <c r="J852" s="36"/>
      <c r="M852" s="37"/>
      <c r="N852" s="37"/>
      <c r="R852" s="37"/>
      <c r="S852" s="37"/>
      <c r="T852" s="38"/>
      <c r="V852" s="18"/>
    </row>
    <row r="853" spans="10:22" ht="15.75" customHeight="1" x14ac:dyDescent="0.25">
      <c r="J853" s="36"/>
      <c r="M853" s="37"/>
      <c r="N853" s="37"/>
      <c r="R853" s="37"/>
      <c r="S853" s="37"/>
      <c r="T853" s="38"/>
      <c r="V853" s="18"/>
    </row>
    <row r="854" spans="10:22" ht="15.75" customHeight="1" x14ac:dyDescent="0.25">
      <c r="J854" s="36"/>
      <c r="M854" s="37"/>
      <c r="N854" s="37"/>
      <c r="R854" s="37"/>
      <c r="S854" s="37"/>
      <c r="T854" s="38"/>
      <c r="V854" s="18"/>
    </row>
    <row r="855" spans="10:22" ht="15.75" customHeight="1" x14ac:dyDescent="0.25">
      <c r="J855" s="36"/>
      <c r="M855" s="37"/>
      <c r="N855" s="37"/>
      <c r="R855" s="37"/>
      <c r="S855" s="37"/>
      <c r="T855" s="38"/>
      <c r="V855" s="18"/>
    </row>
    <row r="856" spans="10:22" ht="15.75" customHeight="1" x14ac:dyDescent="0.25">
      <c r="J856" s="36"/>
      <c r="M856" s="37"/>
      <c r="N856" s="37"/>
      <c r="R856" s="37"/>
      <c r="S856" s="37"/>
      <c r="T856" s="38"/>
      <c r="V856" s="18"/>
    </row>
    <row r="857" spans="10:22" ht="15.75" customHeight="1" x14ac:dyDescent="0.25">
      <c r="J857" s="36"/>
      <c r="M857" s="37"/>
      <c r="N857" s="37"/>
      <c r="R857" s="37"/>
      <c r="S857" s="37"/>
      <c r="T857" s="38"/>
      <c r="V857" s="18"/>
    </row>
    <row r="858" spans="10:22" ht="15.75" customHeight="1" x14ac:dyDescent="0.25">
      <c r="J858" s="36"/>
      <c r="M858" s="37"/>
      <c r="N858" s="37"/>
      <c r="R858" s="37"/>
      <c r="S858" s="37"/>
      <c r="T858" s="38"/>
      <c r="V858" s="18"/>
    </row>
    <row r="859" spans="10:22" ht="15.75" customHeight="1" x14ac:dyDescent="0.25">
      <c r="J859" s="36"/>
      <c r="M859" s="37"/>
      <c r="N859" s="37"/>
      <c r="R859" s="37"/>
      <c r="S859" s="37"/>
      <c r="T859" s="38"/>
      <c r="V859" s="18"/>
    </row>
    <row r="860" spans="10:22" ht="15.75" customHeight="1" x14ac:dyDescent="0.25">
      <c r="J860" s="36"/>
      <c r="M860" s="37"/>
      <c r="N860" s="37"/>
      <c r="R860" s="37"/>
      <c r="S860" s="37"/>
      <c r="T860" s="38"/>
      <c r="V860" s="18"/>
    </row>
    <row r="861" spans="10:22" ht="15.75" customHeight="1" x14ac:dyDescent="0.25">
      <c r="J861" s="36"/>
      <c r="M861" s="37"/>
      <c r="N861" s="37"/>
      <c r="R861" s="37"/>
      <c r="S861" s="37"/>
      <c r="T861" s="38"/>
      <c r="V861" s="18"/>
    </row>
    <row r="862" spans="10:22" ht="15.75" customHeight="1" x14ac:dyDescent="0.25">
      <c r="J862" s="36"/>
      <c r="M862" s="37"/>
      <c r="N862" s="37"/>
      <c r="R862" s="37"/>
      <c r="S862" s="37"/>
      <c r="T862" s="38"/>
      <c r="V862" s="18"/>
    </row>
    <row r="863" spans="10:22" ht="15.75" customHeight="1" x14ac:dyDescent="0.25">
      <c r="J863" s="36"/>
      <c r="M863" s="37"/>
      <c r="N863" s="37"/>
      <c r="R863" s="37"/>
      <c r="S863" s="37"/>
      <c r="T863" s="38"/>
      <c r="V863" s="18"/>
    </row>
    <row r="864" spans="10:22" ht="15.75" customHeight="1" x14ac:dyDescent="0.25">
      <c r="J864" s="36"/>
      <c r="M864" s="37"/>
      <c r="N864" s="37"/>
      <c r="R864" s="37"/>
      <c r="S864" s="37"/>
      <c r="T864" s="38"/>
      <c r="V864" s="18"/>
    </row>
    <row r="865" spans="10:22" ht="15.75" customHeight="1" x14ac:dyDescent="0.25">
      <c r="J865" s="36"/>
      <c r="M865" s="37"/>
      <c r="N865" s="37"/>
      <c r="R865" s="37"/>
      <c r="S865" s="37"/>
      <c r="T865" s="38"/>
      <c r="V865" s="18"/>
    </row>
    <row r="866" spans="10:22" ht="15.75" customHeight="1" x14ac:dyDescent="0.25">
      <c r="J866" s="36"/>
      <c r="M866" s="37"/>
      <c r="N866" s="37"/>
      <c r="R866" s="37"/>
      <c r="S866" s="37"/>
      <c r="T866" s="38"/>
      <c r="V866" s="18"/>
    </row>
    <row r="867" spans="10:22" ht="15.75" customHeight="1" x14ac:dyDescent="0.25">
      <c r="J867" s="36"/>
      <c r="M867" s="37"/>
      <c r="N867" s="37"/>
      <c r="R867" s="37"/>
      <c r="S867" s="37"/>
      <c r="T867" s="38"/>
    </row>
    <row r="868" spans="10:22" ht="15.75" customHeight="1" x14ac:dyDescent="0.25">
      <c r="J868" s="36"/>
      <c r="M868" s="37"/>
      <c r="N868" s="37"/>
      <c r="R868" s="37"/>
      <c r="S868" s="37"/>
      <c r="T868" s="38"/>
    </row>
    <row r="869" spans="10:22" ht="15.75" customHeight="1" x14ac:dyDescent="0.25">
      <c r="J869" s="36"/>
      <c r="M869" s="37"/>
      <c r="N869" s="37"/>
      <c r="R869" s="37"/>
      <c r="S869" s="37"/>
      <c r="T869" s="38"/>
    </row>
    <row r="870" spans="10:22" ht="15.75" customHeight="1" x14ac:dyDescent="0.25">
      <c r="J870" s="36"/>
      <c r="M870" s="37"/>
      <c r="N870" s="37"/>
      <c r="R870" s="37"/>
      <c r="S870" s="37"/>
      <c r="T870" s="38"/>
    </row>
    <row r="871" spans="10:22" ht="15.75" customHeight="1" x14ac:dyDescent="0.25">
      <c r="J871" s="36"/>
      <c r="M871" s="37"/>
      <c r="N871" s="37"/>
      <c r="R871" s="37"/>
      <c r="S871" s="37"/>
      <c r="T871" s="38"/>
    </row>
    <row r="872" spans="10:22" ht="15.75" customHeight="1" x14ac:dyDescent="0.25">
      <c r="J872" s="36"/>
      <c r="M872" s="37"/>
      <c r="N872" s="37"/>
      <c r="R872" s="37"/>
      <c r="S872" s="37"/>
      <c r="T872" s="38"/>
    </row>
    <row r="873" spans="10:22" ht="15.75" customHeight="1" x14ac:dyDescent="0.25">
      <c r="J873" s="36"/>
      <c r="M873" s="37"/>
      <c r="N873" s="37"/>
      <c r="R873" s="37"/>
      <c r="S873" s="37"/>
      <c r="T873" s="38"/>
    </row>
    <row r="874" spans="10:22" ht="15.75" customHeight="1" x14ac:dyDescent="0.25">
      <c r="J874" s="36"/>
      <c r="M874" s="37"/>
      <c r="N874" s="37"/>
      <c r="R874" s="37"/>
      <c r="S874" s="37"/>
      <c r="T874" s="38"/>
    </row>
    <row r="875" spans="10:22" ht="15.75" customHeight="1" x14ac:dyDescent="0.25">
      <c r="J875" s="36"/>
      <c r="M875" s="37"/>
      <c r="N875" s="37"/>
      <c r="R875" s="37"/>
      <c r="S875" s="37"/>
      <c r="T875" s="38"/>
    </row>
    <row r="876" spans="10:22" ht="15.75" customHeight="1" x14ac:dyDescent="0.25">
      <c r="J876" s="36"/>
      <c r="M876" s="37"/>
      <c r="N876" s="37"/>
      <c r="R876" s="37"/>
      <c r="S876" s="37"/>
      <c r="T876" s="38"/>
    </row>
    <row r="877" spans="10:22" ht="15.75" customHeight="1" x14ac:dyDescent="0.25">
      <c r="J877" s="36"/>
      <c r="M877" s="37"/>
      <c r="N877" s="37"/>
      <c r="R877" s="37"/>
      <c r="S877" s="37"/>
      <c r="T877" s="38"/>
    </row>
    <row r="878" spans="10:22" ht="15.75" customHeight="1" x14ac:dyDescent="0.25">
      <c r="J878" s="36"/>
      <c r="M878" s="37"/>
      <c r="N878" s="37"/>
      <c r="R878" s="37"/>
      <c r="S878" s="37"/>
      <c r="T878" s="38"/>
    </row>
    <row r="879" spans="10:22" ht="15.75" customHeight="1" x14ac:dyDescent="0.25">
      <c r="J879" s="36"/>
      <c r="M879" s="37"/>
      <c r="N879" s="37"/>
      <c r="R879" s="37"/>
      <c r="S879" s="37"/>
      <c r="T879" s="38"/>
    </row>
    <row r="880" spans="10:22" ht="15.75" customHeight="1" x14ac:dyDescent="0.25">
      <c r="J880" s="36"/>
      <c r="M880" s="37"/>
      <c r="N880" s="37"/>
      <c r="R880" s="37"/>
      <c r="S880" s="37"/>
      <c r="T880" s="38"/>
    </row>
    <row r="881" spans="10:20" ht="15.75" customHeight="1" x14ac:dyDescent="0.25">
      <c r="J881" s="36"/>
      <c r="M881" s="37"/>
      <c r="N881" s="37"/>
      <c r="R881" s="37"/>
      <c r="S881" s="37"/>
      <c r="T881" s="38"/>
    </row>
    <row r="882" spans="10:20" ht="15.75" customHeight="1" x14ac:dyDescent="0.25">
      <c r="J882" s="36"/>
      <c r="M882" s="37"/>
      <c r="N882" s="37"/>
      <c r="R882" s="37"/>
      <c r="S882" s="37"/>
      <c r="T882" s="38"/>
    </row>
    <row r="883" spans="10:20" ht="15.75" customHeight="1" x14ac:dyDescent="0.25">
      <c r="J883" s="36"/>
      <c r="M883" s="37"/>
      <c r="N883" s="37"/>
      <c r="R883" s="37"/>
      <c r="S883" s="37"/>
      <c r="T883" s="38"/>
    </row>
    <row r="884" spans="10:20" ht="15.75" customHeight="1" x14ac:dyDescent="0.25">
      <c r="J884" s="36"/>
      <c r="M884" s="37"/>
      <c r="N884" s="37"/>
      <c r="R884" s="37"/>
      <c r="S884" s="37"/>
      <c r="T884" s="38"/>
    </row>
    <row r="885" spans="10:20" ht="15.75" customHeight="1" x14ac:dyDescent="0.25">
      <c r="J885" s="36"/>
      <c r="M885" s="37"/>
      <c r="N885" s="37"/>
      <c r="R885" s="37"/>
      <c r="S885" s="37"/>
      <c r="T885" s="38"/>
    </row>
    <row r="886" spans="10:20" ht="15.75" customHeight="1" x14ac:dyDescent="0.25">
      <c r="J886" s="36"/>
      <c r="M886" s="37"/>
      <c r="N886" s="37"/>
      <c r="R886" s="37"/>
      <c r="S886" s="37"/>
      <c r="T886" s="38"/>
    </row>
    <row r="887" spans="10:20" ht="15.75" customHeight="1" x14ac:dyDescent="0.25">
      <c r="J887" s="36"/>
      <c r="M887" s="37"/>
      <c r="N887" s="37"/>
      <c r="R887" s="37"/>
      <c r="S887" s="37"/>
      <c r="T887" s="38"/>
    </row>
    <row r="888" spans="10:20" ht="15.75" customHeight="1" x14ac:dyDescent="0.25">
      <c r="J888" s="36"/>
      <c r="M888" s="37"/>
      <c r="N888" s="37"/>
      <c r="R888" s="37"/>
      <c r="S888" s="37"/>
      <c r="T888" s="38"/>
    </row>
    <row r="889" spans="10:20" ht="15.75" customHeight="1" x14ac:dyDescent="0.25">
      <c r="J889" s="36"/>
      <c r="M889" s="37"/>
      <c r="N889" s="37"/>
      <c r="R889" s="37"/>
      <c r="S889" s="37"/>
      <c r="T889" s="38"/>
    </row>
    <row r="890" spans="10:20" ht="15.75" customHeight="1" x14ac:dyDescent="0.25">
      <c r="J890" s="36"/>
      <c r="M890" s="37"/>
      <c r="N890" s="37"/>
      <c r="R890" s="37"/>
      <c r="S890" s="37"/>
      <c r="T890" s="38"/>
    </row>
    <row r="891" spans="10:20" ht="15.75" customHeight="1" x14ac:dyDescent="0.25">
      <c r="J891" s="36"/>
      <c r="M891" s="37"/>
      <c r="N891" s="37"/>
      <c r="R891" s="37"/>
      <c r="S891" s="37"/>
      <c r="T891" s="38"/>
    </row>
    <row r="892" spans="10:20" ht="15.75" customHeight="1" x14ac:dyDescent="0.25">
      <c r="J892" s="36"/>
      <c r="M892" s="37"/>
      <c r="N892" s="37"/>
      <c r="R892" s="37"/>
      <c r="S892" s="37"/>
      <c r="T892" s="38"/>
    </row>
    <row r="893" spans="10:20" ht="15.75" customHeight="1" x14ac:dyDescent="0.25">
      <c r="J893" s="36"/>
      <c r="M893" s="37"/>
      <c r="N893" s="37"/>
      <c r="R893" s="37"/>
      <c r="S893" s="37"/>
      <c r="T893" s="38"/>
    </row>
    <row r="894" spans="10:20" ht="15.75" customHeight="1" x14ac:dyDescent="0.25">
      <c r="J894" s="36"/>
      <c r="M894" s="37"/>
      <c r="N894" s="37"/>
      <c r="R894" s="37"/>
      <c r="S894" s="37"/>
      <c r="T894" s="38"/>
    </row>
    <row r="895" spans="10:20" ht="15.75" customHeight="1" x14ac:dyDescent="0.25">
      <c r="J895" s="36"/>
      <c r="M895" s="37"/>
      <c r="N895" s="37"/>
      <c r="R895" s="37"/>
      <c r="S895" s="37"/>
      <c r="T895" s="38"/>
    </row>
    <row r="896" spans="10:20" ht="15.75" customHeight="1" x14ac:dyDescent="0.25">
      <c r="J896" s="36"/>
      <c r="M896" s="37"/>
      <c r="N896" s="37"/>
      <c r="R896" s="37"/>
      <c r="S896" s="37"/>
      <c r="T896" s="38"/>
    </row>
    <row r="897" spans="10:20" ht="15.75" customHeight="1" x14ac:dyDescent="0.25">
      <c r="J897" s="36"/>
      <c r="M897" s="37"/>
      <c r="N897" s="37"/>
      <c r="R897" s="37"/>
      <c r="S897" s="37"/>
      <c r="T897" s="38"/>
    </row>
    <row r="898" spans="10:20" ht="15.75" customHeight="1" x14ac:dyDescent="0.25">
      <c r="J898" s="36"/>
      <c r="M898" s="37"/>
      <c r="N898" s="37"/>
      <c r="R898" s="37"/>
      <c r="S898" s="37"/>
      <c r="T898" s="38"/>
    </row>
    <row r="899" spans="10:20" ht="15.75" customHeight="1" x14ac:dyDescent="0.25">
      <c r="J899" s="36"/>
      <c r="M899" s="37"/>
      <c r="N899" s="37"/>
      <c r="R899" s="37"/>
      <c r="S899" s="37"/>
      <c r="T899" s="38"/>
    </row>
    <row r="900" spans="10:20" ht="15.75" customHeight="1" x14ac:dyDescent="0.25">
      <c r="J900" s="36"/>
      <c r="M900" s="37"/>
      <c r="N900" s="37"/>
      <c r="R900" s="37"/>
      <c r="S900" s="37"/>
      <c r="T900" s="38"/>
    </row>
    <row r="901" spans="10:20" ht="15.75" customHeight="1" x14ac:dyDescent="0.25">
      <c r="J901" s="36"/>
      <c r="M901" s="37"/>
      <c r="N901" s="37"/>
      <c r="R901" s="37"/>
      <c r="S901" s="37"/>
      <c r="T901" s="38"/>
    </row>
    <row r="902" spans="10:20" ht="15.75" customHeight="1" x14ac:dyDescent="0.25">
      <c r="J902" s="36"/>
      <c r="M902" s="37"/>
      <c r="N902" s="37"/>
      <c r="R902" s="37"/>
      <c r="S902" s="37"/>
      <c r="T902" s="38"/>
    </row>
    <row r="903" spans="10:20" ht="15.75" customHeight="1" x14ac:dyDescent="0.25">
      <c r="J903" s="36"/>
      <c r="M903" s="37"/>
      <c r="N903" s="37"/>
      <c r="R903" s="37"/>
      <c r="S903" s="37"/>
      <c r="T903" s="38"/>
    </row>
    <row r="904" spans="10:20" ht="15.75" customHeight="1" x14ac:dyDescent="0.25">
      <c r="J904" s="36"/>
      <c r="M904" s="37"/>
      <c r="N904" s="37"/>
      <c r="R904" s="37"/>
      <c r="S904" s="37"/>
      <c r="T904" s="38"/>
    </row>
    <row r="905" spans="10:20" ht="15.75" customHeight="1" x14ac:dyDescent="0.25">
      <c r="J905" s="36"/>
      <c r="M905" s="37"/>
      <c r="N905" s="37"/>
      <c r="R905" s="37"/>
      <c r="S905" s="37"/>
      <c r="T905" s="38"/>
    </row>
    <row r="906" spans="10:20" ht="15.75" customHeight="1" x14ac:dyDescent="0.25">
      <c r="J906" s="36"/>
      <c r="M906" s="37"/>
      <c r="N906" s="37"/>
      <c r="R906" s="37"/>
      <c r="S906" s="37"/>
      <c r="T906" s="38"/>
    </row>
    <row r="907" spans="10:20" ht="15.75" customHeight="1" x14ac:dyDescent="0.25">
      <c r="J907" s="36"/>
      <c r="M907" s="37"/>
      <c r="N907" s="37"/>
      <c r="R907" s="37"/>
      <c r="S907" s="37"/>
      <c r="T907" s="38"/>
    </row>
    <row r="908" spans="10:20" ht="15.75" customHeight="1" x14ac:dyDescent="0.25">
      <c r="J908" s="36"/>
      <c r="M908" s="37"/>
      <c r="N908" s="37"/>
      <c r="R908" s="37"/>
      <c r="S908" s="37"/>
      <c r="T908" s="38"/>
    </row>
    <row r="909" spans="10:20" ht="15.75" customHeight="1" x14ac:dyDescent="0.25">
      <c r="J909" s="36"/>
      <c r="M909" s="37"/>
      <c r="N909" s="37"/>
      <c r="R909" s="37"/>
      <c r="S909" s="37"/>
      <c r="T909" s="38"/>
    </row>
    <row r="910" spans="10:20" ht="15.75" customHeight="1" x14ac:dyDescent="0.25">
      <c r="J910" s="36"/>
      <c r="M910" s="37"/>
      <c r="N910" s="37"/>
      <c r="R910" s="37"/>
      <c r="S910" s="37"/>
      <c r="T910" s="38"/>
    </row>
    <row r="911" spans="10:20" ht="15.75" customHeight="1" x14ac:dyDescent="0.25">
      <c r="J911" s="36"/>
      <c r="M911" s="37"/>
      <c r="N911" s="37"/>
      <c r="R911" s="37"/>
      <c r="S911" s="37"/>
      <c r="T911" s="38"/>
    </row>
    <row r="912" spans="10:20" ht="15.75" customHeight="1" x14ac:dyDescent="0.25">
      <c r="J912" s="36"/>
      <c r="M912" s="37"/>
      <c r="N912" s="37"/>
      <c r="R912" s="37"/>
      <c r="S912" s="37"/>
      <c r="T912" s="38"/>
    </row>
    <row r="913" spans="10:20" ht="15.75" customHeight="1" x14ac:dyDescent="0.25">
      <c r="J913" s="36"/>
      <c r="M913" s="37"/>
      <c r="N913" s="37"/>
      <c r="R913" s="37"/>
      <c r="S913" s="37"/>
      <c r="T913" s="38"/>
    </row>
    <row r="914" spans="10:20" ht="15.75" customHeight="1" x14ac:dyDescent="0.25">
      <c r="J914" s="36"/>
      <c r="M914" s="37"/>
      <c r="N914" s="37"/>
      <c r="R914" s="37"/>
      <c r="S914" s="37"/>
      <c r="T914" s="38"/>
    </row>
    <row r="915" spans="10:20" ht="15.75" customHeight="1" x14ac:dyDescent="0.25">
      <c r="J915" s="36"/>
      <c r="M915" s="37"/>
      <c r="N915" s="37"/>
      <c r="R915" s="37"/>
      <c r="S915" s="37"/>
      <c r="T915" s="38"/>
    </row>
    <row r="916" spans="10:20" ht="15.75" customHeight="1" x14ac:dyDescent="0.25">
      <c r="J916" s="36"/>
      <c r="M916" s="37"/>
      <c r="N916" s="37"/>
      <c r="R916" s="37"/>
      <c r="S916" s="37"/>
      <c r="T916" s="38"/>
    </row>
    <row r="917" spans="10:20" ht="15.75" customHeight="1" x14ac:dyDescent="0.25">
      <c r="J917" s="36"/>
      <c r="M917" s="37"/>
      <c r="N917" s="37"/>
      <c r="R917" s="37"/>
      <c r="S917" s="37"/>
      <c r="T917" s="38"/>
    </row>
    <row r="918" spans="10:20" ht="15.75" customHeight="1" x14ac:dyDescent="0.25">
      <c r="J918" s="36"/>
      <c r="M918" s="37"/>
      <c r="N918" s="37"/>
      <c r="R918" s="37"/>
      <c r="S918" s="37"/>
      <c r="T918" s="38"/>
    </row>
    <row r="919" spans="10:20" ht="15.75" customHeight="1" x14ac:dyDescent="0.25">
      <c r="J919" s="36"/>
      <c r="M919" s="37"/>
      <c r="N919" s="37"/>
      <c r="R919" s="37"/>
      <c r="S919" s="37"/>
      <c r="T919" s="38"/>
    </row>
    <row r="920" spans="10:20" ht="15.75" customHeight="1" x14ac:dyDescent="0.25">
      <c r="J920" s="36"/>
      <c r="M920" s="37"/>
      <c r="N920" s="37"/>
      <c r="R920" s="37"/>
      <c r="S920" s="37"/>
      <c r="T920" s="38"/>
    </row>
    <row r="921" spans="10:20" ht="15.75" customHeight="1" x14ac:dyDescent="0.25">
      <c r="J921" s="36"/>
      <c r="M921" s="37"/>
      <c r="N921" s="37"/>
      <c r="R921" s="37"/>
      <c r="S921" s="37"/>
      <c r="T921" s="38"/>
    </row>
    <row r="922" spans="10:20" ht="15.75" customHeight="1" x14ac:dyDescent="0.25">
      <c r="J922" s="36"/>
      <c r="M922" s="37"/>
      <c r="N922" s="37"/>
      <c r="R922" s="37"/>
      <c r="S922" s="37"/>
      <c r="T922" s="38"/>
    </row>
    <row r="923" spans="10:20" ht="15.75" customHeight="1" x14ac:dyDescent="0.25">
      <c r="J923" s="36"/>
      <c r="M923" s="37"/>
      <c r="N923" s="37"/>
      <c r="R923" s="37"/>
      <c r="S923" s="37"/>
      <c r="T923" s="38"/>
    </row>
    <row r="924" spans="10:20" ht="15.75" customHeight="1" x14ac:dyDescent="0.25">
      <c r="J924" s="36"/>
      <c r="M924" s="37"/>
      <c r="N924" s="37"/>
      <c r="R924" s="37"/>
      <c r="S924" s="37"/>
      <c r="T924" s="38"/>
    </row>
    <row r="925" spans="10:20" ht="15.75" customHeight="1" x14ac:dyDescent="0.25">
      <c r="J925" s="36"/>
      <c r="M925" s="37"/>
      <c r="N925" s="37"/>
      <c r="R925" s="37"/>
      <c r="S925" s="37"/>
      <c r="T925" s="38"/>
    </row>
    <row r="926" spans="10:20" ht="15.75" customHeight="1" x14ac:dyDescent="0.25">
      <c r="J926" s="36"/>
      <c r="M926" s="37"/>
      <c r="N926" s="37"/>
      <c r="R926" s="37"/>
      <c r="S926" s="37"/>
      <c r="T926" s="38"/>
    </row>
    <row r="927" spans="10:20" ht="15.75" customHeight="1" x14ac:dyDescent="0.25">
      <c r="J927" s="36"/>
      <c r="M927" s="37"/>
      <c r="N927" s="37"/>
      <c r="R927" s="37"/>
      <c r="S927" s="37"/>
      <c r="T927" s="38"/>
    </row>
    <row r="928" spans="10:20" ht="15.75" customHeight="1" x14ac:dyDescent="0.25">
      <c r="J928" s="36"/>
      <c r="M928" s="37"/>
      <c r="N928" s="37"/>
      <c r="R928" s="37"/>
      <c r="S928" s="37"/>
      <c r="T928" s="38"/>
    </row>
    <row r="929" spans="10:20" ht="15.75" customHeight="1" x14ac:dyDescent="0.25">
      <c r="J929" s="36"/>
      <c r="M929" s="37"/>
      <c r="N929" s="37"/>
      <c r="R929" s="37"/>
      <c r="S929" s="37"/>
      <c r="T929" s="38"/>
    </row>
    <row r="930" spans="10:20" ht="15.75" customHeight="1" x14ac:dyDescent="0.25">
      <c r="J930" s="36"/>
      <c r="M930" s="37"/>
      <c r="N930" s="37"/>
      <c r="R930" s="37"/>
      <c r="S930" s="37"/>
      <c r="T930" s="38"/>
    </row>
    <row r="931" spans="10:20" ht="15.75" customHeight="1" x14ac:dyDescent="0.25">
      <c r="J931" s="36"/>
      <c r="M931" s="37"/>
      <c r="N931" s="37"/>
      <c r="R931" s="37"/>
      <c r="S931" s="37"/>
      <c r="T931" s="38"/>
    </row>
    <row r="932" spans="10:20" ht="15.75" customHeight="1" x14ac:dyDescent="0.25">
      <c r="J932" s="36"/>
      <c r="M932" s="37"/>
      <c r="N932" s="37"/>
      <c r="R932" s="37"/>
      <c r="S932" s="37"/>
      <c r="T932" s="38"/>
    </row>
    <row r="933" spans="10:20" ht="15.75" customHeight="1" x14ac:dyDescent="0.25">
      <c r="J933" s="36"/>
      <c r="M933" s="37"/>
      <c r="N933" s="37"/>
      <c r="R933" s="37"/>
      <c r="S933" s="37"/>
      <c r="T933" s="38"/>
    </row>
    <row r="934" spans="10:20" ht="15.75" customHeight="1" x14ac:dyDescent="0.25">
      <c r="J934" s="36"/>
      <c r="M934" s="37"/>
      <c r="N934" s="37"/>
      <c r="R934" s="37"/>
      <c r="S934" s="37"/>
      <c r="T934" s="38"/>
    </row>
    <row r="935" spans="10:20" ht="15.75" customHeight="1" x14ac:dyDescent="0.25">
      <c r="J935" s="36"/>
      <c r="M935" s="37"/>
      <c r="N935" s="37"/>
      <c r="R935" s="37"/>
      <c r="S935" s="37"/>
      <c r="T935" s="38"/>
    </row>
    <row r="936" spans="10:20" ht="15.75" customHeight="1" x14ac:dyDescent="0.25">
      <c r="J936" s="36"/>
      <c r="M936" s="37"/>
      <c r="N936" s="37"/>
      <c r="R936" s="37"/>
      <c r="S936" s="37"/>
      <c r="T936" s="38"/>
    </row>
    <row r="937" spans="10:20" ht="15.75" customHeight="1" x14ac:dyDescent="0.25">
      <c r="J937" s="36"/>
      <c r="M937" s="37"/>
      <c r="N937" s="37"/>
      <c r="R937" s="37"/>
      <c r="S937" s="37"/>
      <c r="T937" s="38"/>
    </row>
    <row r="938" spans="10:20" ht="15.75" customHeight="1" x14ac:dyDescent="0.25">
      <c r="J938" s="36"/>
      <c r="M938" s="37"/>
      <c r="N938" s="37"/>
      <c r="R938" s="37"/>
      <c r="S938" s="37"/>
      <c r="T938" s="38"/>
    </row>
    <row r="939" spans="10:20" ht="15.75" customHeight="1" x14ac:dyDescent="0.25">
      <c r="J939" s="36"/>
      <c r="M939" s="37"/>
      <c r="N939" s="37"/>
      <c r="R939" s="37"/>
      <c r="S939" s="37"/>
      <c r="T939" s="38"/>
    </row>
    <row r="940" spans="10:20" ht="15.75" customHeight="1" x14ac:dyDescent="0.25">
      <c r="J940" s="36"/>
      <c r="M940" s="37"/>
      <c r="N940" s="37"/>
      <c r="R940" s="37"/>
      <c r="S940" s="37"/>
      <c r="T940" s="38"/>
    </row>
    <row r="941" spans="10:20" ht="15.75" customHeight="1" x14ac:dyDescent="0.25">
      <c r="J941" s="36"/>
      <c r="M941" s="37"/>
      <c r="N941" s="37"/>
      <c r="R941" s="37"/>
      <c r="S941" s="37"/>
      <c r="T941" s="38"/>
    </row>
    <row r="942" spans="10:20" ht="15.75" customHeight="1" x14ac:dyDescent="0.25">
      <c r="J942" s="36"/>
      <c r="M942" s="37"/>
      <c r="N942" s="37"/>
      <c r="R942" s="37"/>
      <c r="S942" s="37"/>
      <c r="T942" s="38"/>
    </row>
    <row r="943" spans="10:20" ht="15.75" customHeight="1" x14ac:dyDescent="0.25">
      <c r="J943" s="36"/>
      <c r="M943" s="37"/>
      <c r="N943" s="37"/>
      <c r="R943" s="37"/>
      <c r="S943" s="37"/>
      <c r="T943" s="38"/>
    </row>
    <row r="944" spans="10:20" ht="15.75" customHeight="1" x14ac:dyDescent="0.25">
      <c r="J944" s="36"/>
      <c r="M944" s="37"/>
      <c r="N944" s="37"/>
      <c r="R944" s="37"/>
      <c r="S944" s="37"/>
      <c r="T944" s="38"/>
    </row>
    <row r="945" spans="10:20" ht="15.75" customHeight="1" x14ac:dyDescent="0.25">
      <c r="J945" s="36"/>
      <c r="M945" s="37"/>
      <c r="N945" s="37"/>
      <c r="R945" s="37"/>
      <c r="S945" s="37"/>
      <c r="T945" s="38"/>
    </row>
    <row r="946" spans="10:20" ht="15.75" customHeight="1" x14ac:dyDescent="0.25">
      <c r="J946" s="36"/>
      <c r="M946" s="37"/>
      <c r="N946" s="37"/>
      <c r="R946" s="37"/>
      <c r="S946" s="37"/>
      <c r="T946" s="38"/>
    </row>
    <row r="947" spans="10:20" ht="15.75" customHeight="1" x14ac:dyDescent="0.25">
      <c r="J947" s="36"/>
      <c r="M947" s="37"/>
      <c r="N947" s="37"/>
      <c r="R947" s="37"/>
      <c r="S947" s="37"/>
      <c r="T947" s="38"/>
    </row>
    <row r="948" spans="10:20" ht="15.75" customHeight="1" x14ac:dyDescent="0.25">
      <c r="J948" s="36"/>
      <c r="M948" s="37"/>
      <c r="N948" s="37"/>
      <c r="R948" s="37"/>
      <c r="S948" s="37"/>
      <c r="T948" s="38"/>
    </row>
    <row r="949" spans="10:20" ht="15.75" customHeight="1" x14ac:dyDescent="0.25">
      <c r="J949" s="36"/>
      <c r="M949" s="37"/>
      <c r="N949" s="37"/>
      <c r="R949" s="37"/>
      <c r="S949" s="37"/>
      <c r="T949" s="38"/>
    </row>
    <row r="950" spans="10:20" ht="15.75" customHeight="1" x14ac:dyDescent="0.25">
      <c r="J950" s="36"/>
      <c r="M950" s="37"/>
      <c r="N950" s="37"/>
      <c r="R950" s="37"/>
      <c r="S950" s="37"/>
      <c r="T950" s="38"/>
    </row>
    <row r="951" spans="10:20" ht="15.75" customHeight="1" x14ac:dyDescent="0.25">
      <c r="J951" s="36"/>
      <c r="M951" s="37"/>
      <c r="N951" s="37"/>
      <c r="R951" s="37"/>
      <c r="S951" s="37"/>
      <c r="T951" s="38"/>
    </row>
    <row r="952" spans="10:20" ht="15.75" customHeight="1" x14ac:dyDescent="0.25">
      <c r="J952" s="36"/>
      <c r="M952" s="37"/>
      <c r="N952" s="37"/>
      <c r="R952" s="37"/>
      <c r="S952" s="37"/>
      <c r="T952" s="38"/>
    </row>
    <row r="953" spans="10:20" ht="15.75" customHeight="1" x14ac:dyDescent="0.25">
      <c r="J953" s="36"/>
      <c r="M953" s="37"/>
      <c r="N953" s="37"/>
      <c r="R953" s="37"/>
      <c r="S953" s="37"/>
      <c r="T953" s="38"/>
    </row>
    <row r="954" spans="10:20" ht="15.75" customHeight="1" x14ac:dyDescent="0.25">
      <c r="J954" s="36"/>
      <c r="M954" s="37"/>
      <c r="N954" s="37"/>
      <c r="R954" s="37"/>
      <c r="S954" s="37"/>
      <c r="T954" s="38"/>
    </row>
    <row r="955" spans="10:20" ht="15.75" customHeight="1" x14ac:dyDescent="0.25">
      <c r="J955" s="36"/>
      <c r="M955" s="37"/>
      <c r="N955" s="37"/>
      <c r="R955" s="37"/>
      <c r="S955" s="37"/>
      <c r="T955" s="38"/>
    </row>
    <row r="956" spans="10:20" ht="15.75" customHeight="1" x14ac:dyDescent="0.25">
      <c r="J956" s="36"/>
      <c r="M956" s="37"/>
      <c r="N956" s="37"/>
      <c r="R956" s="37"/>
      <c r="S956" s="37"/>
      <c r="T956" s="38"/>
    </row>
    <row r="957" spans="10:20" ht="15.75" customHeight="1" x14ac:dyDescent="0.25">
      <c r="J957" s="36"/>
      <c r="M957" s="37"/>
      <c r="N957" s="37"/>
      <c r="R957" s="37"/>
      <c r="S957" s="37"/>
      <c r="T957" s="38"/>
    </row>
    <row r="958" spans="10:20" ht="15.75" customHeight="1" x14ac:dyDescent="0.25">
      <c r="J958" s="36"/>
      <c r="M958" s="37"/>
      <c r="N958" s="37"/>
      <c r="R958" s="37"/>
      <c r="S958" s="37"/>
      <c r="T958" s="38"/>
    </row>
    <row r="959" spans="10:20" ht="15.75" customHeight="1" x14ac:dyDescent="0.25">
      <c r="J959" s="36"/>
      <c r="M959" s="37"/>
      <c r="N959" s="37"/>
      <c r="R959" s="37"/>
      <c r="S959" s="37"/>
      <c r="T959" s="38"/>
    </row>
    <row r="960" spans="10:20" ht="15.75" customHeight="1" x14ac:dyDescent="0.25">
      <c r="J960" s="36"/>
      <c r="M960" s="37"/>
      <c r="N960" s="37"/>
      <c r="R960" s="37"/>
      <c r="S960" s="37"/>
      <c r="T960" s="38"/>
    </row>
    <row r="961" spans="10:20" ht="15.75" customHeight="1" x14ac:dyDescent="0.25">
      <c r="J961" s="36"/>
      <c r="M961" s="37"/>
      <c r="N961" s="37"/>
      <c r="R961" s="37"/>
      <c r="S961" s="37"/>
      <c r="T961" s="38"/>
    </row>
    <row r="962" spans="10:20" ht="15.75" customHeight="1" x14ac:dyDescent="0.25">
      <c r="J962" s="36"/>
      <c r="M962" s="37"/>
      <c r="N962" s="37"/>
      <c r="R962" s="37"/>
      <c r="S962" s="37"/>
      <c r="T962" s="38"/>
    </row>
    <row r="963" spans="10:20" ht="15.75" customHeight="1" x14ac:dyDescent="0.25">
      <c r="J963" s="36"/>
      <c r="M963" s="37"/>
      <c r="N963" s="37"/>
      <c r="R963" s="37"/>
      <c r="S963" s="37"/>
      <c r="T963" s="38"/>
    </row>
    <row r="964" spans="10:20" ht="15.75" customHeight="1" x14ac:dyDescent="0.25">
      <c r="J964" s="36"/>
      <c r="M964" s="37"/>
      <c r="N964" s="37"/>
      <c r="R964" s="37"/>
      <c r="S964" s="37"/>
      <c r="T964" s="38"/>
    </row>
    <row r="965" spans="10:20" ht="15.75" customHeight="1" x14ac:dyDescent="0.25">
      <c r="J965" s="36"/>
      <c r="M965" s="37"/>
      <c r="N965" s="37"/>
      <c r="R965" s="37"/>
      <c r="S965" s="37"/>
      <c r="T965" s="38"/>
    </row>
    <row r="966" spans="10:20" ht="15.75" customHeight="1" x14ac:dyDescent="0.25">
      <c r="J966" s="36"/>
      <c r="M966" s="37"/>
      <c r="N966" s="37"/>
      <c r="R966" s="37"/>
      <c r="S966" s="37"/>
      <c r="T966" s="38"/>
    </row>
    <row r="967" spans="10:20" ht="15.75" customHeight="1" x14ac:dyDescent="0.25">
      <c r="J967" s="36"/>
      <c r="M967" s="37"/>
      <c r="N967" s="37"/>
      <c r="R967" s="37"/>
      <c r="S967" s="37"/>
      <c r="T967" s="38"/>
    </row>
    <row r="968" spans="10:20" ht="15.75" customHeight="1" x14ac:dyDescent="0.25">
      <c r="J968" s="36"/>
      <c r="M968" s="37"/>
      <c r="N968" s="37"/>
      <c r="R968" s="37"/>
      <c r="S968" s="37"/>
      <c r="T968" s="38"/>
    </row>
    <row r="969" spans="10:20" ht="15.75" customHeight="1" x14ac:dyDescent="0.25">
      <c r="J969" s="36"/>
      <c r="M969" s="37"/>
      <c r="N969" s="37"/>
      <c r="R969" s="37"/>
      <c r="S969" s="37"/>
      <c r="T969" s="38"/>
    </row>
    <row r="970" spans="10:20" ht="15.75" customHeight="1" x14ac:dyDescent="0.25">
      <c r="J970" s="36"/>
      <c r="M970" s="37"/>
      <c r="N970" s="37"/>
      <c r="R970" s="37"/>
      <c r="S970" s="37"/>
      <c r="T970" s="38"/>
    </row>
    <row r="971" spans="10:20" ht="15.75" customHeight="1" x14ac:dyDescent="0.25">
      <c r="J971" s="36"/>
      <c r="M971" s="37"/>
      <c r="N971" s="37"/>
      <c r="R971" s="37"/>
      <c r="S971" s="37"/>
      <c r="T971" s="38"/>
    </row>
    <row r="972" spans="10:20" ht="15.75" customHeight="1" x14ac:dyDescent="0.25">
      <c r="J972" s="36"/>
      <c r="M972" s="37"/>
      <c r="N972" s="37"/>
      <c r="R972" s="37"/>
      <c r="S972" s="37"/>
      <c r="T972" s="38"/>
    </row>
    <row r="973" spans="10:20" ht="15.75" customHeight="1" x14ac:dyDescent="0.25">
      <c r="J973" s="36"/>
      <c r="M973" s="37"/>
      <c r="N973" s="37"/>
      <c r="R973" s="37"/>
      <c r="S973" s="37"/>
      <c r="T973" s="38"/>
    </row>
    <row r="974" spans="10:20" ht="15.75" customHeight="1" x14ac:dyDescent="0.25">
      <c r="J974" s="36"/>
      <c r="M974" s="37"/>
      <c r="N974" s="37"/>
      <c r="R974" s="37"/>
      <c r="S974" s="37"/>
      <c r="T974" s="38"/>
    </row>
    <row r="975" spans="10:20" ht="15.75" customHeight="1" x14ac:dyDescent="0.25">
      <c r="J975" s="36"/>
      <c r="M975" s="37"/>
      <c r="N975" s="37"/>
      <c r="R975" s="37"/>
      <c r="S975" s="37"/>
      <c r="T975" s="38"/>
    </row>
    <row r="976" spans="10:20" ht="15.75" customHeight="1" x14ac:dyDescent="0.25">
      <c r="J976" s="36"/>
      <c r="M976" s="37"/>
      <c r="N976" s="37"/>
      <c r="R976" s="37"/>
      <c r="S976" s="37"/>
      <c r="T976" s="38"/>
    </row>
    <row r="977" spans="10:20" ht="15.75" customHeight="1" x14ac:dyDescent="0.25">
      <c r="J977" s="36"/>
      <c r="M977" s="37"/>
      <c r="N977" s="37"/>
      <c r="R977" s="37"/>
      <c r="S977" s="37"/>
      <c r="T977" s="38"/>
    </row>
    <row r="978" spans="10:20" ht="15.75" customHeight="1" x14ac:dyDescent="0.25">
      <c r="J978" s="36"/>
      <c r="M978" s="37"/>
      <c r="N978" s="37"/>
      <c r="R978" s="37"/>
      <c r="S978" s="37"/>
      <c r="T978" s="38"/>
    </row>
    <row r="979" spans="10:20" ht="15.75" customHeight="1" x14ac:dyDescent="0.25">
      <c r="J979" s="36"/>
      <c r="M979" s="37"/>
      <c r="N979" s="37"/>
      <c r="R979" s="37"/>
      <c r="S979" s="37"/>
      <c r="T979" s="38"/>
    </row>
    <row r="980" spans="10:20" ht="15.75" customHeight="1" x14ac:dyDescent="0.25">
      <c r="J980" s="36"/>
      <c r="M980" s="37"/>
      <c r="N980" s="37"/>
      <c r="R980" s="37"/>
      <c r="S980" s="37"/>
      <c r="T980" s="38"/>
    </row>
    <row r="981" spans="10:20" ht="15.75" customHeight="1" x14ac:dyDescent="0.25">
      <c r="J981" s="36"/>
      <c r="M981" s="37"/>
      <c r="N981" s="37"/>
      <c r="R981" s="37"/>
      <c r="S981" s="37"/>
      <c r="T981" s="38"/>
    </row>
    <row r="982" spans="10:20" ht="15.75" customHeight="1" x14ac:dyDescent="0.25">
      <c r="J982" s="36"/>
      <c r="M982" s="37"/>
      <c r="N982" s="37"/>
      <c r="R982" s="37"/>
      <c r="S982" s="37"/>
      <c r="T982" s="38"/>
    </row>
    <row r="983" spans="10:20" ht="15.75" customHeight="1" x14ac:dyDescent="0.25">
      <c r="J983" s="36"/>
      <c r="M983" s="37"/>
      <c r="N983" s="37"/>
      <c r="R983" s="37"/>
      <c r="S983" s="37"/>
      <c r="T983" s="38"/>
    </row>
    <row r="984" spans="10:20" ht="15.75" customHeight="1" x14ac:dyDescent="0.25">
      <c r="J984" s="36"/>
      <c r="M984" s="37"/>
      <c r="N984" s="37"/>
      <c r="R984" s="37"/>
      <c r="S984" s="37"/>
      <c r="T984" s="38"/>
    </row>
    <row r="985" spans="10:20" ht="15.75" customHeight="1" x14ac:dyDescent="0.25">
      <c r="J985" s="36"/>
      <c r="M985" s="37"/>
      <c r="N985" s="37"/>
      <c r="R985" s="37"/>
      <c r="S985" s="37"/>
      <c r="T985" s="38"/>
    </row>
    <row r="986" spans="10:20" ht="15.75" customHeight="1" x14ac:dyDescent="0.25">
      <c r="J986" s="36"/>
      <c r="M986" s="37"/>
      <c r="N986" s="37"/>
      <c r="R986" s="37"/>
      <c r="S986" s="37"/>
      <c r="T986" s="38"/>
    </row>
    <row r="987" spans="10:20" ht="15.75" customHeight="1" x14ac:dyDescent="0.25">
      <c r="J987" s="36"/>
      <c r="M987" s="37"/>
      <c r="N987" s="37"/>
      <c r="R987" s="37"/>
      <c r="S987" s="37"/>
      <c r="T987" s="38"/>
    </row>
    <row r="988" spans="10:20" ht="15.75" customHeight="1" x14ac:dyDescent="0.25">
      <c r="J988" s="36"/>
      <c r="M988" s="37"/>
      <c r="N988" s="37"/>
      <c r="R988" s="37"/>
      <c r="S988" s="37"/>
      <c r="T988" s="38"/>
    </row>
    <row r="989" spans="10:20" ht="15.75" customHeight="1" x14ac:dyDescent="0.25">
      <c r="J989" s="36"/>
      <c r="M989" s="37"/>
      <c r="N989" s="37"/>
      <c r="R989" s="37"/>
      <c r="S989" s="37"/>
      <c r="T989" s="38"/>
    </row>
    <row r="990" spans="10:20" ht="15.75" customHeight="1" x14ac:dyDescent="0.25">
      <c r="J990" s="36"/>
      <c r="M990" s="37"/>
      <c r="N990" s="37"/>
      <c r="R990" s="37"/>
      <c r="S990" s="37"/>
      <c r="T990" s="38"/>
    </row>
  </sheetData>
  <autoFilter ref="A1:W707">
    <sortState ref="A2:W707">
      <sortCondition ref="A1:A707"/>
    </sortState>
  </autoFilter>
  <dataValidations count="2">
    <dataValidation type="list" allowBlank="1" showInputMessage="1" showErrorMessage="1" prompt="Sexo - F - Feminino_x000a_M - Masculino" sqref="E3:E271">
      <formula1>"F,M"</formula1>
    </dataValidation>
    <dataValidation type="list" allowBlank="1" showErrorMessage="1" sqref="H2">
      <formula1>"Sim,Não"</formula1>
    </dataValidation>
  </dataValidation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3">
    <pageSetUpPr fitToPage="1"/>
  </sheetPr>
  <dimension ref="A1:W2967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3" sqref="A3"/>
    </sheetView>
  </sheetViews>
  <sheetFormatPr defaultColWidth="14.42578125" defaultRowHeight="15" customHeight="1" x14ac:dyDescent="0.2"/>
  <cols>
    <col min="1" max="1" width="7.5703125" style="20" customWidth="1"/>
    <col min="2" max="2" width="10.5703125" style="20" customWidth="1"/>
    <col min="3" max="3" width="11" style="20" customWidth="1"/>
    <col min="4" max="4" width="10.5703125" style="20" customWidth="1"/>
    <col min="5" max="5" width="18.85546875" style="41" customWidth="1"/>
    <col min="6" max="6" width="16" style="20" customWidth="1"/>
    <col min="7" max="7" width="11.5703125" style="20" customWidth="1"/>
    <col min="8" max="8" width="17.42578125" style="20" customWidth="1"/>
    <col min="9" max="9" width="13.28515625" style="20" customWidth="1"/>
    <col min="10" max="10" width="16.5703125" style="20" customWidth="1"/>
    <col min="11" max="11" width="10.5703125" style="49" customWidth="1"/>
    <col min="12" max="12" width="11.28515625" style="49" customWidth="1"/>
    <col min="13" max="13" width="18.85546875" style="49" customWidth="1"/>
    <col min="14" max="14" width="13.28515625" style="49" customWidth="1"/>
    <col min="15" max="15" width="17.5703125" style="49" customWidth="1"/>
    <col min="16" max="16" width="11" style="49" customWidth="1"/>
    <col min="17" max="17" width="11.28515625" style="49" customWidth="1"/>
    <col min="18" max="18" width="15.140625" style="20" customWidth="1"/>
    <col min="19" max="19" width="18.140625" style="20" customWidth="1"/>
    <col min="20" max="20" width="14.28515625" style="20" customWidth="1"/>
    <col min="21" max="21" width="19.28515625" style="20" customWidth="1"/>
    <col min="22" max="22" width="8.7109375" style="9" customWidth="1"/>
    <col min="23" max="16384" width="14.42578125" style="9"/>
  </cols>
  <sheetData>
    <row r="1" spans="1:21" ht="25.5" customHeight="1" x14ac:dyDescent="0.2">
      <c r="A1" s="1" t="s">
        <v>0</v>
      </c>
      <c r="B1" s="1" t="s">
        <v>1</v>
      </c>
      <c r="C1" s="1" t="s">
        <v>3</v>
      </c>
      <c r="D1" s="1" t="s">
        <v>4</v>
      </c>
      <c r="E1" s="3" t="s">
        <v>6</v>
      </c>
      <c r="F1" s="1" t="s">
        <v>7</v>
      </c>
      <c r="G1" s="1" t="s">
        <v>8</v>
      </c>
      <c r="H1" s="4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1" t="s">
        <v>22</v>
      </c>
    </row>
    <row r="2" spans="1:21" ht="25.5" customHeight="1" x14ac:dyDescent="0.2">
      <c r="A2" s="51">
        <v>1</v>
      </c>
      <c r="B2" s="50" t="s">
        <v>865</v>
      </c>
      <c r="C2" s="51">
        <v>39</v>
      </c>
      <c r="D2" s="51" t="s">
        <v>25</v>
      </c>
      <c r="E2" s="43" t="s">
        <v>866</v>
      </c>
      <c r="F2" s="44" t="s">
        <v>60</v>
      </c>
      <c r="G2" s="51">
        <v>45</v>
      </c>
      <c r="H2" s="43">
        <v>44118</v>
      </c>
      <c r="I2" s="44" t="s">
        <v>860</v>
      </c>
      <c r="J2" s="43">
        <v>44118</v>
      </c>
      <c r="K2" s="42">
        <v>29</v>
      </c>
      <c r="L2" s="42">
        <v>27.9</v>
      </c>
      <c r="M2" s="43" t="s">
        <v>29</v>
      </c>
      <c r="N2" s="44" t="s">
        <v>861</v>
      </c>
      <c r="O2" s="43">
        <v>44119</v>
      </c>
      <c r="P2" s="42">
        <v>28.4</v>
      </c>
      <c r="Q2" s="42">
        <v>27.6</v>
      </c>
      <c r="R2" s="46" t="s">
        <v>29</v>
      </c>
      <c r="S2" s="43">
        <v>44119</v>
      </c>
      <c r="T2" s="51">
        <v>4</v>
      </c>
      <c r="U2" s="52" t="str">
        <f t="shared" ref="U2:U33" si="0">IF(M2="Não Detectável","Não Detectável",IF(R2="","",R2))</f>
        <v>Detectável</v>
      </c>
    </row>
    <row r="3" spans="1:21" ht="25.5" customHeight="1" x14ac:dyDescent="0.2">
      <c r="A3" s="51">
        <v>2</v>
      </c>
      <c r="B3" s="50" t="s">
        <v>867</v>
      </c>
      <c r="C3" s="51">
        <v>54</v>
      </c>
      <c r="D3" s="51" t="s">
        <v>34</v>
      </c>
      <c r="E3" s="43" t="s">
        <v>866</v>
      </c>
      <c r="F3" s="44" t="s">
        <v>60</v>
      </c>
      <c r="G3" s="51">
        <v>45</v>
      </c>
      <c r="H3" s="43">
        <v>44118</v>
      </c>
      <c r="I3" s="44" t="s">
        <v>860</v>
      </c>
      <c r="J3" s="43">
        <v>44118</v>
      </c>
      <c r="K3" s="42">
        <v>29</v>
      </c>
      <c r="L3" s="42">
        <v>27.9</v>
      </c>
      <c r="M3" s="43" t="s">
        <v>29</v>
      </c>
      <c r="N3" s="44" t="s">
        <v>861</v>
      </c>
      <c r="O3" s="43">
        <v>44119</v>
      </c>
      <c r="P3" s="42" t="s">
        <v>36</v>
      </c>
      <c r="Q3" s="42">
        <v>29.4</v>
      </c>
      <c r="R3" s="46" t="s">
        <v>31</v>
      </c>
      <c r="S3" s="43">
        <v>44119</v>
      </c>
      <c r="T3" s="51">
        <v>4</v>
      </c>
      <c r="U3" s="52" t="str">
        <f t="shared" si="0"/>
        <v>Não Detectável</v>
      </c>
    </row>
    <row r="4" spans="1:21" ht="25.5" customHeight="1" x14ac:dyDescent="0.2">
      <c r="A4" s="51">
        <v>3</v>
      </c>
      <c r="B4" s="50" t="s">
        <v>868</v>
      </c>
      <c r="C4" s="51">
        <v>32</v>
      </c>
      <c r="D4" s="51" t="s">
        <v>25</v>
      </c>
      <c r="E4" s="43" t="s">
        <v>866</v>
      </c>
      <c r="F4" s="44" t="s">
        <v>60</v>
      </c>
      <c r="G4" s="51">
        <v>46</v>
      </c>
      <c r="H4" s="43">
        <v>44118</v>
      </c>
      <c r="I4" s="44" t="s">
        <v>860</v>
      </c>
      <c r="J4" s="43">
        <v>44118</v>
      </c>
      <c r="K4" s="42">
        <v>18.100000000000001</v>
      </c>
      <c r="L4" s="42">
        <v>27.5</v>
      </c>
      <c r="M4" s="43" t="s">
        <v>29</v>
      </c>
      <c r="N4" s="44" t="s">
        <v>861</v>
      </c>
      <c r="O4" s="43">
        <v>44119</v>
      </c>
      <c r="P4" s="42" t="s">
        <v>36</v>
      </c>
      <c r="Q4" s="42">
        <v>26.8</v>
      </c>
      <c r="R4" s="46" t="s">
        <v>31</v>
      </c>
      <c r="S4" s="43">
        <v>44119</v>
      </c>
      <c r="T4" s="51">
        <f t="shared" ref="T4:T67" si="1">COUNTIF(G:G,G4)</f>
        <v>4</v>
      </c>
      <c r="U4" s="52" t="str">
        <f t="shared" si="0"/>
        <v>Não Detectável</v>
      </c>
    </row>
    <row r="5" spans="1:21" ht="25.5" customHeight="1" x14ac:dyDescent="0.2">
      <c r="A5" s="51">
        <v>4</v>
      </c>
      <c r="B5" s="50" t="s">
        <v>869</v>
      </c>
      <c r="C5" s="51">
        <v>84</v>
      </c>
      <c r="D5" s="51" t="s">
        <v>25</v>
      </c>
      <c r="E5" s="43" t="s">
        <v>866</v>
      </c>
      <c r="F5" s="44" t="s">
        <v>60</v>
      </c>
      <c r="G5" s="51">
        <v>46</v>
      </c>
      <c r="H5" s="43">
        <v>44118</v>
      </c>
      <c r="I5" s="44" t="s">
        <v>860</v>
      </c>
      <c r="J5" s="43">
        <v>44118</v>
      </c>
      <c r="K5" s="42">
        <v>18.100000000000001</v>
      </c>
      <c r="L5" s="42">
        <v>27.5</v>
      </c>
      <c r="M5" s="43" t="s">
        <v>29</v>
      </c>
      <c r="N5" s="44" t="s">
        <v>861</v>
      </c>
      <c r="O5" s="43">
        <v>44119</v>
      </c>
      <c r="P5" s="42" t="s">
        <v>36</v>
      </c>
      <c r="Q5" s="42">
        <v>27.6</v>
      </c>
      <c r="R5" s="46" t="s">
        <v>31</v>
      </c>
      <c r="S5" s="43">
        <v>44119</v>
      </c>
      <c r="T5" s="51">
        <f t="shared" si="1"/>
        <v>4</v>
      </c>
      <c r="U5" s="52" t="str">
        <f t="shared" si="0"/>
        <v>Não Detectável</v>
      </c>
    </row>
    <row r="6" spans="1:21" ht="25.5" customHeight="1" x14ac:dyDescent="0.2">
      <c r="A6" s="51">
        <v>5</v>
      </c>
      <c r="B6" s="50" t="s">
        <v>870</v>
      </c>
      <c r="C6" s="51">
        <v>48</v>
      </c>
      <c r="D6" s="51" t="s">
        <v>34</v>
      </c>
      <c r="E6" s="43" t="s">
        <v>866</v>
      </c>
      <c r="F6" s="44" t="s">
        <v>60</v>
      </c>
      <c r="G6" s="51">
        <v>46</v>
      </c>
      <c r="H6" s="43">
        <v>44118</v>
      </c>
      <c r="I6" s="44" t="s">
        <v>860</v>
      </c>
      <c r="J6" s="43">
        <v>44118</v>
      </c>
      <c r="K6" s="42">
        <v>18.100000000000001</v>
      </c>
      <c r="L6" s="42">
        <v>27.5</v>
      </c>
      <c r="M6" s="43" t="s">
        <v>29</v>
      </c>
      <c r="N6" s="44" t="s">
        <v>861</v>
      </c>
      <c r="O6" s="43">
        <v>44119</v>
      </c>
      <c r="P6" s="42" t="s">
        <v>36</v>
      </c>
      <c r="Q6" s="42">
        <v>28.3</v>
      </c>
      <c r="R6" s="46" t="s">
        <v>31</v>
      </c>
      <c r="S6" s="43">
        <v>44119</v>
      </c>
      <c r="T6" s="51">
        <f t="shared" si="1"/>
        <v>4</v>
      </c>
      <c r="U6" s="52" t="str">
        <f t="shared" si="0"/>
        <v>Não Detectável</v>
      </c>
    </row>
    <row r="7" spans="1:21" ht="25.5" customHeight="1" x14ac:dyDescent="0.2">
      <c r="A7" s="51">
        <v>6</v>
      </c>
      <c r="B7" s="50" t="s">
        <v>871</v>
      </c>
      <c r="C7" s="51">
        <v>33</v>
      </c>
      <c r="D7" s="51" t="s">
        <v>25</v>
      </c>
      <c r="E7" s="43" t="s">
        <v>866</v>
      </c>
      <c r="F7" s="44" t="s">
        <v>60</v>
      </c>
      <c r="G7" s="51">
        <v>46</v>
      </c>
      <c r="H7" s="43">
        <v>44118</v>
      </c>
      <c r="I7" s="44" t="s">
        <v>860</v>
      </c>
      <c r="J7" s="43">
        <v>44118</v>
      </c>
      <c r="K7" s="42">
        <v>18.100000000000001</v>
      </c>
      <c r="L7" s="42">
        <v>27.5</v>
      </c>
      <c r="M7" s="43" t="s">
        <v>29</v>
      </c>
      <c r="N7" s="44" t="s">
        <v>861</v>
      </c>
      <c r="O7" s="43">
        <v>44119</v>
      </c>
      <c r="P7" s="42">
        <v>17.5</v>
      </c>
      <c r="Q7" s="42">
        <v>26.7</v>
      </c>
      <c r="R7" s="46" t="s">
        <v>29</v>
      </c>
      <c r="S7" s="43">
        <v>44119</v>
      </c>
      <c r="T7" s="51">
        <f t="shared" si="1"/>
        <v>4</v>
      </c>
      <c r="U7" s="52" t="str">
        <f t="shared" si="0"/>
        <v>Detectável</v>
      </c>
    </row>
    <row r="8" spans="1:21" ht="25.5" customHeight="1" x14ac:dyDescent="0.2">
      <c r="A8" s="51">
        <v>7</v>
      </c>
      <c r="B8" s="50" t="s">
        <v>872</v>
      </c>
      <c r="C8" s="51">
        <v>24</v>
      </c>
      <c r="D8" s="51" t="s">
        <v>34</v>
      </c>
      <c r="E8" s="43" t="s">
        <v>866</v>
      </c>
      <c r="F8" s="44" t="s">
        <v>60</v>
      </c>
      <c r="G8" s="51">
        <v>47</v>
      </c>
      <c r="H8" s="43">
        <v>44118</v>
      </c>
      <c r="I8" s="44" t="s">
        <v>860</v>
      </c>
      <c r="J8" s="43">
        <v>44118</v>
      </c>
      <c r="K8" s="42">
        <v>19</v>
      </c>
      <c r="L8" s="42">
        <v>27.8</v>
      </c>
      <c r="M8" s="43" t="s">
        <v>29</v>
      </c>
      <c r="N8" s="44" t="s">
        <v>861</v>
      </c>
      <c r="O8" s="43">
        <v>44119</v>
      </c>
      <c r="P8" s="42">
        <v>30</v>
      </c>
      <c r="Q8" s="42">
        <v>27.8</v>
      </c>
      <c r="R8" s="46" t="s">
        <v>29</v>
      </c>
      <c r="S8" s="43">
        <v>44119</v>
      </c>
      <c r="T8" s="51">
        <f t="shared" si="1"/>
        <v>4</v>
      </c>
      <c r="U8" s="52" t="str">
        <f t="shared" si="0"/>
        <v>Detectável</v>
      </c>
    </row>
    <row r="9" spans="1:21" ht="25.5" customHeight="1" x14ac:dyDescent="0.2">
      <c r="A9" s="51">
        <v>8</v>
      </c>
      <c r="B9" s="50" t="s">
        <v>873</v>
      </c>
      <c r="C9" s="51">
        <v>36</v>
      </c>
      <c r="D9" s="51" t="s">
        <v>34</v>
      </c>
      <c r="E9" s="43" t="s">
        <v>866</v>
      </c>
      <c r="F9" s="44" t="s">
        <v>60</v>
      </c>
      <c r="G9" s="51">
        <v>47</v>
      </c>
      <c r="H9" s="43">
        <v>44118</v>
      </c>
      <c r="I9" s="44" t="s">
        <v>860</v>
      </c>
      <c r="J9" s="43">
        <v>44118</v>
      </c>
      <c r="K9" s="42">
        <v>19</v>
      </c>
      <c r="L9" s="42">
        <v>27.8</v>
      </c>
      <c r="M9" s="43" t="s">
        <v>29</v>
      </c>
      <c r="N9" s="44" t="s">
        <v>861</v>
      </c>
      <c r="O9" s="43">
        <v>44119</v>
      </c>
      <c r="P9" s="42">
        <v>18.2</v>
      </c>
      <c r="Q9" s="42">
        <v>27.6</v>
      </c>
      <c r="R9" s="46" t="s">
        <v>29</v>
      </c>
      <c r="S9" s="43">
        <v>44119</v>
      </c>
      <c r="T9" s="51">
        <f t="shared" si="1"/>
        <v>4</v>
      </c>
      <c r="U9" s="52" t="str">
        <f t="shared" si="0"/>
        <v>Detectável</v>
      </c>
    </row>
    <row r="10" spans="1:21" ht="25.5" customHeight="1" x14ac:dyDescent="0.2">
      <c r="A10" s="51">
        <v>9</v>
      </c>
      <c r="B10" s="50" t="s">
        <v>874</v>
      </c>
      <c r="C10" s="51">
        <v>37</v>
      </c>
      <c r="D10" s="51" t="s">
        <v>25</v>
      </c>
      <c r="E10" s="43" t="s">
        <v>866</v>
      </c>
      <c r="F10" s="44" t="s">
        <v>60</v>
      </c>
      <c r="G10" s="51">
        <v>47</v>
      </c>
      <c r="H10" s="43">
        <v>44118</v>
      </c>
      <c r="I10" s="44" t="s">
        <v>860</v>
      </c>
      <c r="J10" s="43">
        <v>44118</v>
      </c>
      <c r="K10" s="42">
        <v>19</v>
      </c>
      <c r="L10" s="42">
        <v>27.8</v>
      </c>
      <c r="M10" s="43" t="s">
        <v>29</v>
      </c>
      <c r="N10" s="44" t="s">
        <v>861</v>
      </c>
      <c r="O10" s="43">
        <v>44119</v>
      </c>
      <c r="P10" s="42" t="s">
        <v>36</v>
      </c>
      <c r="Q10" s="42">
        <v>26.6</v>
      </c>
      <c r="R10" s="46" t="s">
        <v>31</v>
      </c>
      <c r="S10" s="43">
        <v>44119</v>
      </c>
      <c r="T10" s="51">
        <f t="shared" si="1"/>
        <v>4</v>
      </c>
      <c r="U10" s="52" t="str">
        <f t="shared" si="0"/>
        <v>Não Detectável</v>
      </c>
    </row>
    <row r="11" spans="1:21" ht="25.5" customHeight="1" x14ac:dyDescent="0.2">
      <c r="A11" s="51">
        <v>10</v>
      </c>
      <c r="B11" s="50" t="s">
        <v>875</v>
      </c>
      <c r="C11" s="51">
        <v>20</v>
      </c>
      <c r="D11" s="51" t="s">
        <v>34</v>
      </c>
      <c r="E11" s="43" t="s">
        <v>866</v>
      </c>
      <c r="F11" s="44" t="s">
        <v>60</v>
      </c>
      <c r="G11" s="51">
        <v>47</v>
      </c>
      <c r="H11" s="43">
        <v>44118</v>
      </c>
      <c r="I11" s="44" t="s">
        <v>860</v>
      </c>
      <c r="J11" s="43">
        <v>44118</v>
      </c>
      <c r="K11" s="42">
        <v>19</v>
      </c>
      <c r="L11" s="42">
        <v>27.8</v>
      </c>
      <c r="M11" s="43" t="s">
        <v>29</v>
      </c>
      <c r="N11" s="44" t="s">
        <v>861</v>
      </c>
      <c r="O11" s="43">
        <v>44119</v>
      </c>
      <c r="P11" s="42" t="s">
        <v>36</v>
      </c>
      <c r="Q11" s="42">
        <v>29.9</v>
      </c>
      <c r="R11" s="46" t="s">
        <v>31</v>
      </c>
      <c r="S11" s="43">
        <v>44119</v>
      </c>
      <c r="T11" s="51">
        <f t="shared" si="1"/>
        <v>4</v>
      </c>
      <c r="U11" s="52" t="str">
        <f t="shared" si="0"/>
        <v>Não Detectável</v>
      </c>
    </row>
    <row r="12" spans="1:21" ht="25.5" customHeight="1" x14ac:dyDescent="0.2">
      <c r="A12" s="51">
        <v>11</v>
      </c>
      <c r="B12" s="50" t="s">
        <v>876</v>
      </c>
      <c r="C12" s="51">
        <v>66</v>
      </c>
      <c r="D12" s="51" t="s">
        <v>25</v>
      </c>
      <c r="E12" s="43" t="s">
        <v>866</v>
      </c>
      <c r="F12" s="44" t="s">
        <v>60</v>
      </c>
      <c r="G12" s="51">
        <v>48</v>
      </c>
      <c r="H12" s="43">
        <v>44118</v>
      </c>
      <c r="I12" s="44" t="s">
        <v>861</v>
      </c>
      <c r="J12" s="43">
        <v>44120</v>
      </c>
      <c r="K12" s="42" t="s">
        <v>36</v>
      </c>
      <c r="L12" s="42">
        <v>27.3</v>
      </c>
      <c r="M12" s="45" t="s">
        <v>31</v>
      </c>
      <c r="N12" s="44" t="s">
        <v>60</v>
      </c>
      <c r="O12" s="44" t="s">
        <v>60</v>
      </c>
      <c r="P12" s="42" t="s">
        <v>60</v>
      </c>
      <c r="Q12" s="42" t="s">
        <v>60</v>
      </c>
      <c r="R12" s="46" t="s">
        <v>60</v>
      </c>
      <c r="S12" s="43">
        <v>44123</v>
      </c>
      <c r="T12" s="51">
        <f t="shared" si="1"/>
        <v>4</v>
      </c>
      <c r="U12" s="52" t="str">
        <f t="shared" si="0"/>
        <v>Não Detectável</v>
      </c>
    </row>
    <row r="13" spans="1:21" ht="25.5" customHeight="1" x14ac:dyDescent="0.2">
      <c r="A13" s="51">
        <v>12</v>
      </c>
      <c r="B13" s="50" t="s">
        <v>877</v>
      </c>
      <c r="C13" s="51">
        <v>22</v>
      </c>
      <c r="D13" s="51" t="s">
        <v>34</v>
      </c>
      <c r="E13" s="43" t="s">
        <v>866</v>
      </c>
      <c r="F13" s="44" t="s">
        <v>60</v>
      </c>
      <c r="G13" s="51">
        <v>48</v>
      </c>
      <c r="H13" s="43">
        <v>44118</v>
      </c>
      <c r="I13" s="44" t="s">
        <v>861</v>
      </c>
      <c r="J13" s="43">
        <v>44120</v>
      </c>
      <c r="K13" s="42" t="s">
        <v>36</v>
      </c>
      <c r="L13" s="42">
        <v>27.3</v>
      </c>
      <c r="M13" s="45" t="s">
        <v>31</v>
      </c>
      <c r="N13" s="44" t="s">
        <v>60</v>
      </c>
      <c r="O13" s="44" t="s">
        <v>60</v>
      </c>
      <c r="P13" s="42" t="s">
        <v>60</v>
      </c>
      <c r="Q13" s="42" t="s">
        <v>60</v>
      </c>
      <c r="R13" s="46" t="s">
        <v>60</v>
      </c>
      <c r="S13" s="43">
        <v>44123</v>
      </c>
      <c r="T13" s="51">
        <f t="shared" si="1"/>
        <v>4</v>
      </c>
      <c r="U13" s="52" t="str">
        <f t="shared" si="0"/>
        <v>Não Detectável</v>
      </c>
    </row>
    <row r="14" spans="1:21" ht="25.5" customHeight="1" x14ac:dyDescent="0.2">
      <c r="A14" s="51">
        <v>13</v>
      </c>
      <c r="B14" s="50" t="s">
        <v>878</v>
      </c>
      <c r="C14" s="51">
        <v>52</v>
      </c>
      <c r="D14" s="51" t="s">
        <v>25</v>
      </c>
      <c r="E14" s="43" t="s">
        <v>879</v>
      </c>
      <c r="F14" s="44" t="s">
        <v>60</v>
      </c>
      <c r="G14" s="51">
        <v>48</v>
      </c>
      <c r="H14" s="43">
        <v>44120</v>
      </c>
      <c r="I14" s="44" t="s">
        <v>861</v>
      </c>
      <c r="J14" s="43">
        <v>44120</v>
      </c>
      <c r="K14" s="42" t="s">
        <v>36</v>
      </c>
      <c r="L14" s="42">
        <v>27.3</v>
      </c>
      <c r="M14" s="45" t="s">
        <v>31</v>
      </c>
      <c r="N14" s="44" t="s">
        <v>60</v>
      </c>
      <c r="O14" s="44" t="s">
        <v>60</v>
      </c>
      <c r="P14" s="42" t="s">
        <v>60</v>
      </c>
      <c r="Q14" s="42" t="s">
        <v>60</v>
      </c>
      <c r="R14" s="46" t="s">
        <v>60</v>
      </c>
      <c r="S14" s="43">
        <v>44123</v>
      </c>
      <c r="T14" s="51">
        <f t="shared" si="1"/>
        <v>4</v>
      </c>
      <c r="U14" s="52" t="str">
        <f t="shared" si="0"/>
        <v>Não Detectável</v>
      </c>
    </row>
    <row r="15" spans="1:21" ht="25.5" customHeight="1" x14ac:dyDescent="0.2">
      <c r="A15" s="51">
        <v>14</v>
      </c>
      <c r="B15" s="50" t="s">
        <v>880</v>
      </c>
      <c r="C15" s="51">
        <v>19</v>
      </c>
      <c r="D15" s="51" t="s">
        <v>34</v>
      </c>
      <c r="E15" s="43" t="s">
        <v>879</v>
      </c>
      <c r="F15" s="44" t="s">
        <v>60</v>
      </c>
      <c r="G15" s="51">
        <v>48</v>
      </c>
      <c r="H15" s="43">
        <v>44120</v>
      </c>
      <c r="I15" s="44" t="s">
        <v>861</v>
      </c>
      <c r="J15" s="43">
        <v>44120</v>
      </c>
      <c r="K15" s="42" t="s">
        <v>36</v>
      </c>
      <c r="L15" s="42">
        <v>27.3</v>
      </c>
      <c r="M15" s="45" t="s">
        <v>31</v>
      </c>
      <c r="N15" s="44" t="s">
        <v>60</v>
      </c>
      <c r="O15" s="44" t="s">
        <v>60</v>
      </c>
      <c r="P15" s="42" t="s">
        <v>60</v>
      </c>
      <c r="Q15" s="42" t="s">
        <v>60</v>
      </c>
      <c r="R15" s="46" t="s">
        <v>60</v>
      </c>
      <c r="S15" s="43">
        <v>44123</v>
      </c>
      <c r="T15" s="51">
        <f t="shared" si="1"/>
        <v>4</v>
      </c>
      <c r="U15" s="52" t="str">
        <f t="shared" si="0"/>
        <v>Não Detectável</v>
      </c>
    </row>
    <row r="16" spans="1:21" ht="25.5" customHeight="1" x14ac:dyDescent="0.2">
      <c r="A16" s="51">
        <v>15</v>
      </c>
      <c r="B16" s="50" t="s">
        <v>881</v>
      </c>
      <c r="C16" s="51">
        <v>23</v>
      </c>
      <c r="D16" s="51" t="s">
        <v>25</v>
      </c>
      <c r="E16" s="43" t="s">
        <v>879</v>
      </c>
      <c r="F16" s="44" t="s">
        <v>60</v>
      </c>
      <c r="G16" s="51">
        <v>49</v>
      </c>
      <c r="H16" s="43">
        <v>44120</v>
      </c>
      <c r="I16" s="44" t="s">
        <v>861</v>
      </c>
      <c r="J16" s="43">
        <v>44120</v>
      </c>
      <c r="K16" s="42" t="s">
        <v>36</v>
      </c>
      <c r="L16" s="42">
        <v>27.5</v>
      </c>
      <c r="M16" s="45" t="s">
        <v>31</v>
      </c>
      <c r="N16" s="44" t="s">
        <v>60</v>
      </c>
      <c r="O16" s="44" t="s">
        <v>60</v>
      </c>
      <c r="P16" s="42" t="s">
        <v>60</v>
      </c>
      <c r="Q16" s="42" t="s">
        <v>60</v>
      </c>
      <c r="R16" s="46" t="s">
        <v>60</v>
      </c>
      <c r="S16" s="43">
        <v>44123</v>
      </c>
      <c r="T16" s="51">
        <f t="shared" si="1"/>
        <v>4</v>
      </c>
      <c r="U16" s="52" t="str">
        <f t="shared" si="0"/>
        <v>Não Detectável</v>
      </c>
    </row>
    <row r="17" spans="1:21" ht="25.5" customHeight="1" x14ac:dyDescent="0.2">
      <c r="A17" s="51">
        <v>16</v>
      </c>
      <c r="B17" s="50" t="s">
        <v>882</v>
      </c>
      <c r="C17" s="51">
        <v>61</v>
      </c>
      <c r="D17" s="51" t="s">
        <v>25</v>
      </c>
      <c r="E17" s="43" t="s">
        <v>879</v>
      </c>
      <c r="F17" s="44" t="s">
        <v>60</v>
      </c>
      <c r="G17" s="51">
        <v>49</v>
      </c>
      <c r="H17" s="43">
        <v>44120</v>
      </c>
      <c r="I17" s="44" t="s">
        <v>861</v>
      </c>
      <c r="J17" s="43">
        <v>44120</v>
      </c>
      <c r="K17" s="42" t="s">
        <v>36</v>
      </c>
      <c r="L17" s="42">
        <v>27.5</v>
      </c>
      <c r="M17" s="45" t="s">
        <v>31</v>
      </c>
      <c r="N17" s="44" t="s">
        <v>60</v>
      </c>
      <c r="O17" s="44" t="s">
        <v>60</v>
      </c>
      <c r="P17" s="42" t="s">
        <v>60</v>
      </c>
      <c r="Q17" s="42" t="s">
        <v>60</v>
      </c>
      <c r="R17" s="46" t="s">
        <v>60</v>
      </c>
      <c r="S17" s="43">
        <v>44123</v>
      </c>
      <c r="T17" s="51">
        <f t="shared" si="1"/>
        <v>4</v>
      </c>
      <c r="U17" s="52" t="str">
        <f t="shared" si="0"/>
        <v>Não Detectável</v>
      </c>
    </row>
    <row r="18" spans="1:21" ht="25.5" customHeight="1" x14ac:dyDescent="0.2">
      <c r="A18" s="51">
        <v>17</v>
      </c>
      <c r="B18" s="50" t="s">
        <v>883</v>
      </c>
      <c r="C18" s="51">
        <v>37</v>
      </c>
      <c r="D18" s="51" t="s">
        <v>25</v>
      </c>
      <c r="E18" s="43" t="s">
        <v>879</v>
      </c>
      <c r="F18" s="44" t="s">
        <v>60</v>
      </c>
      <c r="G18" s="51">
        <v>49</v>
      </c>
      <c r="H18" s="43">
        <v>44120</v>
      </c>
      <c r="I18" s="44" t="s">
        <v>861</v>
      </c>
      <c r="J18" s="43">
        <v>44120</v>
      </c>
      <c r="K18" s="42" t="s">
        <v>36</v>
      </c>
      <c r="L18" s="42">
        <v>27.5</v>
      </c>
      <c r="M18" s="45" t="s">
        <v>31</v>
      </c>
      <c r="N18" s="44" t="s">
        <v>60</v>
      </c>
      <c r="O18" s="44" t="s">
        <v>60</v>
      </c>
      <c r="P18" s="42" t="s">
        <v>60</v>
      </c>
      <c r="Q18" s="42" t="s">
        <v>60</v>
      </c>
      <c r="R18" s="46" t="s">
        <v>60</v>
      </c>
      <c r="S18" s="43">
        <v>44123</v>
      </c>
      <c r="T18" s="51">
        <f t="shared" si="1"/>
        <v>4</v>
      </c>
      <c r="U18" s="52" t="str">
        <f t="shared" si="0"/>
        <v>Não Detectável</v>
      </c>
    </row>
    <row r="19" spans="1:21" ht="25.5" customHeight="1" x14ac:dyDescent="0.2">
      <c r="A19" s="51">
        <v>18</v>
      </c>
      <c r="B19" s="50" t="s">
        <v>884</v>
      </c>
      <c r="C19" s="51">
        <v>40</v>
      </c>
      <c r="D19" s="51" t="s">
        <v>25</v>
      </c>
      <c r="E19" s="43" t="s">
        <v>879</v>
      </c>
      <c r="F19" s="44" t="s">
        <v>60</v>
      </c>
      <c r="G19" s="51">
        <v>49</v>
      </c>
      <c r="H19" s="43">
        <v>44120</v>
      </c>
      <c r="I19" s="44" t="s">
        <v>861</v>
      </c>
      <c r="J19" s="43">
        <v>44120</v>
      </c>
      <c r="K19" s="42" t="s">
        <v>36</v>
      </c>
      <c r="L19" s="42">
        <v>27.5</v>
      </c>
      <c r="M19" s="45" t="s">
        <v>31</v>
      </c>
      <c r="N19" s="44" t="s">
        <v>60</v>
      </c>
      <c r="O19" s="44" t="s">
        <v>60</v>
      </c>
      <c r="P19" s="42" t="s">
        <v>60</v>
      </c>
      <c r="Q19" s="42" t="s">
        <v>60</v>
      </c>
      <c r="R19" s="46" t="s">
        <v>60</v>
      </c>
      <c r="S19" s="43">
        <v>44123</v>
      </c>
      <c r="T19" s="51">
        <f t="shared" si="1"/>
        <v>4</v>
      </c>
      <c r="U19" s="52" t="str">
        <f t="shared" si="0"/>
        <v>Não Detectável</v>
      </c>
    </row>
    <row r="20" spans="1:21" ht="25.5" customHeight="1" x14ac:dyDescent="0.2">
      <c r="A20" s="51">
        <v>19</v>
      </c>
      <c r="B20" s="50" t="s">
        <v>885</v>
      </c>
      <c r="C20" s="51">
        <v>79</v>
      </c>
      <c r="D20" s="51" t="s">
        <v>34</v>
      </c>
      <c r="E20" s="43" t="s">
        <v>879</v>
      </c>
      <c r="F20" s="44" t="s">
        <v>60</v>
      </c>
      <c r="G20" s="51">
        <v>50</v>
      </c>
      <c r="H20" s="43">
        <v>44120</v>
      </c>
      <c r="I20" s="44" t="s">
        <v>861</v>
      </c>
      <c r="J20" s="43">
        <v>44120</v>
      </c>
      <c r="K20" s="42">
        <v>26.7</v>
      </c>
      <c r="L20" s="42">
        <v>27</v>
      </c>
      <c r="M20" s="43" t="s">
        <v>29</v>
      </c>
      <c r="N20" s="44" t="s">
        <v>886</v>
      </c>
      <c r="O20" s="43">
        <v>44123</v>
      </c>
      <c r="P20" s="42" t="s">
        <v>36</v>
      </c>
      <c r="Q20" s="42">
        <v>27.8</v>
      </c>
      <c r="R20" s="46" t="s">
        <v>31</v>
      </c>
      <c r="S20" s="43">
        <v>44123</v>
      </c>
      <c r="T20" s="51">
        <f t="shared" si="1"/>
        <v>4</v>
      </c>
      <c r="U20" s="52" t="str">
        <f t="shared" si="0"/>
        <v>Não Detectável</v>
      </c>
    </row>
    <row r="21" spans="1:21" ht="25.5" customHeight="1" x14ac:dyDescent="0.2">
      <c r="A21" s="51">
        <v>20</v>
      </c>
      <c r="B21" s="50" t="s">
        <v>887</v>
      </c>
      <c r="C21" s="51">
        <v>32</v>
      </c>
      <c r="D21" s="51" t="s">
        <v>25</v>
      </c>
      <c r="E21" s="43" t="s">
        <v>879</v>
      </c>
      <c r="F21" s="44" t="s">
        <v>60</v>
      </c>
      <c r="G21" s="51">
        <v>50</v>
      </c>
      <c r="H21" s="43">
        <v>44120</v>
      </c>
      <c r="I21" s="44" t="s">
        <v>861</v>
      </c>
      <c r="J21" s="43">
        <v>44120</v>
      </c>
      <c r="K21" s="42">
        <v>26.7</v>
      </c>
      <c r="L21" s="42">
        <v>27</v>
      </c>
      <c r="M21" s="43" t="s">
        <v>29</v>
      </c>
      <c r="N21" s="44" t="s">
        <v>886</v>
      </c>
      <c r="O21" s="43">
        <v>44123</v>
      </c>
      <c r="P21" s="42" t="s">
        <v>36</v>
      </c>
      <c r="Q21" s="42">
        <v>27.9</v>
      </c>
      <c r="R21" s="46" t="s">
        <v>31</v>
      </c>
      <c r="S21" s="43">
        <v>44123</v>
      </c>
      <c r="T21" s="51">
        <f t="shared" si="1"/>
        <v>4</v>
      </c>
      <c r="U21" s="52" t="str">
        <f t="shared" si="0"/>
        <v>Não Detectável</v>
      </c>
    </row>
    <row r="22" spans="1:21" ht="25.5" customHeight="1" x14ac:dyDescent="0.2">
      <c r="A22" s="51">
        <v>21</v>
      </c>
      <c r="B22" s="50" t="s">
        <v>888</v>
      </c>
      <c r="C22" s="51">
        <v>21</v>
      </c>
      <c r="D22" s="51" t="s">
        <v>25</v>
      </c>
      <c r="E22" s="43" t="s">
        <v>879</v>
      </c>
      <c r="F22" s="44" t="s">
        <v>60</v>
      </c>
      <c r="G22" s="51">
        <v>50</v>
      </c>
      <c r="H22" s="43">
        <v>44120</v>
      </c>
      <c r="I22" s="44" t="s">
        <v>861</v>
      </c>
      <c r="J22" s="43">
        <v>44120</v>
      </c>
      <c r="K22" s="42">
        <v>26.7</v>
      </c>
      <c r="L22" s="42">
        <v>27</v>
      </c>
      <c r="M22" s="43" t="s">
        <v>29</v>
      </c>
      <c r="N22" s="44" t="s">
        <v>886</v>
      </c>
      <c r="O22" s="43">
        <v>44123</v>
      </c>
      <c r="P22" s="42">
        <v>25</v>
      </c>
      <c r="Q22" s="42">
        <v>26.6</v>
      </c>
      <c r="R22" s="46" t="s">
        <v>29</v>
      </c>
      <c r="S22" s="43">
        <v>44123</v>
      </c>
      <c r="T22" s="51">
        <f t="shared" si="1"/>
        <v>4</v>
      </c>
      <c r="U22" s="52" t="str">
        <f t="shared" si="0"/>
        <v>Detectável</v>
      </c>
    </row>
    <row r="23" spans="1:21" ht="25.5" customHeight="1" x14ac:dyDescent="0.2">
      <c r="A23" s="51">
        <v>22</v>
      </c>
      <c r="B23" s="50" t="s">
        <v>889</v>
      </c>
      <c r="C23" s="51">
        <v>44</v>
      </c>
      <c r="D23" s="51" t="s">
        <v>34</v>
      </c>
      <c r="E23" s="43" t="s">
        <v>879</v>
      </c>
      <c r="F23" s="44" t="s">
        <v>60</v>
      </c>
      <c r="G23" s="51">
        <v>50</v>
      </c>
      <c r="H23" s="43">
        <v>44120</v>
      </c>
      <c r="I23" s="44" t="s">
        <v>861</v>
      </c>
      <c r="J23" s="43">
        <v>44120</v>
      </c>
      <c r="K23" s="42">
        <v>26.7</v>
      </c>
      <c r="L23" s="42">
        <v>27</v>
      </c>
      <c r="M23" s="43" t="s">
        <v>29</v>
      </c>
      <c r="N23" s="44" t="s">
        <v>886</v>
      </c>
      <c r="O23" s="43">
        <v>44123</v>
      </c>
      <c r="P23" s="42">
        <v>32.299999999999997</v>
      </c>
      <c r="Q23" s="42">
        <v>29.5</v>
      </c>
      <c r="R23" s="46" t="s">
        <v>29</v>
      </c>
      <c r="S23" s="43">
        <v>44123</v>
      </c>
      <c r="T23" s="51">
        <f t="shared" si="1"/>
        <v>4</v>
      </c>
      <c r="U23" s="52" t="str">
        <f t="shared" si="0"/>
        <v>Detectável</v>
      </c>
    </row>
    <row r="24" spans="1:21" ht="25.5" customHeight="1" x14ac:dyDescent="0.2">
      <c r="A24" s="51">
        <v>23</v>
      </c>
      <c r="B24" s="50" t="s">
        <v>890</v>
      </c>
      <c r="C24" s="51">
        <v>35</v>
      </c>
      <c r="D24" s="51" t="s">
        <v>25</v>
      </c>
      <c r="E24" s="43" t="s">
        <v>879</v>
      </c>
      <c r="F24" s="44" t="s">
        <v>60</v>
      </c>
      <c r="G24" s="51">
        <v>51</v>
      </c>
      <c r="H24" s="43">
        <v>44120</v>
      </c>
      <c r="I24" s="44" t="s">
        <v>886</v>
      </c>
      <c r="J24" s="43">
        <v>44120</v>
      </c>
      <c r="K24" s="42" t="s">
        <v>36</v>
      </c>
      <c r="L24" s="42">
        <v>28.1</v>
      </c>
      <c r="M24" s="45" t="s">
        <v>31</v>
      </c>
      <c r="N24" s="44" t="s">
        <v>60</v>
      </c>
      <c r="O24" s="44" t="s">
        <v>60</v>
      </c>
      <c r="P24" s="42" t="s">
        <v>60</v>
      </c>
      <c r="Q24" s="42" t="s">
        <v>60</v>
      </c>
      <c r="R24" s="46" t="s">
        <v>60</v>
      </c>
      <c r="S24" s="43">
        <v>44123</v>
      </c>
      <c r="T24" s="51">
        <f t="shared" si="1"/>
        <v>4</v>
      </c>
      <c r="U24" s="52" t="str">
        <f t="shared" si="0"/>
        <v>Não Detectável</v>
      </c>
    </row>
    <row r="25" spans="1:21" ht="25.5" customHeight="1" x14ac:dyDescent="0.2">
      <c r="A25" s="51">
        <v>24</v>
      </c>
      <c r="B25" s="50" t="s">
        <v>891</v>
      </c>
      <c r="C25" s="51">
        <v>30</v>
      </c>
      <c r="D25" s="51" t="s">
        <v>25</v>
      </c>
      <c r="E25" s="43">
        <v>44119</v>
      </c>
      <c r="F25" s="44" t="s">
        <v>60</v>
      </c>
      <c r="G25" s="51">
        <v>51</v>
      </c>
      <c r="H25" s="43">
        <v>44120</v>
      </c>
      <c r="I25" s="44" t="s">
        <v>886</v>
      </c>
      <c r="J25" s="43">
        <v>44120</v>
      </c>
      <c r="K25" s="42" t="s">
        <v>36</v>
      </c>
      <c r="L25" s="42">
        <v>28.1</v>
      </c>
      <c r="M25" s="45" t="s">
        <v>31</v>
      </c>
      <c r="N25" s="44" t="s">
        <v>60</v>
      </c>
      <c r="O25" s="44" t="s">
        <v>60</v>
      </c>
      <c r="P25" s="42" t="s">
        <v>60</v>
      </c>
      <c r="Q25" s="42" t="s">
        <v>60</v>
      </c>
      <c r="R25" s="46" t="s">
        <v>60</v>
      </c>
      <c r="S25" s="43">
        <v>44123</v>
      </c>
      <c r="T25" s="51">
        <f t="shared" si="1"/>
        <v>4</v>
      </c>
      <c r="U25" s="52" t="str">
        <f t="shared" si="0"/>
        <v>Não Detectável</v>
      </c>
    </row>
    <row r="26" spans="1:21" ht="25.5" customHeight="1" x14ac:dyDescent="0.2">
      <c r="A26" s="51">
        <v>25</v>
      </c>
      <c r="B26" s="50" t="s">
        <v>892</v>
      </c>
      <c r="C26" s="51">
        <v>37</v>
      </c>
      <c r="D26" s="51" t="s">
        <v>34</v>
      </c>
      <c r="E26" s="43" t="s">
        <v>893</v>
      </c>
      <c r="F26" s="44" t="s">
        <v>60</v>
      </c>
      <c r="G26" s="51">
        <v>51</v>
      </c>
      <c r="H26" s="43">
        <v>44120</v>
      </c>
      <c r="I26" s="44" t="s">
        <v>886</v>
      </c>
      <c r="J26" s="43">
        <v>44120</v>
      </c>
      <c r="K26" s="42" t="s">
        <v>36</v>
      </c>
      <c r="L26" s="42">
        <v>28.1</v>
      </c>
      <c r="M26" s="45" t="s">
        <v>31</v>
      </c>
      <c r="N26" s="44" t="s">
        <v>60</v>
      </c>
      <c r="O26" s="44" t="s">
        <v>60</v>
      </c>
      <c r="P26" s="42" t="s">
        <v>60</v>
      </c>
      <c r="Q26" s="42" t="s">
        <v>60</v>
      </c>
      <c r="R26" s="46" t="s">
        <v>60</v>
      </c>
      <c r="S26" s="43">
        <v>44123</v>
      </c>
      <c r="T26" s="51">
        <f t="shared" si="1"/>
        <v>4</v>
      </c>
      <c r="U26" s="52" t="str">
        <f t="shared" si="0"/>
        <v>Não Detectável</v>
      </c>
    </row>
    <row r="27" spans="1:21" ht="25.5" customHeight="1" x14ac:dyDescent="0.2">
      <c r="A27" s="51">
        <v>26</v>
      </c>
      <c r="B27" s="50" t="s">
        <v>894</v>
      </c>
      <c r="C27" s="51">
        <v>29</v>
      </c>
      <c r="D27" s="51" t="s">
        <v>25</v>
      </c>
      <c r="E27" s="43" t="s">
        <v>893</v>
      </c>
      <c r="F27" s="44" t="s">
        <v>60</v>
      </c>
      <c r="G27" s="51">
        <v>51</v>
      </c>
      <c r="H27" s="43">
        <v>44120</v>
      </c>
      <c r="I27" s="44" t="s">
        <v>886</v>
      </c>
      <c r="J27" s="43">
        <v>44120</v>
      </c>
      <c r="K27" s="42" t="s">
        <v>36</v>
      </c>
      <c r="L27" s="42">
        <v>28.1</v>
      </c>
      <c r="M27" s="45" t="s">
        <v>31</v>
      </c>
      <c r="N27" s="44" t="s">
        <v>60</v>
      </c>
      <c r="O27" s="44" t="s">
        <v>60</v>
      </c>
      <c r="P27" s="42" t="s">
        <v>60</v>
      </c>
      <c r="Q27" s="42" t="s">
        <v>60</v>
      </c>
      <c r="R27" s="46" t="s">
        <v>60</v>
      </c>
      <c r="S27" s="43">
        <v>44123</v>
      </c>
      <c r="T27" s="51">
        <f t="shared" si="1"/>
        <v>4</v>
      </c>
      <c r="U27" s="52" t="str">
        <f t="shared" si="0"/>
        <v>Não Detectável</v>
      </c>
    </row>
    <row r="28" spans="1:21" ht="25.5" customHeight="1" x14ac:dyDescent="0.2">
      <c r="A28" s="51">
        <v>27</v>
      </c>
      <c r="B28" s="50" t="s">
        <v>895</v>
      </c>
      <c r="C28" s="51">
        <v>38</v>
      </c>
      <c r="D28" s="51" t="s">
        <v>34</v>
      </c>
      <c r="E28" s="43" t="s">
        <v>893</v>
      </c>
      <c r="F28" s="44" t="s">
        <v>60</v>
      </c>
      <c r="G28" s="51">
        <v>52</v>
      </c>
      <c r="H28" s="43">
        <v>44120</v>
      </c>
      <c r="I28" s="44" t="s">
        <v>886</v>
      </c>
      <c r="J28" s="43">
        <v>44120</v>
      </c>
      <c r="K28" s="42">
        <v>21.2</v>
      </c>
      <c r="L28" s="42">
        <v>28.5</v>
      </c>
      <c r="M28" s="43" t="s">
        <v>29</v>
      </c>
      <c r="N28" s="44" t="s">
        <v>896</v>
      </c>
      <c r="O28" s="43">
        <v>44123</v>
      </c>
      <c r="P28" s="42" t="s">
        <v>36</v>
      </c>
      <c r="Q28" s="42">
        <v>28.337</v>
      </c>
      <c r="R28" s="46" t="s">
        <v>31</v>
      </c>
      <c r="S28" s="43">
        <v>44124</v>
      </c>
      <c r="T28" s="51">
        <f t="shared" si="1"/>
        <v>4</v>
      </c>
      <c r="U28" s="52" t="str">
        <f t="shared" si="0"/>
        <v>Não Detectável</v>
      </c>
    </row>
    <row r="29" spans="1:21" ht="25.5" customHeight="1" x14ac:dyDescent="0.2">
      <c r="A29" s="51">
        <v>28</v>
      </c>
      <c r="B29" s="50" t="s">
        <v>897</v>
      </c>
      <c r="C29" s="51">
        <v>25</v>
      </c>
      <c r="D29" s="51" t="s">
        <v>34</v>
      </c>
      <c r="E29" s="43" t="s">
        <v>893</v>
      </c>
      <c r="F29" s="44" t="s">
        <v>60</v>
      </c>
      <c r="G29" s="51">
        <v>52</v>
      </c>
      <c r="H29" s="43">
        <v>44120</v>
      </c>
      <c r="I29" s="44" t="s">
        <v>886</v>
      </c>
      <c r="J29" s="43">
        <v>44120</v>
      </c>
      <c r="K29" s="42">
        <v>21.2</v>
      </c>
      <c r="L29" s="42">
        <v>28.5</v>
      </c>
      <c r="M29" s="43" t="s">
        <v>29</v>
      </c>
      <c r="N29" s="44" t="s">
        <v>896</v>
      </c>
      <c r="O29" s="43">
        <v>44123</v>
      </c>
      <c r="P29" s="42">
        <v>17.79</v>
      </c>
      <c r="Q29" s="42">
        <v>27.128</v>
      </c>
      <c r="R29" s="46" t="s">
        <v>29</v>
      </c>
      <c r="S29" s="43">
        <v>44124</v>
      </c>
      <c r="T29" s="51">
        <f t="shared" si="1"/>
        <v>4</v>
      </c>
      <c r="U29" s="52" t="str">
        <f t="shared" si="0"/>
        <v>Detectável</v>
      </c>
    </row>
    <row r="30" spans="1:21" ht="25.5" customHeight="1" x14ac:dyDescent="0.2">
      <c r="A30" s="51">
        <v>29</v>
      </c>
      <c r="B30" s="50" t="s">
        <v>898</v>
      </c>
      <c r="C30" s="51">
        <v>52</v>
      </c>
      <c r="D30" s="51" t="s">
        <v>25</v>
      </c>
      <c r="E30" s="43" t="s">
        <v>893</v>
      </c>
      <c r="F30" s="44" t="s">
        <v>60</v>
      </c>
      <c r="G30" s="51">
        <v>52</v>
      </c>
      <c r="H30" s="43">
        <v>44120</v>
      </c>
      <c r="I30" s="44" t="s">
        <v>886</v>
      </c>
      <c r="J30" s="43">
        <v>44120</v>
      </c>
      <c r="K30" s="42">
        <v>21.2</v>
      </c>
      <c r="L30" s="42">
        <v>28.5</v>
      </c>
      <c r="M30" s="43" t="s">
        <v>29</v>
      </c>
      <c r="N30" s="44" t="s">
        <v>896</v>
      </c>
      <c r="O30" s="43">
        <v>44123</v>
      </c>
      <c r="P30" s="42" t="s">
        <v>899</v>
      </c>
      <c r="Q30" s="42">
        <v>27.335999999999999</v>
      </c>
      <c r="R30" s="46" t="s">
        <v>31</v>
      </c>
      <c r="S30" s="43">
        <v>44124</v>
      </c>
      <c r="T30" s="51">
        <f t="shared" si="1"/>
        <v>4</v>
      </c>
      <c r="U30" s="52" t="str">
        <f t="shared" si="0"/>
        <v>Não Detectável</v>
      </c>
    </row>
    <row r="31" spans="1:21" ht="25.5" customHeight="1" x14ac:dyDescent="0.2">
      <c r="A31" s="51">
        <v>30</v>
      </c>
      <c r="B31" s="50" t="s">
        <v>900</v>
      </c>
      <c r="C31" s="51">
        <v>65</v>
      </c>
      <c r="D31" s="51" t="s">
        <v>34</v>
      </c>
      <c r="E31" s="43" t="s">
        <v>893</v>
      </c>
      <c r="F31" s="44" t="s">
        <v>60</v>
      </c>
      <c r="G31" s="51">
        <v>52</v>
      </c>
      <c r="H31" s="43">
        <v>44120</v>
      </c>
      <c r="I31" s="44" t="s">
        <v>886</v>
      </c>
      <c r="J31" s="43">
        <v>44120</v>
      </c>
      <c r="K31" s="42">
        <v>21.2</v>
      </c>
      <c r="L31" s="42">
        <v>28.5</v>
      </c>
      <c r="M31" s="43" t="s">
        <v>29</v>
      </c>
      <c r="N31" s="44" t="s">
        <v>896</v>
      </c>
      <c r="O31" s="43">
        <v>44123</v>
      </c>
      <c r="P31" s="42" t="s">
        <v>36</v>
      </c>
      <c r="Q31" s="42">
        <v>27.155999999999999</v>
      </c>
      <c r="R31" s="46" t="s">
        <v>31</v>
      </c>
      <c r="S31" s="43">
        <v>44124</v>
      </c>
      <c r="T31" s="51">
        <f t="shared" si="1"/>
        <v>4</v>
      </c>
      <c r="U31" s="52" t="str">
        <f t="shared" si="0"/>
        <v>Não Detectável</v>
      </c>
    </row>
    <row r="32" spans="1:21" ht="25.5" customHeight="1" x14ac:dyDescent="0.2">
      <c r="A32" s="51">
        <v>31</v>
      </c>
      <c r="B32" s="50" t="s">
        <v>901</v>
      </c>
      <c r="C32" s="51">
        <v>38</v>
      </c>
      <c r="D32" s="51" t="s">
        <v>25</v>
      </c>
      <c r="E32" s="43" t="s">
        <v>893</v>
      </c>
      <c r="F32" s="44" t="s">
        <v>60</v>
      </c>
      <c r="G32" s="51">
        <v>53</v>
      </c>
      <c r="H32" s="43">
        <v>44120</v>
      </c>
      <c r="I32" s="44" t="s">
        <v>896</v>
      </c>
      <c r="J32" s="43">
        <v>44123</v>
      </c>
      <c r="K32" s="42" t="s">
        <v>36</v>
      </c>
      <c r="L32" s="42">
        <v>27.698</v>
      </c>
      <c r="M32" s="45" t="s">
        <v>31</v>
      </c>
      <c r="N32" s="44" t="s">
        <v>60</v>
      </c>
      <c r="O32" s="44" t="s">
        <v>60</v>
      </c>
      <c r="P32" s="42" t="s">
        <v>60</v>
      </c>
      <c r="Q32" s="42" t="s">
        <v>60</v>
      </c>
      <c r="R32" s="46" t="s">
        <v>60</v>
      </c>
      <c r="S32" s="43">
        <v>44124</v>
      </c>
      <c r="T32" s="51">
        <f t="shared" si="1"/>
        <v>3</v>
      </c>
      <c r="U32" s="52" t="str">
        <f t="shared" si="0"/>
        <v>Não Detectável</v>
      </c>
    </row>
    <row r="33" spans="1:21" ht="25.5" customHeight="1" x14ac:dyDescent="0.2">
      <c r="A33" s="51">
        <v>32</v>
      </c>
      <c r="B33" s="50" t="s">
        <v>902</v>
      </c>
      <c r="C33" s="51">
        <v>45</v>
      </c>
      <c r="D33" s="51" t="s">
        <v>34</v>
      </c>
      <c r="E33" s="43">
        <v>44120</v>
      </c>
      <c r="F33" s="44" t="s">
        <v>60</v>
      </c>
      <c r="G33" s="51">
        <v>53</v>
      </c>
      <c r="H33" s="43">
        <v>44123</v>
      </c>
      <c r="I33" s="44" t="s">
        <v>896</v>
      </c>
      <c r="J33" s="43">
        <v>44123</v>
      </c>
      <c r="K33" s="42" t="s">
        <v>36</v>
      </c>
      <c r="L33" s="42">
        <v>27.698</v>
      </c>
      <c r="M33" s="45" t="s">
        <v>31</v>
      </c>
      <c r="N33" s="44" t="s">
        <v>60</v>
      </c>
      <c r="O33" s="44" t="s">
        <v>60</v>
      </c>
      <c r="P33" s="42" t="s">
        <v>60</v>
      </c>
      <c r="Q33" s="42" t="s">
        <v>60</v>
      </c>
      <c r="R33" s="46" t="s">
        <v>60</v>
      </c>
      <c r="S33" s="43">
        <v>44124</v>
      </c>
      <c r="T33" s="51">
        <f t="shared" si="1"/>
        <v>3</v>
      </c>
      <c r="U33" s="52" t="str">
        <f t="shared" si="0"/>
        <v>Não Detectável</v>
      </c>
    </row>
    <row r="34" spans="1:21" ht="25.5" customHeight="1" x14ac:dyDescent="0.2">
      <c r="A34" s="51">
        <v>33</v>
      </c>
      <c r="B34" s="50" t="s">
        <v>903</v>
      </c>
      <c r="C34" s="51">
        <v>27</v>
      </c>
      <c r="D34" s="51" t="s">
        <v>25</v>
      </c>
      <c r="E34" s="43" t="s">
        <v>904</v>
      </c>
      <c r="F34" s="44" t="s">
        <v>60</v>
      </c>
      <c r="G34" s="51">
        <v>53</v>
      </c>
      <c r="H34" s="43">
        <v>44123</v>
      </c>
      <c r="I34" s="44" t="s">
        <v>896</v>
      </c>
      <c r="J34" s="43">
        <v>44123</v>
      </c>
      <c r="K34" s="42" t="s">
        <v>36</v>
      </c>
      <c r="L34" s="42">
        <v>27.698</v>
      </c>
      <c r="M34" s="45" t="s">
        <v>31</v>
      </c>
      <c r="N34" s="44" t="s">
        <v>60</v>
      </c>
      <c r="O34" s="44" t="s">
        <v>60</v>
      </c>
      <c r="P34" s="42" t="s">
        <v>60</v>
      </c>
      <c r="Q34" s="42" t="s">
        <v>60</v>
      </c>
      <c r="R34" s="46" t="s">
        <v>60</v>
      </c>
      <c r="S34" s="43">
        <v>44124</v>
      </c>
      <c r="T34" s="51">
        <f t="shared" si="1"/>
        <v>3</v>
      </c>
      <c r="U34" s="52" t="str">
        <f t="shared" ref="U34:U65" si="2">IF(M34="Não Detectável","Não Detectável",IF(R34="","",R34))</f>
        <v>Não Detectável</v>
      </c>
    </row>
    <row r="35" spans="1:21" ht="25.5" customHeight="1" x14ac:dyDescent="0.2">
      <c r="A35" s="51">
        <v>34</v>
      </c>
      <c r="B35" s="50" t="s">
        <v>905</v>
      </c>
      <c r="C35" s="51">
        <v>28</v>
      </c>
      <c r="D35" s="51" t="s">
        <v>25</v>
      </c>
      <c r="E35" s="43" t="s">
        <v>904</v>
      </c>
      <c r="F35" s="44" t="s">
        <v>60</v>
      </c>
      <c r="G35" s="51">
        <v>54</v>
      </c>
      <c r="H35" s="43">
        <v>44123</v>
      </c>
      <c r="I35" s="44" t="s">
        <v>896</v>
      </c>
      <c r="J35" s="43">
        <v>44123</v>
      </c>
      <c r="K35" s="42" t="s">
        <v>36</v>
      </c>
      <c r="L35" s="42">
        <v>27.693000000000001</v>
      </c>
      <c r="M35" s="45" t="s">
        <v>31</v>
      </c>
      <c r="N35" s="44" t="s">
        <v>60</v>
      </c>
      <c r="O35" s="44" t="s">
        <v>60</v>
      </c>
      <c r="P35" s="42" t="s">
        <v>60</v>
      </c>
      <c r="Q35" s="42" t="s">
        <v>60</v>
      </c>
      <c r="R35" s="46" t="s">
        <v>60</v>
      </c>
      <c r="S35" s="43">
        <v>44124</v>
      </c>
      <c r="T35" s="51">
        <f t="shared" si="1"/>
        <v>3</v>
      </c>
      <c r="U35" s="52" t="str">
        <f t="shared" si="2"/>
        <v>Não Detectável</v>
      </c>
    </row>
    <row r="36" spans="1:21" ht="25.5" customHeight="1" x14ac:dyDescent="0.2">
      <c r="A36" s="51">
        <v>35</v>
      </c>
      <c r="B36" s="50" t="s">
        <v>906</v>
      </c>
      <c r="C36" s="51">
        <v>34</v>
      </c>
      <c r="D36" s="51" t="s">
        <v>25</v>
      </c>
      <c r="E36" s="43" t="s">
        <v>904</v>
      </c>
      <c r="F36" s="44" t="s">
        <v>60</v>
      </c>
      <c r="G36" s="51">
        <v>54</v>
      </c>
      <c r="H36" s="43">
        <v>44123</v>
      </c>
      <c r="I36" s="44" t="s">
        <v>896</v>
      </c>
      <c r="J36" s="43">
        <v>44123</v>
      </c>
      <c r="K36" s="42" t="s">
        <v>36</v>
      </c>
      <c r="L36" s="42">
        <v>27.693000000000001</v>
      </c>
      <c r="M36" s="45" t="s">
        <v>31</v>
      </c>
      <c r="N36" s="44" t="s">
        <v>60</v>
      </c>
      <c r="O36" s="44" t="s">
        <v>60</v>
      </c>
      <c r="P36" s="42" t="s">
        <v>60</v>
      </c>
      <c r="Q36" s="42" t="s">
        <v>60</v>
      </c>
      <c r="R36" s="46" t="s">
        <v>60</v>
      </c>
      <c r="S36" s="43">
        <v>44124</v>
      </c>
      <c r="T36" s="51">
        <f t="shared" si="1"/>
        <v>3</v>
      </c>
      <c r="U36" s="52" t="str">
        <f t="shared" si="2"/>
        <v>Não Detectável</v>
      </c>
    </row>
    <row r="37" spans="1:21" ht="25.5" customHeight="1" x14ac:dyDescent="0.2">
      <c r="A37" s="51">
        <v>36</v>
      </c>
      <c r="B37" s="50" t="s">
        <v>907</v>
      </c>
      <c r="C37" s="51">
        <v>43</v>
      </c>
      <c r="D37" s="51" t="s">
        <v>25</v>
      </c>
      <c r="E37" s="43" t="s">
        <v>904</v>
      </c>
      <c r="F37" s="44" t="s">
        <v>60</v>
      </c>
      <c r="G37" s="51">
        <v>54</v>
      </c>
      <c r="H37" s="43">
        <v>44123</v>
      </c>
      <c r="I37" s="44" t="s">
        <v>896</v>
      </c>
      <c r="J37" s="43">
        <v>44123</v>
      </c>
      <c r="K37" s="42" t="s">
        <v>36</v>
      </c>
      <c r="L37" s="42">
        <v>27.693000000000001</v>
      </c>
      <c r="M37" s="45" t="s">
        <v>31</v>
      </c>
      <c r="N37" s="44" t="s">
        <v>60</v>
      </c>
      <c r="O37" s="44" t="s">
        <v>60</v>
      </c>
      <c r="P37" s="42" t="s">
        <v>60</v>
      </c>
      <c r="Q37" s="42" t="s">
        <v>60</v>
      </c>
      <c r="R37" s="46" t="s">
        <v>60</v>
      </c>
      <c r="S37" s="43">
        <v>44124</v>
      </c>
      <c r="T37" s="51">
        <f t="shared" si="1"/>
        <v>3</v>
      </c>
      <c r="U37" s="52" t="str">
        <f t="shared" si="2"/>
        <v>Não Detectável</v>
      </c>
    </row>
    <row r="38" spans="1:21" ht="25.5" customHeight="1" x14ac:dyDescent="0.2">
      <c r="A38" s="51">
        <v>37</v>
      </c>
      <c r="B38" s="50" t="s">
        <v>908</v>
      </c>
      <c r="C38" s="51">
        <v>66</v>
      </c>
      <c r="D38" s="51" t="s">
        <v>34</v>
      </c>
      <c r="E38" s="43" t="s">
        <v>904</v>
      </c>
      <c r="F38" s="44" t="s">
        <v>60</v>
      </c>
      <c r="G38" s="51">
        <v>55</v>
      </c>
      <c r="H38" s="43">
        <v>44123</v>
      </c>
      <c r="I38" s="44" t="s">
        <v>896</v>
      </c>
      <c r="J38" s="43">
        <v>44123</v>
      </c>
      <c r="K38" s="42" t="s">
        <v>36</v>
      </c>
      <c r="L38" s="42">
        <v>26.911999999999999</v>
      </c>
      <c r="M38" s="45" t="s">
        <v>31</v>
      </c>
      <c r="N38" s="44" t="s">
        <v>60</v>
      </c>
      <c r="O38" s="44" t="s">
        <v>60</v>
      </c>
      <c r="P38" s="42" t="s">
        <v>60</v>
      </c>
      <c r="Q38" s="42" t="s">
        <v>60</v>
      </c>
      <c r="R38" s="46" t="s">
        <v>60</v>
      </c>
      <c r="S38" s="43">
        <v>44124</v>
      </c>
      <c r="T38" s="51">
        <f t="shared" si="1"/>
        <v>3</v>
      </c>
      <c r="U38" s="52" t="str">
        <f t="shared" si="2"/>
        <v>Não Detectável</v>
      </c>
    </row>
    <row r="39" spans="1:21" ht="25.5" customHeight="1" x14ac:dyDescent="0.2">
      <c r="A39" s="51">
        <v>38</v>
      </c>
      <c r="B39" s="50" t="s">
        <v>909</v>
      </c>
      <c r="C39" s="51">
        <v>25</v>
      </c>
      <c r="D39" s="51" t="s">
        <v>25</v>
      </c>
      <c r="E39" s="43" t="s">
        <v>904</v>
      </c>
      <c r="F39" s="44" t="s">
        <v>60</v>
      </c>
      <c r="G39" s="51">
        <v>55</v>
      </c>
      <c r="H39" s="43">
        <v>44123</v>
      </c>
      <c r="I39" s="44" t="s">
        <v>896</v>
      </c>
      <c r="J39" s="43">
        <v>44123</v>
      </c>
      <c r="K39" s="42" t="s">
        <v>36</v>
      </c>
      <c r="L39" s="42">
        <v>26.911999999999999</v>
      </c>
      <c r="M39" s="45" t="s">
        <v>31</v>
      </c>
      <c r="N39" s="44" t="s">
        <v>60</v>
      </c>
      <c r="O39" s="44" t="s">
        <v>60</v>
      </c>
      <c r="P39" s="42" t="s">
        <v>60</v>
      </c>
      <c r="Q39" s="42" t="s">
        <v>60</v>
      </c>
      <c r="R39" s="46" t="s">
        <v>60</v>
      </c>
      <c r="S39" s="43">
        <v>44124</v>
      </c>
      <c r="T39" s="51">
        <f t="shared" si="1"/>
        <v>3</v>
      </c>
      <c r="U39" s="52" t="str">
        <f t="shared" si="2"/>
        <v>Não Detectável</v>
      </c>
    </row>
    <row r="40" spans="1:21" ht="25.5" customHeight="1" x14ac:dyDescent="0.2">
      <c r="A40" s="51">
        <v>39</v>
      </c>
      <c r="B40" s="50" t="s">
        <v>910</v>
      </c>
      <c r="C40" s="51">
        <v>56</v>
      </c>
      <c r="D40" s="51" t="s">
        <v>25</v>
      </c>
      <c r="E40" s="43" t="s">
        <v>904</v>
      </c>
      <c r="F40" s="44" t="s">
        <v>60</v>
      </c>
      <c r="G40" s="51">
        <v>55</v>
      </c>
      <c r="H40" s="43">
        <v>44123</v>
      </c>
      <c r="I40" s="44" t="s">
        <v>896</v>
      </c>
      <c r="J40" s="43">
        <v>44123</v>
      </c>
      <c r="K40" s="42" t="s">
        <v>36</v>
      </c>
      <c r="L40" s="42">
        <v>26.911999999999999</v>
      </c>
      <c r="M40" s="45" t="s">
        <v>31</v>
      </c>
      <c r="N40" s="44" t="s">
        <v>60</v>
      </c>
      <c r="O40" s="44" t="s">
        <v>60</v>
      </c>
      <c r="P40" s="42" t="s">
        <v>60</v>
      </c>
      <c r="Q40" s="42" t="s">
        <v>60</v>
      </c>
      <c r="R40" s="46" t="s">
        <v>60</v>
      </c>
      <c r="S40" s="43">
        <v>44124</v>
      </c>
      <c r="T40" s="51">
        <f t="shared" si="1"/>
        <v>3</v>
      </c>
      <c r="U40" s="52" t="str">
        <f t="shared" si="2"/>
        <v>Não Detectável</v>
      </c>
    </row>
    <row r="41" spans="1:21" ht="25.5" customHeight="1" x14ac:dyDescent="0.2">
      <c r="A41" s="51">
        <v>40</v>
      </c>
      <c r="B41" s="50" t="s">
        <v>911</v>
      </c>
      <c r="C41" s="51">
        <v>22</v>
      </c>
      <c r="D41" s="51" t="s">
        <v>34</v>
      </c>
      <c r="E41" s="43" t="s">
        <v>904</v>
      </c>
      <c r="F41" s="44" t="s">
        <v>60</v>
      </c>
      <c r="G41" s="51">
        <v>56</v>
      </c>
      <c r="H41" s="43">
        <v>44123</v>
      </c>
      <c r="I41" s="44" t="s">
        <v>896</v>
      </c>
      <c r="J41" s="43">
        <v>44123</v>
      </c>
      <c r="K41" s="42" t="s">
        <v>36</v>
      </c>
      <c r="L41" s="42">
        <v>27.503</v>
      </c>
      <c r="M41" s="45" t="s">
        <v>31</v>
      </c>
      <c r="N41" s="44" t="s">
        <v>60</v>
      </c>
      <c r="O41" s="44" t="s">
        <v>60</v>
      </c>
      <c r="P41" s="42" t="s">
        <v>60</v>
      </c>
      <c r="Q41" s="42" t="s">
        <v>60</v>
      </c>
      <c r="R41" s="46" t="s">
        <v>60</v>
      </c>
      <c r="S41" s="43">
        <v>44124</v>
      </c>
      <c r="T41" s="51">
        <f t="shared" si="1"/>
        <v>3</v>
      </c>
      <c r="U41" s="52" t="str">
        <f t="shared" si="2"/>
        <v>Não Detectável</v>
      </c>
    </row>
    <row r="42" spans="1:21" ht="25.5" customHeight="1" x14ac:dyDescent="0.2">
      <c r="A42" s="51">
        <v>41</v>
      </c>
      <c r="B42" s="50" t="s">
        <v>912</v>
      </c>
      <c r="C42" s="51">
        <v>26</v>
      </c>
      <c r="D42" s="51" t="s">
        <v>25</v>
      </c>
      <c r="E42" s="43" t="s">
        <v>904</v>
      </c>
      <c r="F42" s="44" t="s">
        <v>60</v>
      </c>
      <c r="G42" s="51">
        <v>56</v>
      </c>
      <c r="H42" s="43">
        <v>44123</v>
      </c>
      <c r="I42" s="44" t="s">
        <v>896</v>
      </c>
      <c r="J42" s="43">
        <v>44123</v>
      </c>
      <c r="K42" s="42" t="s">
        <v>36</v>
      </c>
      <c r="L42" s="42">
        <v>27.503</v>
      </c>
      <c r="M42" s="45" t="s">
        <v>31</v>
      </c>
      <c r="N42" s="44" t="s">
        <v>60</v>
      </c>
      <c r="O42" s="44" t="s">
        <v>60</v>
      </c>
      <c r="P42" s="42" t="s">
        <v>60</v>
      </c>
      <c r="Q42" s="42" t="s">
        <v>60</v>
      </c>
      <c r="R42" s="46" t="s">
        <v>60</v>
      </c>
      <c r="S42" s="43">
        <v>44124</v>
      </c>
      <c r="T42" s="51">
        <f t="shared" si="1"/>
        <v>3</v>
      </c>
      <c r="U42" s="52" t="str">
        <f t="shared" si="2"/>
        <v>Não Detectável</v>
      </c>
    </row>
    <row r="43" spans="1:21" ht="25.5" customHeight="1" x14ac:dyDescent="0.2">
      <c r="A43" s="51">
        <v>42</v>
      </c>
      <c r="B43" s="50" t="s">
        <v>913</v>
      </c>
      <c r="C43" s="51">
        <v>38</v>
      </c>
      <c r="D43" s="51" t="s">
        <v>25</v>
      </c>
      <c r="E43" s="43" t="s">
        <v>904</v>
      </c>
      <c r="F43" s="44" t="s">
        <v>60</v>
      </c>
      <c r="G43" s="51">
        <v>56</v>
      </c>
      <c r="H43" s="43">
        <v>44123</v>
      </c>
      <c r="I43" s="44" t="s">
        <v>896</v>
      </c>
      <c r="J43" s="43">
        <v>44123</v>
      </c>
      <c r="K43" s="42" t="s">
        <v>36</v>
      </c>
      <c r="L43" s="42">
        <v>27.503</v>
      </c>
      <c r="M43" s="45" t="s">
        <v>31</v>
      </c>
      <c r="N43" s="44" t="s">
        <v>60</v>
      </c>
      <c r="O43" s="44" t="s">
        <v>60</v>
      </c>
      <c r="P43" s="42" t="s">
        <v>60</v>
      </c>
      <c r="Q43" s="42" t="s">
        <v>60</v>
      </c>
      <c r="R43" s="46" t="s">
        <v>60</v>
      </c>
      <c r="S43" s="43">
        <v>44124</v>
      </c>
      <c r="T43" s="51">
        <f t="shared" si="1"/>
        <v>3</v>
      </c>
      <c r="U43" s="52" t="str">
        <f t="shared" si="2"/>
        <v>Não Detectável</v>
      </c>
    </row>
    <row r="44" spans="1:21" ht="25.5" customHeight="1" x14ac:dyDescent="0.2">
      <c r="A44" s="51">
        <v>43</v>
      </c>
      <c r="B44" s="50" t="s">
        <v>914</v>
      </c>
      <c r="C44" s="51">
        <v>25</v>
      </c>
      <c r="D44" s="51" t="s">
        <v>34</v>
      </c>
      <c r="E44" s="43" t="s">
        <v>904</v>
      </c>
      <c r="F44" s="44" t="s">
        <v>60</v>
      </c>
      <c r="G44" s="51">
        <v>57</v>
      </c>
      <c r="H44" s="43">
        <v>44123</v>
      </c>
      <c r="I44" s="44" t="s">
        <v>915</v>
      </c>
      <c r="J44" s="43">
        <v>44125</v>
      </c>
      <c r="K44" s="42" t="s">
        <v>36</v>
      </c>
      <c r="L44" s="42">
        <v>27.2</v>
      </c>
      <c r="M44" s="45" t="s">
        <v>31</v>
      </c>
      <c r="N44" s="44" t="s">
        <v>60</v>
      </c>
      <c r="O44" s="44" t="s">
        <v>60</v>
      </c>
      <c r="P44" s="42" t="s">
        <v>60</v>
      </c>
      <c r="Q44" s="42" t="s">
        <v>60</v>
      </c>
      <c r="R44" s="46" t="s">
        <v>60</v>
      </c>
      <c r="S44" s="43">
        <v>44125</v>
      </c>
      <c r="T44" s="51">
        <f t="shared" si="1"/>
        <v>3</v>
      </c>
      <c r="U44" s="52" t="str">
        <f t="shared" si="2"/>
        <v>Não Detectável</v>
      </c>
    </row>
    <row r="45" spans="1:21" ht="25.5" customHeight="1" x14ac:dyDescent="0.2">
      <c r="A45" s="51">
        <v>44</v>
      </c>
      <c r="B45" s="50" t="s">
        <v>916</v>
      </c>
      <c r="C45" s="51">
        <v>48</v>
      </c>
      <c r="D45" s="51" t="s">
        <v>34</v>
      </c>
      <c r="E45" s="43" t="s">
        <v>917</v>
      </c>
      <c r="F45" s="44" t="s">
        <v>60</v>
      </c>
      <c r="G45" s="51">
        <v>57</v>
      </c>
      <c r="H45" s="43">
        <v>44125</v>
      </c>
      <c r="I45" s="44" t="s">
        <v>915</v>
      </c>
      <c r="J45" s="43">
        <v>44125</v>
      </c>
      <c r="K45" s="42" t="s">
        <v>36</v>
      </c>
      <c r="L45" s="42">
        <v>27.2</v>
      </c>
      <c r="M45" s="45" t="s">
        <v>31</v>
      </c>
      <c r="N45" s="44" t="s">
        <v>60</v>
      </c>
      <c r="O45" s="44" t="s">
        <v>60</v>
      </c>
      <c r="P45" s="42" t="s">
        <v>60</v>
      </c>
      <c r="Q45" s="42" t="s">
        <v>60</v>
      </c>
      <c r="R45" s="46" t="s">
        <v>60</v>
      </c>
      <c r="S45" s="43">
        <v>44125</v>
      </c>
      <c r="T45" s="51">
        <f t="shared" si="1"/>
        <v>3</v>
      </c>
      <c r="U45" s="52" t="str">
        <f t="shared" si="2"/>
        <v>Não Detectável</v>
      </c>
    </row>
    <row r="46" spans="1:21" ht="25.5" customHeight="1" x14ac:dyDescent="0.2">
      <c r="A46" s="51">
        <v>45</v>
      </c>
      <c r="B46" s="50" t="s">
        <v>918</v>
      </c>
      <c r="C46" s="51">
        <v>88</v>
      </c>
      <c r="D46" s="51" t="s">
        <v>34</v>
      </c>
      <c r="E46" s="43" t="s">
        <v>917</v>
      </c>
      <c r="F46" s="44" t="s">
        <v>60</v>
      </c>
      <c r="G46" s="51">
        <v>57</v>
      </c>
      <c r="H46" s="43">
        <v>44125</v>
      </c>
      <c r="I46" s="44" t="s">
        <v>915</v>
      </c>
      <c r="J46" s="43">
        <v>44125</v>
      </c>
      <c r="K46" s="42" t="s">
        <v>36</v>
      </c>
      <c r="L46" s="42">
        <v>27.2</v>
      </c>
      <c r="M46" s="45" t="s">
        <v>31</v>
      </c>
      <c r="N46" s="44" t="s">
        <v>60</v>
      </c>
      <c r="O46" s="44" t="s">
        <v>60</v>
      </c>
      <c r="P46" s="42" t="s">
        <v>60</v>
      </c>
      <c r="Q46" s="42" t="s">
        <v>60</v>
      </c>
      <c r="R46" s="46" t="s">
        <v>60</v>
      </c>
      <c r="S46" s="43">
        <v>44125</v>
      </c>
      <c r="T46" s="51">
        <f t="shared" si="1"/>
        <v>3</v>
      </c>
      <c r="U46" s="52" t="str">
        <f t="shared" si="2"/>
        <v>Não Detectável</v>
      </c>
    </row>
    <row r="47" spans="1:21" ht="25.5" customHeight="1" x14ac:dyDescent="0.2">
      <c r="A47" s="51">
        <v>46</v>
      </c>
      <c r="B47" s="50" t="s">
        <v>919</v>
      </c>
      <c r="C47" s="51">
        <v>27</v>
      </c>
      <c r="D47" s="51" t="s">
        <v>34</v>
      </c>
      <c r="E47" s="43" t="s">
        <v>917</v>
      </c>
      <c r="F47" s="44" t="s">
        <v>60</v>
      </c>
      <c r="G47" s="51">
        <v>61</v>
      </c>
      <c r="H47" s="43">
        <v>44125</v>
      </c>
      <c r="I47" s="44" t="s">
        <v>915</v>
      </c>
      <c r="J47" s="43">
        <v>44125</v>
      </c>
      <c r="K47" s="42" t="s">
        <v>36</v>
      </c>
      <c r="L47" s="42">
        <v>26.4</v>
      </c>
      <c r="M47" s="45" t="s">
        <v>31</v>
      </c>
      <c r="N47" s="44" t="s">
        <v>60</v>
      </c>
      <c r="O47" s="44" t="s">
        <v>60</v>
      </c>
      <c r="P47" s="42" t="s">
        <v>60</v>
      </c>
      <c r="Q47" s="42" t="s">
        <v>60</v>
      </c>
      <c r="R47" s="46" t="s">
        <v>60</v>
      </c>
      <c r="S47" s="43">
        <v>44125</v>
      </c>
      <c r="T47" s="51">
        <f t="shared" si="1"/>
        <v>3</v>
      </c>
      <c r="U47" s="52" t="str">
        <f t="shared" si="2"/>
        <v>Não Detectável</v>
      </c>
    </row>
    <row r="48" spans="1:21" ht="25.5" customHeight="1" x14ac:dyDescent="0.2">
      <c r="A48" s="51">
        <v>47</v>
      </c>
      <c r="B48" s="50" t="s">
        <v>920</v>
      </c>
      <c r="C48" s="51">
        <v>38</v>
      </c>
      <c r="D48" s="51" t="s">
        <v>25</v>
      </c>
      <c r="E48" s="43" t="s">
        <v>917</v>
      </c>
      <c r="F48" s="44" t="s">
        <v>60</v>
      </c>
      <c r="G48" s="51">
        <v>61</v>
      </c>
      <c r="H48" s="43">
        <v>44125</v>
      </c>
      <c r="I48" s="44" t="s">
        <v>915</v>
      </c>
      <c r="J48" s="43">
        <v>44125</v>
      </c>
      <c r="K48" s="42" t="s">
        <v>36</v>
      </c>
      <c r="L48" s="42">
        <v>26.4</v>
      </c>
      <c r="M48" s="45" t="s">
        <v>31</v>
      </c>
      <c r="N48" s="44" t="s">
        <v>60</v>
      </c>
      <c r="O48" s="44" t="s">
        <v>60</v>
      </c>
      <c r="P48" s="42" t="s">
        <v>60</v>
      </c>
      <c r="Q48" s="42" t="s">
        <v>60</v>
      </c>
      <c r="R48" s="46" t="s">
        <v>60</v>
      </c>
      <c r="S48" s="43">
        <v>44125</v>
      </c>
      <c r="T48" s="51">
        <f t="shared" si="1"/>
        <v>3</v>
      </c>
      <c r="U48" s="52" t="str">
        <f t="shared" si="2"/>
        <v>Não Detectável</v>
      </c>
    </row>
    <row r="49" spans="1:21" ht="25.5" customHeight="1" x14ac:dyDescent="0.2">
      <c r="A49" s="51">
        <v>48</v>
      </c>
      <c r="B49" s="50" t="s">
        <v>921</v>
      </c>
      <c r="C49" s="51">
        <v>20</v>
      </c>
      <c r="D49" s="51" t="s">
        <v>25</v>
      </c>
      <c r="E49" s="43" t="s">
        <v>917</v>
      </c>
      <c r="F49" s="44" t="s">
        <v>60</v>
      </c>
      <c r="G49" s="51">
        <v>61</v>
      </c>
      <c r="H49" s="43">
        <v>44125</v>
      </c>
      <c r="I49" s="44" t="s">
        <v>915</v>
      </c>
      <c r="J49" s="43">
        <v>44125</v>
      </c>
      <c r="K49" s="42" t="s">
        <v>36</v>
      </c>
      <c r="L49" s="42">
        <v>26.4</v>
      </c>
      <c r="M49" s="45" t="s">
        <v>31</v>
      </c>
      <c r="N49" s="44" t="s">
        <v>60</v>
      </c>
      <c r="O49" s="44" t="s">
        <v>60</v>
      </c>
      <c r="P49" s="42" t="s">
        <v>60</v>
      </c>
      <c r="Q49" s="42" t="s">
        <v>60</v>
      </c>
      <c r="R49" s="46" t="s">
        <v>60</v>
      </c>
      <c r="S49" s="43">
        <v>44125</v>
      </c>
      <c r="T49" s="51">
        <f t="shared" si="1"/>
        <v>3</v>
      </c>
      <c r="U49" s="52" t="str">
        <f t="shared" si="2"/>
        <v>Não Detectável</v>
      </c>
    </row>
    <row r="50" spans="1:21" ht="25.5" customHeight="1" x14ac:dyDescent="0.2">
      <c r="A50" s="51">
        <v>49</v>
      </c>
      <c r="B50" s="50" t="s">
        <v>922</v>
      </c>
      <c r="C50" s="51">
        <v>21</v>
      </c>
      <c r="D50" s="51" t="s">
        <v>25</v>
      </c>
      <c r="E50" s="43" t="s">
        <v>917</v>
      </c>
      <c r="F50" s="44" t="s">
        <v>60</v>
      </c>
      <c r="G50" s="51">
        <v>58</v>
      </c>
      <c r="H50" s="43">
        <v>44125</v>
      </c>
      <c r="I50" s="44" t="s">
        <v>915</v>
      </c>
      <c r="J50" s="43">
        <v>44125</v>
      </c>
      <c r="K50" s="42">
        <v>17.600000000000001</v>
      </c>
      <c r="L50" s="42">
        <v>25.7</v>
      </c>
      <c r="M50" s="43" t="s">
        <v>29</v>
      </c>
      <c r="N50" s="44" t="s">
        <v>923</v>
      </c>
      <c r="O50" s="43">
        <v>44126</v>
      </c>
      <c r="P50" s="42">
        <v>28.6</v>
      </c>
      <c r="Q50" s="42">
        <v>26.5</v>
      </c>
      <c r="R50" s="46" t="s">
        <v>29</v>
      </c>
      <c r="S50" s="43">
        <v>44126</v>
      </c>
      <c r="T50" s="51">
        <f t="shared" si="1"/>
        <v>3</v>
      </c>
      <c r="U50" s="52" t="str">
        <f t="shared" si="2"/>
        <v>Detectável</v>
      </c>
    </row>
    <row r="51" spans="1:21" ht="25.5" customHeight="1" x14ac:dyDescent="0.2">
      <c r="A51" s="51">
        <v>50</v>
      </c>
      <c r="B51" s="50" t="s">
        <v>924</v>
      </c>
      <c r="C51" s="51">
        <v>49</v>
      </c>
      <c r="D51" s="51" t="s">
        <v>25</v>
      </c>
      <c r="E51" s="43" t="s">
        <v>917</v>
      </c>
      <c r="F51" s="44" t="s">
        <v>60</v>
      </c>
      <c r="G51" s="51">
        <v>58</v>
      </c>
      <c r="H51" s="43">
        <v>44125</v>
      </c>
      <c r="I51" s="44" t="s">
        <v>915</v>
      </c>
      <c r="J51" s="43">
        <v>44125</v>
      </c>
      <c r="K51" s="42">
        <v>17.600000000000001</v>
      </c>
      <c r="L51" s="42">
        <v>25.7</v>
      </c>
      <c r="M51" s="43" t="s">
        <v>29</v>
      </c>
      <c r="N51" s="44" t="s">
        <v>923</v>
      </c>
      <c r="O51" s="43">
        <v>44126</v>
      </c>
      <c r="P51" s="42" t="s">
        <v>36</v>
      </c>
      <c r="Q51" s="42">
        <v>27.7</v>
      </c>
      <c r="R51" s="46" t="s">
        <v>31</v>
      </c>
      <c r="S51" s="43">
        <v>44126</v>
      </c>
      <c r="T51" s="51">
        <f t="shared" si="1"/>
        <v>3</v>
      </c>
      <c r="U51" s="52" t="str">
        <f t="shared" si="2"/>
        <v>Não Detectável</v>
      </c>
    </row>
    <row r="52" spans="1:21" ht="25.5" customHeight="1" x14ac:dyDescent="0.2">
      <c r="A52" s="51">
        <v>51</v>
      </c>
      <c r="B52" s="50" t="s">
        <v>925</v>
      </c>
      <c r="C52" s="51">
        <v>25</v>
      </c>
      <c r="D52" s="51" t="s">
        <v>25</v>
      </c>
      <c r="E52" s="43" t="s">
        <v>917</v>
      </c>
      <c r="F52" s="44" t="s">
        <v>60</v>
      </c>
      <c r="G52" s="51">
        <v>58</v>
      </c>
      <c r="H52" s="43">
        <v>44125</v>
      </c>
      <c r="I52" s="44" t="s">
        <v>915</v>
      </c>
      <c r="J52" s="43">
        <v>44125</v>
      </c>
      <c r="K52" s="42">
        <v>17.600000000000001</v>
      </c>
      <c r="L52" s="42">
        <v>25.7</v>
      </c>
      <c r="M52" s="43" t="s">
        <v>29</v>
      </c>
      <c r="N52" s="44" t="s">
        <v>923</v>
      </c>
      <c r="O52" s="43">
        <v>44126</v>
      </c>
      <c r="P52" s="42">
        <v>18.5</v>
      </c>
      <c r="Q52" s="42">
        <v>26.6</v>
      </c>
      <c r="R52" s="46" t="s">
        <v>29</v>
      </c>
      <c r="S52" s="43">
        <v>44126</v>
      </c>
      <c r="T52" s="51">
        <f t="shared" si="1"/>
        <v>3</v>
      </c>
      <c r="U52" s="52" t="str">
        <f t="shared" si="2"/>
        <v>Detectável</v>
      </c>
    </row>
    <row r="53" spans="1:21" ht="25.5" customHeight="1" x14ac:dyDescent="0.2">
      <c r="A53" s="51">
        <v>52</v>
      </c>
      <c r="B53" s="50" t="s">
        <v>926</v>
      </c>
      <c r="C53" s="51">
        <v>44</v>
      </c>
      <c r="D53" s="51" t="s">
        <v>34</v>
      </c>
      <c r="E53" s="43" t="s">
        <v>917</v>
      </c>
      <c r="F53" s="44" t="s">
        <v>60</v>
      </c>
      <c r="G53" s="51">
        <v>59</v>
      </c>
      <c r="H53" s="43">
        <v>44125</v>
      </c>
      <c r="I53" s="44" t="s">
        <v>915</v>
      </c>
      <c r="J53" s="43">
        <v>44125</v>
      </c>
      <c r="K53" s="42">
        <v>16.2</v>
      </c>
      <c r="L53" s="42">
        <v>27</v>
      </c>
      <c r="M53" s="43" t="s">
        <v>29</v>
      </c>
      <c r="N53" s="44" t="s">
        <v>923</v>
      </c>
      <c r="O53" s="43">
        <v>44126</v>
      </c>
      <c r="P53" s="42" t="s">
        <v>36</v>
      </c>
      <c r="Q53" s="42">
        <v>26.9</v>
      </c>
      <c r="R53" s="46" t="s">
        <v>31</v>
      </c>
      <c r="S53" s="43">
        <v>44126</v>
      </c>
      <c r="T53" s="51">
        <f t="shared" si="1"/>
        <v>3</v>
      </c>
      <c r="U53" s="52" t="str">
        <f t="shared" si="2"/>
        <v>Não Detectável</v>
      </c>
    </row>
    <row r="54" spans="1:21" ht="25.5" customHeight="1" x14ac:dyDescent="0.2">
      <c r="A54" s="51">
        <v>53</v>
      </c>
      <c r="B54" s="50" t="s">
        <v>927</v>
      </c>
      <c r="C54" s="51">
        <v>19</v>
      </c>
      <c r="D54" s="51" t="s">
        <v>34</v>
      </c>
      <c r="E54" s="43" t="s">
        <v>917</v>
      </c>
      <c r="F54" s="44" t="s">
        <v>60</v>
      </c>
      <c r="G54" s="51">
        <v>59</v>
      </c>
      <c r="H54" s="43">
        <v>44125</v>
      </c>
      <c r="I54" s="44" t="s">
        <v>915</v>
      </c>
      <c r="J54" s="43">
        <v>44125</v>
      </c>
      <c r="K54" s="42">
        <v>16.2</v>
      </c>
      <c r="L54" s="42">
        <v>27</v>
      </c>
      <c r="M54" s="43" t="s">
        <v>29</v>
      </c>
      <c r="N54" s="44" t="s">
        <v>923</v>
      </c>
      <c r="O54" s="43">
        <v>44126</v>
      </c>
      <c r="P54" s="42">
        <v>17.399999999999999</v>
      </c>
      <c r="Q54" s="42">
        <v>27.1</v>
      </c>
      <c r="R54" s="46" t="s">
        <v>29</v>
      </c>
      <c r="S54" s="43">
        <v>44126</v>
      </c>
      <c r="T54" s="51">
        <f t="shared" si="1"/>
        <v>3</v>
      </c>
      <c r="U54" s="52" t="str">
        <f t="shared" si="2"/>
        <v>Detectável</v>
      </c>
    </row>
    <row r="55" spans="1:21" ht="25.5" customHeight="1" x14ac:dyDescent="0.2">
      <c r="A55" s="51">
        <v>54</v>
      </c>
      <c r="B55" s="50" t="s">
        <v>928</v>
      </c>
      <c r="C55" s="51">
        <v>67</v>
      </c>
      <c r="D55" s="51" t="s">
        <v>34</v>
      </c>
      <c r="E55" s="43" t="s">
        <v>917</v>
      </c>
      <c r="F55" s="44" t="s">
        <v>60</v>
      </c>
      <c r="G55" s="51">
        <v>59</v>
      </c>
      <c r="H55" s="43">
        <v>44125</v>
      </c>
      <c r="I55" s="44" t="s">
        <v>915</v>
      </c>
      <c r="J55" s="43">
        <v>44125</v>
      </c>
      <c r="K55" s="42">
        <v>16.2</v>
      </c>
      <c r="L55" s="42">
        <v>27</v>
      </c>
      <c r="M55" s="43" t="s">
        <v>29</v>
      </c>
      <c r="N55" s="44" t="s">
        <v>923</v>
      </c>
      <c r="O55" s="43">
        <v>44126</v>
      </c>
      <c r="P55" s="42" t="s">
        <v>36</v>
      </c>
      <c r="Q55" s="42">
        <v>26.9</v>
      </c>
      <c r="R55" s="46" t="s">
        <v>31</v>
      </c>
      <c r="S55" s="43">
        <v>44126</v>
      </c>
      <c r="T55" s="51">
        <f t="shared" si="1"/>
        <v>3</v>
      </c>
      <c r="U55" s="52" t="str">
        <f t="shared" si="2"/>
        <v>Não Detectável</v>
      </c>
    </row>
    <row r="56" spans="1:21" ht="25.5" customHeight="1" x14ac:dyDescent="0.2">
      <c r="A56" s="51">
        <v>55</v>
      </c>
      <c r="B56" s="50" t="s">
        <v>929</v>
      </c>
      <c r="C56" s="51">
        <v>45</v>
      </c>
      <c r="D56" s="51" t="s">
        <v>25</v>
      </c>
      <c r="E56" s="43" t="s">
        <v>917</v>
      </c>
      <c r="F56" s="44" t="s">
        <v>60</v>
      </c>
      <c r="G56" s="51">
        <v>60</v>
      </c>
      <c r="H56" s="43">
        <v>44125</v>
      </c>
      <c r="I56" s="44" t="s">
        <v>915</v>
      </c>
      <c r="J56" s="43">
        <v>44125</v>
      </c>
      <c r="K56" s="42">
        <v>24.4</v>
      </c>
      <c r="L56" s="42">
        <v>25.4</v>
      </c>
      <c r="M56" s="43" t="s">
        <v>29</v>
      </c>
      <c r="N56" s="44" t="s">
        <v>923</v>
      </c>
      <c r="O56" s="43">
        <v>44126</v>
      </c>
      <c r="P56" s="42" t="s">
        <v>36</v>
      </c>
      <c r="Q56" s="42">
        <v>28.5</v>
      </c>
      <c r="R56" s="46" t="s">
        <v>31</v>
      </c>
      <c r="S56" s="43">
        <v>44126</v>
      </c>
      <c r="T56" s="51">
        <f t="shared" si="1"/>
        <v>3</v>
      </c>
      <c r="U56" s="52" t="str">
        <f t="shared" si="2"/>
        <v>Não Detectável</v>
      </c>
    </row>
    <row r="57" spans="1:21" ht="25.5" customHeight="1" x14ac:dyDescent="0.2">
      <c r="A57" s="51">
        <v>56</v>
      </c>
      <c r="B57" s="50" t="s">
        <v>930</v>
      </c>
      <c r="C57" s="51">
        <v>26</v>
      </c>
      <c r="D57" s="51" t="s">
        <v>25</v>
      </c>
      <c r="E57" s="43" t="s">
        <v>917</v>
      </c>
      <c r="F57" s="44" t="s">
        <v>60</v>
      </c>
      <c r="G57" s="51">
        <v>60</v>
      </c>
      <c r="H57" s="43">
        <v>44125</v>
      </c>
      <c r="I57" s="44" t="s">
        <v>915</v>
      </c>
      <c r="J57" s="43">
        <v>44125</v>
      </c>
      <c r="K57" s="42">
        <v>24.4</v>
      </c>
      <c r="L57" s="42">
        <v>25.4</v>
      </c>
      <c r="M57" s="43" t="s">
        <v>29</v>
      </c>
      <c r="N57" s="44" t="s">
        <v>923</v>
      </c>
      <c r="O57" s="43">
        <v>44126</v>
      </c>
      <c r="P57" s="42" t="s">
        <v>36</v>
      </c>
      <c r="Q57" s="42">
        <v>25.3</v>
      </c>
      <c r="R57" s="46" t="s">
        <v>31</v>
      </c>
      <c r="S57" s="43">
        <v>44126</v>
      </c>
      <c r="T57" s="51">
        <f t="shared" si="1"/>
        <v>3</v>
      </c>
      <c r="U57" s="52" t="str">
        <f t="shared" si="2"/>
        <v>Não Detectável</v>
      </c>
    </row>
    <row r="58" spans="1:21" ht="25.5" customHeight="1" x14ac:dyDescent="0.2">
      <c r="A58" s="51">
        <v>57</v>
      </c>
      <c r="B58" s="50" t="s">
        <v>931</v>
      </c>
      <c r="C58" s="51">
        <v>49</v>
      </c>
      <c r="D58" s="51" t="s">
        <v>34</v>
      </c>
      <c r="E58" s="43" t="s">
        <v>917</v>
      </c>
      <c r="F58" s="44" t="s">
        <v>60</v>
      </c>
      <c r="G58" s="51">
        <v>60</v>
      </c>
      <c r="H58" s="43">
        <v>44125</v>
      </c>
      <c r="I58" s="44" t="s">
        <v>915</v>
      </c>
      <c r="J58" s="43">
        <v>44125</v>
      </c>
      <c r="K58" s="42">
        <v>24.4</v>
      </c>
      <c r="L58" s="42">
        <v>25.4</v>
      </c>
      <c r="M58" s="43" t="s">
        <v>29</v>
      </c>
      <c r="N58" s="44" t="s">
        <v>923</v>
      </c>
      <c r="O58" s="43">
        <v>44126</v>
      </c>
      <c r="P58" s="42">
        <v>24.9</v>
      </c>
      <c r="Q58" s="42">
        <v>26.8</v>
      </c>
      <c r="R58" s="46" t="s">
        <v>29</v>
      </c>
      <c r="S58" s="43">
        <v>44126</v>
      </c>
      <c r="T58" s="51">
        <f t="shared" si="1"/>
        <v>3</v>
      </c>
      <c r="U58" s="52" t="str">
        <f t="shared" si="2"/>
        <v>Detectável</v>
      </c>
    </row>
    <row r="59" spans="1:21" ht="25.5" customHeight="1" x14ac:dyDescent="0.2">
      <c r="A59" s="51">
        <v>58</v>
      </c>
      <c r="B59" s="50" t="s">
        <v>932</v>
      </c>
      <c r="C59" s="51">
        <v>26</v>
      </c>
      <c r="D59" s="51" t="s">
        <v>25</v>
      </c>
      <c r="E59" s="43" t="s">
        <v>917</v>
      </c>
      <c r="F59" s="44" t="s">
        <v>60</v>
      </c>
      <c r="G59" s="51">
        <v>62</v>
      </c>
      <c r="H59" s="43">
        <v>44125</v>
      </c>
      <c r="I59" s="44" t="s">
        <v>923</v>
      </c>
      <c r="J59" s="43">
        <v>44126</v>
      </c>
      <c r="K59" s="42">
        <v>23.6</v>
      </c>
      <c r="L59" s="42">
        <v>26.4</v>
      </c>
      <c r="M59" s="43" t="s">
        <v>29</v>
      </c>
      <c r="N59" s="44" t="s">
        <v>933</v>
      </c>
      <c r="O59" s="43">
        <v>44126</v>
      </c>
      <c r="P59" s="42">
        <v>29.425000000000001</v>
      </c>
      <c r="Q59" s="42">
        <v>25.239000000000001</v>
      </c>
      <c r="R59" s="46" t="s">
        <v>29</v>
      </c>
      <c r="S59" s="43">
        <v>44126</v>
      </c>
      <c r="T59" s="51">
        <f t="shared" si="1"/>
        <v>3</v>
      </c>
      <c r="U59" s="52" t="str">
        <f t="shared" si="2"/>
        <v>Detectável</v>
      </c>
    </row>
    <row r="60" spans="1:21" ht="25.5" customHeight="1" x14ac:dyDescent="0.2">
      <c r="A60" s="51">
        <v>59</v>
      </c>
      <c r="B60" s="50" t="s">
        <v>934</v>
      </c>
      <c r="C60" s="51">
        <v>49</v>
      </c>
      <c r="D60" s="51" t="s">
        <v>25</v>
      </c>
      <c r="E60" s="43" t="s">
        <v>935</v>
      </c>
      <c r="F60" s="44" t="s">
        <v>60</v>
      </c>
      <c r="G60" s="51">
        <v>62</v>
      </c>
      <c r="H60" s="43">
        <v>44126</v>
      </c>
      <c r="I60" s="44" t="s">
        <v>923</v>
      </c>
      <c r="J60" s="43">
        <v>44126</v>
      </c>
      <c r="K60" s="42">
        <v>23.6</v>
      </c>
      <c r="L60" s="42">
        <v>26.4</v>
      </c>
      <c r="M60" s="43" t="s">
        <v>29</v>
      </c>
      <c r="N60" s="44" t="s">
        <v>933</v>
      </c>
      <c r="O60" s="43">
        <v>44126</v>
      </c>
      <c r="P60" s="42">
        <v>20.757000000000001</v>
      </c>
      <c r="Q60" s="42">
        <v>25.920999999999999</v>
      </c>
      <c r="R60" s="46" t="s">
        <v>29</v>
      </c>
      <c r="S60" s="43">
        <v>44126</v>
      </c>
      <c r="T60" s="51">
        <f t="shared" si="1"/>
        <v>3</v>
      </c>
      <c r="U60" s="52" t="str">
        <f t="shared" si="2"/>
        <v>Detectável</v>
      </c>
    </row>
    <row r="61" spans="1:21" ht="25.5" customHeight="1" x14ac:dyDescent="0.2">
      <c r="A61" s="51">
        <v>60</v>
      </c>
      <c r="B61" s="50" t="s">
        <v>936</v>
      </c>
      <c r="C61" s="51">
        <v>83</v>
      </c>
      <c r="D61" s="51" t="s">
        <v>34</v>
      </c>
      <c r="E61" s="43" t="s">
        <v>935</v>
      </c>
      <c r="F61" s="44" t="s">
        <v>60</v>
      </c>
      <c r="G61" s="51">
        <v>62</v>
      </c>
      <c r="H61" s="43">
        <v>44126</v>
      </c>
      <c r="I61" s="44" t="s">
        <v>923</v>
      </c>
      <c r="J61" s="43">
        <v>44126</v>
      </c>
      <c r="K61" s="42">
        <v>23.6</v>
      </c>
      <c r="L61" s="42">
        <v>26.4</v>
      </c>
      <c r="M61" s="43" t="s">
        <v>29</v>
      </c>
      <c r="N61" s="44" t="s">
        <v>933</v>
      </c>
      <c r="O61" s="43">
        <v>44126</v>
      </c>
      <c r="P61" s="42" t="s">
        <v>36</v>
      </c>
      <c r="Q61" s="42">
        <v>30.405000000000001</v>
      </c>
      <c r="R61" s="46" t="s">
        <v>31</v>
      </c>
      <c r="S61" s="43">
        <v>44126</v>
      </c>
      <c r="T61" s="51">
        <f t="shared" si="1"/>
        <v>3</v>
      </c>
      <c r="U61" s="52" t="str">
        <f t="shared" si="2"/>
        <v>Não Detectável</v>
      </c>
    </row>
    <row r="62" spans="1:21" ht="25.5" customHeight="1" x14ac:dyDescent="0.2">
      <c r="A62" s="51">
        <v>61</v>
      </c>
      <c r="B62" s="50" t="s">
        <v>937</v>
      </c>
      <c r="C62" s="51">
        <v>23</v>
      </c>
      <c r="D62" s="51" t="s">
        <v>34</v>
      </c>
      <c r="E62" s="43" t="s">
        <v>935</v>
      </c>
      <c r="F62" s="44" t="s">
        <v>60</v>
      </c>
      <c r="G62" s="51">
        <v>63</v>
      </c>
      <c r="H62" s="43">
        <v>44126</v>
      </c>
      <c r="I62" s="44" t="s">
        <v>923</v>
      </c>
      <c r="J62" s="43">
        <v>44126</v>
      </c>
      <c r="K62" s="42">
        <v>21.3</v>
      </c>
      <c r="L62" s="42">
        <v>26.5</v>
      </c>
      <c r="M62" s="43" t="s">
        <v>29</v>
      </c>
      <c r="N62" s="44" t="s">
        <v>933</v>
      </c>
      <c r="O62" s="43">
        <v>44126</v>
      </c>
      <c r="P62" s="42">
        <v>18.382999999999999</v>
      </c>
      <c r="Q62" s="42">
        <v>25.96</v>
      </c>
      <c r="R62" s="46" t="s">
        <v>29</v>
      </c>
      <c r="S62" s="43">
        <v>44126</v>
      </c>
      <c r="T62" s="51">
        <f t="shared" si="1"/>
        <v>3</v>
      </c>
      <c r="U62" s="52" t="str">
        <f t="shared" si="2"/>
        <v>Detectável</v>
      </c>
    </row>
    <row r="63" spans="1:21" ht="25.5" customHeight="1" x14ac:dyDescent="0.2">
      <c r="A63" s="51">
        <v>62</v>
      </c>
      <c r="B63" s="50" t="s">
        <v>938</v>
      </c>
      <c r="C63" s="51">
        <v>50</v>
      </c>
      <c r="D63" s="51" t="s">
        <v>34</v>
      </c>
      <c r="E63" s="43" t="s">
        <v>935</v>
      </c>
      <c r="F63" s="44" t="s">
        <v>60</v>
      </c>
      <c r="G63" s="51">
        <v>63</v>
      </c>
      <c r="H63" s="43">
        <v>44126</v>
      </c>
      <c r="I63" s="44" t="s">
        <v>923</v>
      </c>
      <c r="J63" s="43">
        <v>44126</v>
      </c>
      <c r="K63" s="42">
        <v>21.3</v>
      </c>
      <c r="L63" s="42">
        <v>26.5</v>
      </c>
      <c r="M63" s="43" t="s">
        <v>29</v>
      </c>
      <c r="N63" s="44" t="s">
        <v>933</v>
      </c>
      <c r="O63" s="43">
        <v>44126</v>
      </c>
      <c r="P63" s="42" t="s">
        <v>36</v>
      </c>
      <c r="Q63" s="42">
        <v>29.186</v>
      </c>
      <c r="R63" s="46" t="s">
        <v>31</v>
      </c>
      <c r="S63" s="43">
        <v>44126</v>
      </c>
      <c r="T63" s="51">
        <f t="shared" si="1"/>
        <v>3</v>
      </c>
      <c r="U63" s="52" t="str">
        <f t="shared" si="2"/>
        <v>Não Detectável</v>
      </c>
    </row>
    <row r="64" spans="1:21" ht="25.5" customHeight="1" x14ac:dyDescent="0.2">
      <c r="A64" s="51">
        <v>63</v>
      </c>
      <c r="B64" s="50" t="s">
        <v>939</v>
      </c>
      <c r="C64" s="51">
        <v>37</v>
      </c>
      <c r="D64" s="51" t="s">
        <v>25</v>
      </c>
      <c r="E64" s="43" t="s">
        <v>935</v>
      </c>
      <c r="F64" s="44" t="s">
        <v>60</v>
      </c>
      <c r="G64" s="51">
        <v>63</v>
      </c>
      <c r="H64" s="43">
        <v>44126</v>
      </c>
      <c r="I64" s="44" t="s">
        <v>923</v>
      </c>
      <c r="J64" s="43">
        <v>44126</v>
      </c>
      <c r="K64" s="42">
        <v>21.3</v>
      </c>
      <c r="L64" s="42">
        <v>26.5</v>
      </c>
      <c r="M64" s="43" t="s">
        <v>29</v>
      </c>
      <c r="N64" s="44" t="s">
        <v>933</v>
      </c>
      <c r="O64" s="43">
        <v>44126</v>
      </c>
      <c r="P64" s="42" t="s">
        <v>36</v>
      </c>
      <c r="Q64" s="42">
        <v>24.84</v>
      </c>
      <c r="R64" s="46" t="s">
        <v>31</v>
      </c>
      <c r="S64" s="43">
        <v>44126</v>
      </c>
      <c r="T64" s="51">
        <f t="shared" si="1"/>
        <v>3</v>
      </c>
      <c r="U64" s="52" t="str">
        <f t="shared" si="2"/>
        <v>Não Detectável</v>
      </c>
    </row>
    <row r="65" spans="1:21" ht="25.5" customHeight="1" x14ac:dyDescent="0.2">
      <c r="A65" s="51">
        <v>64</v>
      </c>
      <c r="B65" s="50" t="s">
        <v>940</v>
      </c>
      <c r="C65" s="51">
        <v>18</v>
      </c>
      <c r="D65" s="51" t="s">
        <v>25</v>
      </c>
      <c r="E65" s="43" t="s">
        <v>935</v>
      </c>
      <c r="F65" s="44" t="s">
        <v>60</v>
      </c>
      <c r="G65" s="51">
        <v>64</v>
      </c>
      <c r="H65" s="43">
        <v>44126</v>
      </c>
      <c r="I65" s="44" t="s">
        <v>923</v>
      </c>
      <c r="J65" s="43">
        <v>44126</v>
      </c>
      <c r="K65" s="42" t="s">
        <v>36</v>
      </c>
      <c r="L65" s="42">
        <v>27.7</v>
      </c>
      <c r="M65" s="45" t="s">
        <v>31</v>
      </c>
      <c r="N65" s="44" t="s">
        <v>60</v>
      </c>
      <c r="O65" s="44" t="s">
        <v>60</v>
      </c>
      <c r="P65" s="42" t="s">
        <v>60</v>
      </c>
      <c r="Q65" s="42" t="s">
        <v>60</v>
      </c>
      <c r="R65" s="46" t="s">
        <v>60</v>
      </c>
      <c r="S65" s="43">
        <v>44126</v>
      </c>
      <c r="T65" s="51">
        <f t="shared" si="1"/>
        <v>3</v>
      </c>
      <c r="U65" s="52" t="str">
        <f t="shared" si="2"/>
        <v>Não Detectável</v>
      </c>
    </row>
    <row r="66" spans="1:21" ht="25.5" customHeight="1" x14ac:dyDescent="0.2">
      <c r="A66" s="51">
        <v>65</v>
      </c>
      <c r="B66" s="50" t="s">
        <v>941</v>
      </c>
      <c r="C66" s="51">
        <v>25</v>
      </c>
      <c r="D66" s="51" t="s">
        <v>34</v>
      </c>
      <c r="E66" s="43" t="s">
        <v>935</v>
      </c>
      <c r="F66" s="44" t="s">
        <v>60</v>
      </c>
      <c r="G66" s="51">
        <v>64</v>
      </c>
      <c r="H66" s="43">
        <v>44126</v>
      </c>
      <c r="I66" s="44" t="s">
        <v>923</v>
      </c>
      <c r="J66" s="43">
        <v>44126</v>
      </c>
      <c r="K66" s="42" t="s">
        <v>36</v>
      </c>
      <c r="L66" s="42">
        <v>27.7</v>
      </c>
      <c r="M66" s="45" t="s">
        <v>31</v>
      </c>
      <c r="N66" s="44" t="s">
        <v>60</v>
      </c>
      <c r="O66" s="44" t="s">
        <v>60</v>
      </c>
      <c r="P66" s="42" t="s">
        <v>60</v>
      </c>
      <c r="Q66" s="42" t="s">
        <v>60</v>
      </c>
      <c r="R66" s="46" t="s">
        <v>60</v>
      </c>
      <c r="S66" s="43">
        <v>44126</v>
      </c>
      <c r="T66" s="51">
        <f t="shared" si="1"/>
        <v>3</v>
      </c>
      <c r="U66" s="52" t="str">
        <f t="shared" ref="U66:U97" si="3">IF(M66="Não Detectável","Não Detectável",IF(R66="","",R66))</f>
        <v>Não Detectável</v>
      </c>
    </row>
    <row r="67" spans="1:21" ht="25.5" customHeight="1" x14ac:dyDescent="0.2">
      <c r="A67" s="51">
        <v>66</v>
      </c>
      <c r="B67" s="50" t="s">
        <v>942</v>
      </c>
      <c r="C67" s="51">
        <v>41</v>
      </c>
      <c r="D67" s="51" t="s">
        <v>34</v>
      </c>
      <c r="E67" s="43" t="s">
        <v>935</v>
      </c>
      <c r="F67" s="44" t="s">
        <v>60</v>
      </c>
      <c r="G67" s="51">
        <v>64</v>
      </c>
      <c r="H67" s="43">
        <v>44126</v>
      </c>
      <c r="I67" s="44" t="s">
        <v>923</v>
      </c>
      <c r="J67" s="43">
        <v>44126</v>
      </c>
      <c r="K67" s="42" t="s">
        <v>36</v>
      </c>
      <c r="L67" s="42">
        <v>27.7</v>
      </c>
      <c r="M67" s="45" t="s">
        <v>31</v>
      </c>
      <c r="N67" s="44" t="s">
        <v>60</v>
      </c>
      <c r="O67" s="44" t="s">
        <v>60</v>
      </c>
      <c r="P67" s="42" t="s">
        <v>60</v>
      </c>
      <c r="Q67" s="42" t="s">
        <v>60</v>
      </c>
      <c r="R67" s="46" t="s">
        <v>60</v>
      </c>
      <c r="S67" s="43">
        <v>44126</v>
      </c>
      <c r="T67" s="51">
        <f t="shared" si="1"/>
        <v>3</v>
      </c>
      <c r="U67" s="52" t="str">
        <f t="shared" si="3"/>
        <v>Não Detectável</v>
      </c>
    </row>
    <row r="68" spans="1:21" ht="25.5" customHeight="1" x14ac:dyDescent="0.2">
      <c r="A68" s="51">
        <v>67</v>
      </c>
      <c r="B68" s="50" t="s">
        <v>943</v>
      </c>
      <c r="C68" s="51">
        <v>29</v>
      </c>
      <c r="D68" s="51" t="s">
        <v>25</v>
      </c>
      <c r="E68" s="43" t="s">
        <v>935</v>
      </c>
      <c r="F68" s="44" t="s">
        <v>60</v>
      </c>
      <c r="G68" s="51">
        <v>65</v>
      </c>
      <c r="H68" s="43">
        <v>44126</v>
      </c>
      <c r="I68" s="44" t="s">
        <v>923</v>
      </c>
      <c r="J68" s="43">
        <v>44126</v>
      </c>
      <c r="K68" s="42" t="s">
        <v>36</v>
      </c>
      <c r="L68" s="42">
        <v>26.1</v>
      </c>
      <c r="M68" s="45" t="s">
        <v>31</v>
      </c>
      <c r="N68" s="44" t="s">
        <v>60</v>
      </c>
      <c r="O68" s="44" t="s">
        <v>60</v>
      </c>
      <c r="P68" s="42" t="s">
        <v>60</v>
      </c>
      <c r="Q68" s="42" t="s">
        <v>60</v>
      </c>
      <c r="R68" s="46" t="s">
        <v>60</v>
      </c>
      <c r="S68" s="43">
        <v>44126</v>
      </c>
      <c r="T68" s="51">
        <f t="shared" ref="T68:T131" si="4">COUNTIF(G:G,G68)</f>
        <v>3</v>
      </c>
      <c r="U68" s="52" t="str">
        <f t="shared" si="3"/>
        <v>Não Detectável</v>
      </c>
    </row>
    <row r="69" spans="1:21" ht="25.5" customHeight="1" x14ac:dyDescent="0.2">
      <c r="A69" s="51">
        <v>68</v>
      </c>
      <c r="B69" s="50" t="s">
        <v>944</v>
      </c>
      <c r="C69" s="51">
        <v>31</v>
      </c>
      <c r="D69" s="51" t="s">
        <v>25</v>
      </c>
      <c r="E69" s="43" t="s">
        <v>935</v>
      </c>
      <c r="F69" s="44" t="s">
        <v>60</v>
      </c>
      <c r="G69" s="51">
        <v>65</v>
      </c>
      <c r="H69" s="43">
        <v>44126</v>
      </c>
      <c r="I69" s="44" t="s">
        <v>923</v>
      </c>
      <c r="J69" s="43">
        <v>44126</v>
      </c>
      <c r="K69" s="42" t="s">
        <v>36</v>
      </c>
      <c r="L69" s="42">
        <v>26.1</v>
      </c>
      <c r="M69" s="45" t="s">
        <v>31</v>
      </c>
      <c r="N69" s="44" t="s">
        <v>60</v>
      </c>
      <c r="O69" s="44" t="s">
        <v>60</v>
      </c>
      <c r="P69" s="42" t="s">
        <v>60</v>
      </c>
      <c r="Q69" s="42" t="s">
        <v>60</v>
      </c>
      <c r="R69" s="46" t="s">
        <v>60</v>
      </c>
      <c r="S69" s="43">
        <v>44126</v>
      </c>
      <c r="T69" s="51">
        <f t="shared" si="4"/>
        <v>3</v>
      </c>
      <c r="U69" s="52" t="str">
        <f t="shared" si="3"/>
        <v>Não Detectável</v>
      </c>
    </row>
    <row r="70" spans="1:21" ht="25.5" customHeight="1" x14ac:dyDescent="0.2">
      <c r="A70" s="51">
        <v>69</v>
      </c>
      <c r="B70" s="50" t="s">
        <v>945</v>
      </c>
      <c r="C70" s="51">
        <v>26</v>
      </c>
      <c r="D70" s="51" t="s">
        <v>25</v>
      </c>
      <c r="E70" s="43" t="s">
        <v>935</v>
      </c>
      <c r="F70" s="44" t="s">
        <v>60</v>
      </c>
      <c r="G70" s="51">
        <v>65</v>
      </c>
      <c r="H70" s="43">
        <v>44126</v>
      </c>
      <c r="I70" s="44" t="s">
        <v>923</v>
      </c>
      <c r="J70" s="43">
        <v>44126</v>
      </c>
      <c r="K70" s="42" t="s">
        <v>36</v>
      </c>
      <c r="L70" s="42">
        <v>26.1</v>
      </c>
      <c r="M70" s="45" t="s">
        <v>31</v>
      </c>
      <c r="N70" s="44" t="s">
        <v>60</v>
      </c>
      <c r="O70" s="44" t="s">
        <v>60</v>
      </c>
      <c r="P70" s="42" t="s">
        <v>60</v>
      </c>
      <c r="Q70" s="42" t="s">
        <v>60</v>
      </c>
      <c r="R70" s="46" t="s">
        <v>60</v>
      </c>
      <c r="S70" s="43">
        <v>44126</v>
      </c>
      <c r="T70" s="51">
        <f t="shared" si="4"/>
        <v>3</v>
      </c>
      <c r="U70" s="52" t="str">
        <f t="shared" si="3"/>
        <v>Não Detectável</v>
      </c>
    </row>
    <row r="71" spans="1:21" ht="25.5" customHeight="1" x14ac:dyDescent="0.2">
      <c r="A71" s="51">
        <v>70</v>
      </c>
      <c r="B71" s="50" t="s">
        <v>946</v>
      </c>
      <c r="C71" s="51">
        <v>22</v>
      </c>
      <c r="D71" s="51" t="s">
        <v>25</v>
      </c>
      <c r="E71" s="43" t="s">
        <v>947</v>
      </c>
      <c r="F71" s="44" t="s">
        <v>60</v>
      </c>
      <c r="G71" s="51">
        <v>66</v>
      </c>
      <c r="H71" s="43">
        <v>44126</v>
      </c>
      <c r="I71" s="44" t="s">
        <v>923</v>
      </c>
      <c r="J71" s="43">
        <v>44126</v>
      </c>
      <c r="K71" s="42" t="s">
        <v>36</v>
      </c>
      <c r="L71" s="42">
        <v>25.5</v>
      </c>
      <c r="M71" s="45" t="s">
        <v>31</v>
      </c>
      <c r="N71" s="44" t="s">
        <v>60</v>
      </c>
      <c r="O71" s="44" t="s">
        <v>60</v>
      </c>
      <c r="P71" s="42" t="s">
        <v>60</v>
      </c>
      <c r="Q71" s="42" t="s">
        <v>60</v>
      </c>
      <c r="R71" s="46" t="s">
        <v>60</v>
      </c>
      <c r="S71" s="43">
        <v>44126</v>
      </c>
      <c r="T71" s="51">
        <f t="shared" si="4"/>
        <v>3</v>
      </c>
      <c r="U71" s="52" t="str">
        <f t="shared" si="3"/>
        <v>Não Detectável</v>
      </c>
    </row>
    <row r="72" spans="1:21" ht="25.5" customHeight="1" x14ac:dyDescent="0.2">
      <c r="A72" s="51">
        <v>71</v>
      </c>
      <c r="B72" s="50" t="s">
        <v>948</v>
      </c>
      <c r="C72" s="51">
        <v>26</v>
      </c>
      <c r="D72" s="51" t="s">
        <v>34</v>
      </c>
      <c r="E72" s="43" t="s">
        <v>947</v>
      </c>
      <c r="F72" s="44" t="s">
        <v>60</v>
      </c>
      <c r="G72" s="51">
        <v>66</v>
      </c>
      <c r="H72" s="43">
        <v>44126</v>
      </c>
      <c r="I72" s="44" t="s">
        <v>923</v>
      </c>
      <c r="J72" s="43">
        <v>44126</v>
      </c>
      <c r="K72" s="42" t="s">
        <v>36</v>
      </c>
      <c r="L72" s="42">
        <v>25.5</v>
      </c>
      <c r="M72" s="45" t="s">
        <v>31</v>
      </c>
      <c r="N72" s="44" t="s">
        <v>60</v>
      </c>
      <c r="O72" s="44" t="s">
        <v>60</v>
      </c>
      <c r="P72" s="42" t="s">
        <v>60</v>
      </c>
      <c r="Q72" s="42" t="s">
        <v>60</v>
      </c>
      <c r="R72" s="46" t="s">
        <v>60</v>
      </c>
      <c r="S72" s="43">
        <v>44126</v>
      </c>
      <c r="T72" s="51">
        <f t="shared" si="4"/>
        <v>3</v>
      </c>
      <c r="U72" s="52" t="str">
        <f t="shared" si="3"/>
        <v>Não Detectável</v>
      </c>
    </row>
    <row r="73" spans="1:21" ht="25.5" customHeight="1" x14ac:dyDescent="0.2">
      <c r="A73" s="51">
        <v>72</v>
      </c>
      <c r="B73" s="50" t="s">
        <v>949</v>
      </c>
      <c r="C73" s="51">
        <v>26</v>
      </c>
      <c r="D73" s="51" t="s">
        <v>34</v>
      </c>
      <c r="E73" s="43" t="s">
        <v>947</v>
      </c>
      <c r="F73" s="44" t="s">
        <v>60</v>
      </c>
      <c r="G73" s="51">
        <v>66</v>
      </c>
      <c r="H73" s="43">
        <v>44126</v>
      </c>
      <c r="I73" s="44" t="s">
        <v>923</v>
      </c>
      <c r="J73" s="43">
        <v>44126</v>
      </c>
      <c r="K73" s="42" t="s">
        <v>36</v>
      </c>
      <c r="L73" s="42">
        <v>25.5</v>
      </c>
      <c r="M73" s="45" t="s">
        <v>31</v>
      </c>
      <c r="N73" s="44" t="s">
        <v>60</v>
      </c>
      <c r="O73" s="44" t="s">
        <v>60</v>
      </c>
      <c r="P73" s="42" t="s">
        <v>60</v>
      </c>
      <c r="Q73" s="42" t="s">
        <v>60</v>
      </c>
      <c r="R73" s="46" t="s">
        <v>60</v>
      </c>
      <c r="S73" s="43">
        <v>44126</v>
      </c>
      <c r="T73" s="51">
        <f t="shared" si="4"/>
        <v>3</v>
      </c>
      <c r="U73" s="52" t="str">
        <f t="shared" si="3"/>
        <v>Não Detectável</v>
      </c>
    </row>
    <row r="74" spans="1:21" ht="25.5" customHeight="1" x14ac:dyDescent="0.2">
      <c r="A74" s="51">
        <v>73</v>
      </c>
      <c r="B74" s="50" t="s">
        <v>950</v>
      </c>
      <c r="C74" s="51">
        <v>25</v>
      </c>
      <c r="D74" s="51" t="s">
        <v>25</v>
      </c>
      <c r="E74" s="43">
        <v>44125</v>
      </c>
      <c r="F74" s="44" t="s">
        <v>60</v>
      </c>
      <c r="G74" s="51">
        <v>67</v>
      </c>
      <c r="H74" s="43">
        <v>44126</v>
      </c>
      <c r="I74" s="44" t="s">
        <v>923</v>
      </c>
      <c r="J74" s="43">
        <v>44126</v>
      </c>
      <c r="K74" s="42" t="s">
        <v>36</v>
      </c>
      <c r="L74" s="42">
        <v>27.1</v>
      </c>
      <c r="M74" s="45" t="s">
        <v>31</v>
      </c>
      <c r="N74" s="44" t="s">
        <v>60</v>
      </c>
      <c r="O74" s="44" t="s">
        <v>60</v>
      </c>
      <c r="P74" s="42" t="s">
        <v>60</v>
      </c>
      <c r="Q74" s="42" t="s">
        <v>60</v>
      </c>
      <c r="R74" s="46" t="s">
        <v>60</v>
      </c>
      <c r="S74" s="43">
        <v>44126</v>
      </c>
      <c r="T74" s="51">
        <f t="shared" si="4"/>
        <v>3</v>
      </c>
      <c r="U74" s="52" t="str">
        <f t="shared" si="3"/>
        <v>Não Detectável</v>
      </c>
    </row>
    <row r="75" spans="1:21" ht="25.5" customHeight="1" x14ac:dyDescent="0.2">
      <c r="A75" s="51">
        <v>74</v>
      </c>
      <c r="B75" s="50" t="s">
        <v>951</v>
      </c>
      <c r="C75" s="51">
        <v>26</v>
      </c>
      <c r="D75" s="51" t="s">
        <v>25</v>
      </c>
      <c r="E75" s="43">
        <v>44125</v>
      </c>
      <c r="F75" s="44" t="s">
        <v>60</v>
      </c>
      <c r="G75" s="51">
        <v>67</v>
      </c>
      <c r="H75" s="43">
        <v>44126</v>
      </c>
      <c r="I75" s="44" t="s">
        <v>923</v>
      </c>
      <c r="J75" s="43">
        <v>44126</v>
      </c>
      <c r="K75" s="42" t="s">
        <v>36</v>
      </c>
      <c r="L75" s="42">
        <v>27.1</v>
      </c>
      <c r="M75" s="45" t="s">
        <v>31</v>
      </c>
      <c r="N75" s="44" t="s">
        <v>60</v>
      </c>
      <c r="O75" s="44" t="s">
        <v>60</v>
      </c>
      <c r="P75" s="42" t="s">
        <v>60</v>
      </c>
      <c r="Q75" s="42" t="s">
        <v>60</v>
      </c>
      <c r="R75" s="46" t="s">
        <v>60</v>
      </c>
      <c r="S75" s="43">
        <v>44126</v>
      </c>
      <c r="T75" s="51">
        <f t="shared" si="4"/>
        <v>3</v>
      </c>
      <c r="U75" s="52" t="str">
        <f t="shared" si="3"/>
        <v>Não Detectável</v>
      </c>
    </row>
    <row r="76" spans="1:21" ht="25.5" customHeight="1" x14ac:dyDescent="0.2">
      <c r="A76" s="51">
        <v>75</v>
      </c>
      <c r="B76" s="50" t="s">
        <v>952</v>
      </c>
      <c r="C76" s="51">
        <v>75</v>
      </c>
      <c r="D76" s="51" t="s">
        <v>25</v>
      </c>
      <c r="E76" s="43">
        <v>44125</v>
      </c>
      <c r="F76" s="44" t="s">
        <v>60</v>
      </c>
      <c r="G76" s="51">
        <v>67</v>
      </c>
      <c r="H76" s="43">
        <v>44126</v>
      </c>
      <c r="I76" s="44" t="s">
        <v>923</v>
      </c>
      <c r="J76" s="43">
        <v>44126</v>
      </c>
      <c r="K76" s="42" t="s">
        <v>36</v>
      </c>
      <c r="L76" s="42">
        <v>27.1</v>
      </c>
      <c r="M76" s="45" t="s">
        <v>31</v>
      </c>
      <c r="N76" s="44" t="s">
        <v>60</v>
      </c>
      <c r="O76" s="44" t="s">
        <v>60</v>
      </c>
      <c r="P76" s="42" t="s">
        <v>60</v>
      </c>
      <c r="Q76" s="42" t="s">
        <v>60</v>
      </c>
      <c r="R76" s="46" t="s">
        <v>60</v>
      </c>
      <c r="S76" s="43">
        <v>44126</v>
      </c>
      <c r="T76" s="51">
        <f t="shared" si="4"/>
        <v>3</v>
      </c>
      <c r="U76" s="52" t="str">
        <f t="shared" si="3"/>
        <v>Não Detectável</v>
      </c>
    </row>
    <row r="77" spans="1:21" ht="25.5" customHeight="1" x14ac:dyDescent="0.2">
      <c r="A77" s="51">
        <v>76</v>
      </c>
      <c r="B77" s="50" t="s">
        <v>953</v>
      </c>
      <c r="C77" s="51">
        <v>20</v>
      </c>
      <c r="D77" s="51" t="s">
        <v>25</v>
      </c>
      <c r="E77" s="43">
        <v>44125</v>
      </c>
      <c r="F77" s="44" t="s">
        <v>60</v>
      </c>
      <c r="G77" s="51">
        <v>68</v>
      </c>
      <c r="H77" s="43">
        <v>44126</v>
      </c>
      <c r="I77" s="44" t="s">
        <v>923</v>
      </c>
      <c r="J77" s="43">
        <v>44126</v>
      </c>
      <c r="K77" s="42">
        <v>30</v>
      </c>
      <c r="L77" s="42">
        <v>26.1</v>
      </c>
      <c r="M77" s="43" t="s">
        <v>29</v>
      </c>
      <c r="N77" s="44" t="s">
        <v>933</v>
      </c>
      <c r="O77" s="43">
        <v>44126</v>
      </c>
      <c r="P77" s="42">
        <v>27.744</v>
      </c>
      <c r="Q77" s="42">
        <v>24.768000000000001</v>
      </c>
      <c r="R77" s="46" t="s">
        <v>29</v>
      </c>
      <c r="S77" s="43">
        <v>44126</v>
      </c>
      <c r="T77" s="51">
        <f t="shared" si="4"/>
        <v>3</v>
      </c>
      <c r="U77" s="52" t="str">
        <f t="shared" si="3"/>
        <v>Detectável</v>
      </c>
    </row>
    <row r="78" spans="1:21" ht="25.5" customHeight="1" x14ac:dyDescent="0.2">
      <c r="A78" s="51">
        <v>77</v>
      </c>
      <c r="B78" s="50" t="s">
        <v>954</v>
      </c>
      <c r="C78" s="51">
        <v>27</v>
      </c>
      <c r="D78" s="51" t="s">
        <v>25</v>
      </c>
      <c r="E78" s="43">
        <v>44125</v>
      </c>
      <c r="F78" s="44" t="s">
        <v>60</v>
      </c>
      <c r="G78" s="51">
        <v>68</v>
      </c>
      <c r="H78" s="43">
        <v>44126</v>
      </c>
      <c r="I78" s="44" t="s">
        <v>923</v>
      </c>
      <c r="J78" s="43">
        <v>44126</v>
      </c>
      <c r="K78" s="42">
        <v>30</v>
      </c>
      <c r="L78" s="42">
        <v>26.1</v>
      </c>
      <c r="M78" s="43" t="s">
        <v>29</v>
      </c>
      <c r="N78" s="44" t="s">
        <v>933</v>
      </c>
      <c r="O78" s="43">
        <v>44126</v>
      </c>
      <c r="P78" s="42" t="s">
        <v>36</v>
      </c>
      <c r="Q78" s="42">
        <v>26.259</v>
      </c>
      <c r="R78" s="46" t="s">
        <v>31</v>
      </c>
      <c r="S78" s="43">
        <v>44126</v>
      </c>
      <c r="T78" s="51">
        <f t="shared" si="4"/>
        <v>3</v>
      </c>
      <c r="U78" s="52" t="str">
        <f t="shared" si="3"/>
        <v>Não Detectável</v>
      </c>
    </row>
    <row r="79" spans="1:21" ht="25.5" customHeight="1" x14ac:dyDescent="0.2">
      <c r="A79" s="51">
        <v>78</v>
      </c>
      <c r="B79" s="50" t="s">
        <v>955</v>
      </c>
      <c r="C79" s="51">
        <v>48</v>
      </c>
      <c r="D79" s="51" t="s">
        <v>34</v>
      </c>
      <c r="E79" s="43">
        <v>44125</v>
      </c>
      <c r="F79" s="44" t="s">
        <v>60</v>
      </c>
      <c r="G79" s="51">
        <v>68</v>
      </c>
      <c r="H79" s="43">
        <v>44126</v>
      </c>
      <c r="I79" s="44" t="s">
        <v>923</v>
      </c>
      <c r="J79" s="43">
        <v>44126</v>
      </c>
      <c r="K79" s="42">
        <v>30</v>
      </c>
      <c r="L79" s="42">
        <v>26.1</v>
      </c>
      <c r="M79" s="43" t="s">
        <v>29</v>
      </c>
      <c r="N79" s="44" t="s">
        <v>933</v>
      </c>
      <c r="O79" s="43">
        <v>44126</v>
      </c>
      <c r="P79" s="42" t="s">
        <v>36</v>
      </c>
      <c r="Q79" s="42">
        <v>25.957999999999998</v>
      </c>
      <c r="R79" s="46" t="s">
        <v>31</v>
      </c>
      <c r="S79" s="43">
        <v>44126</v>
      </c>
      <c r="T79" s="51">
        <f t="shared" si="4"/>
        <v>3</v>
      </c>
      <c r="U79" s="52" t="str">
        <f t="shared" si="3"/>
        <v>Não Detectável</v>
      </c>
    </row>
    <row r="80" spans="1:21" ht="25.5" customHeight="1" x14ac:dyDescent="0.2">
      <c r="A80" s="51">
        <v>79</v>
      </c>
      <c r="B80" s="50" t="s">
        <v>956</v>
      </c>
      <c r="C80" s="51">
        <v>24</v>
      </c>
      <c r="D80" s="51" t="s">
        <v>34</v>
      </c>
      <c r="E80" s="43">
        <v>44125</v>
      </c>
      <c r="F80" s="44" t="s">
        <v>60</v>
      </c>
      <c r="G80" s="51">
        <v>69</v>
      </c>
      <c r="H80" s="43">
        <v>44126</v>
      </c>
      <c r="I80" s="44" t="s">
        <v>923</v>
      </c>
      <c r="J80" s="43">
        <v>44126</v>
      </c>
      <c r="K80" s="42" t="s">
        <v>36</v>
      </c>
      <c r="L80" s="42">
        <v>27.4</v>
      </c>
      <c r="M80" s="45" t="s">
        <v>31</v>
      </c>
      <c r="N80" s="44" t="s">
        <v>60</v>
      </c>
      <c r="O80" s="43" t="s">
        <v>60</v>
      </c>
      <c r="P80" s="42" t="s">
        <v>60</v>
      </c>
      <c r="Q80" s="42" t="s">
        <v>60</v>
      </c>
      <c r="R80" s="46" t="s">
        <v>60</v>
      </c>
      <c r="S80" s="43">
        <v>44126</v>
      </c>
      <c r="T80" s="51">
        <f t="shared" si="4"/>
        <v>3</v>
      </c>
      <c r="U80" s="52" t="str">
        <f t="shared" si="3"/>
        <v>Não Detectável</v>
      </c>
    </row>
    <row r="81" spans="1:21" ht="25.5" customHeight="1" x14ac:dyDescent="0.2">
      <c r="A81" s="51">
        <v>80</v>
      </c>
      <c r="B81" s="50" t="s">
        <v>957</v>
      </c>
      <c r="C81" s="51">
        <v>33</v>
      </c>
      <c r="D81" s="51" t="s">
        <v>25</v>
      </c>
      <c r="E81" s="43">
        <v>44125</v>
      </c>
      <c r="F81" s="44" t="s">
        <v>60</v>
      </c>
      <c r="G81" s="51">
        <v>69</v>
      </c>
      <c r="H81" s="43">
        <v>44126</v>
      </c>
      <c r="I81" s="44" t="s">
        <v>923</v>
      </c>
      <c r="J81" s="43">
        <v>44126</v>
      </c>
      <c r="K81" s="42" t="s">
        <v>36</v>
      </c>
      <c r="L81" s="42">
        <v>27.4</v>
      </c>
      <c r="M81" s="45" t="s">
        <v>31</v>
      </c>
      <c r="N81" s="44" t="s">
        <v>60</v>
      </c>
      <c r="O81" s="43" t="s">
        <v>60</v>
      </c>
      <c r="P81" s="42" t="s">
        <v>60</v>
      </c>
      <c r="Q81" s="42" t="s">
        <v>60</v>
      </c>
      <c r="R81" s="46" t="s">
        <v>60</v>
      </c>
      <c r="S81" s="43">
        <v>44126</v>
      </c>
      <c r="T81" s="51">
        <f t="shared" si="4"/>
        <v>3</v>
      </c>
      <c r="U81" s="52" t="str">
        <f t="shared" si="3"/>
        <v>Não Detectável</v>
      </c>
    </row>
    <row r="82" spans="1:21" ht="25.5" customHeight="1" x14ac:dyDescent="0.2">
      <c r="A82" s="51">
        <v>81</v>
      </c>
      <c r="B82" s="50" t="s">
        <v>958</v>
      </c>
      <c r="C82" s="51">
        <v>61</v>
      </c>
      <c r="D82" s="51" t="s">
        <v>34</v>
      </c>
      <c r="E82" s="43">
        <v>44125</v>
      </c>
      <c r="F82" s="44" t="s">
        <v>60</v>
      </c>
      <c r="G82" s="51">
        <v>69</v>
      </c>
      <c r="H82" s="43">
        <v>44126</v>
      </c>
      <c r="I82" s="44" t="s">
        <v>923</v>
      </c>
      <c r="J82" s="43">
        <v>44126</v>
      </c>
      <c r="K82" s="42" t="s">
        <v>36</v>
      </c>
      <c r="L82" s="42">
        <v>27.4</v>
      </c>
      <c r="M82" s="45" t="s">
        <v>31</v>
      </c>
      <c r="N82" s="44" t="s">
        <v>60</v>
      </c>
      <c r="O82" s="43" t="s">
        <v>60</v>
      </c>
      <c r="P82" s="42" t="s">
        <v>60</v>
      </c>
      <c r="Q82" s="42" t="s">
        <v>60</v>
      </c>
      <c r="R82" s="46" t="s">
        <v>60</v>
      </c>
      <c r="S82" s="43">
        <v>44126</v>
      </c>
      <c r="T82" s="51">
        <f t="shared" si="4"/>
        <v>3</v>
      </c>
      <c r="U82" s="52" t="str">
        <f t="shared" si="3"/>
        <v>Não Detectável</v>
      </c>
    </row>
    <row r="83" spans="1:21" ht="25.5" customHeight="1" x14ac:dyDescent="0.2">
      <c r="A83" s="51">
        <v>82</v>
      </c>
      <c r="B83" s="50" t="s">
        <v>959</v>
      </c>
      <c r="C83" s="51">
        <v>27</v>
      </c>
      <c r="D83" s="51" t="s">
        <v>34</v>
      </c>
      <c r="E83" s="43">
        <v>44125</v>
      </c>
      <c r="F83" s="44" t="s">
        <v>60</v>
      </c>
      <c r="G83" s="51">
        <v>70</v>
      </c>
      <c r="H83" s="43">
        <v>44126</v>
      </c>
      <c r="I83" s="44" t="s">
        <v>923</v>
      </c>
      <c r="J83" s="43">
        <v>44126</v>
      </c>
      <c r="K83" s="42" t="s">
        <v>36</v>
      </c>
      <c r="L83" s="42">
        <v>26.4</v>
      </c>
      <c r="M83" s="45" t="s">
        <v>31</v>
      </c>
      <c r="N83" s="44" t="s">
        <v>60</v>
      </c>
      <c r="O83" s="44" t="s">
        <v>60</v>
      </c>
      <c r="P83" s="42" t="s">
        <v>60</v>
      </c>
      <c r="Q83" s="42" t="s">
        <v>60</v>
      </c>
      <c r="R83" s="46" t="s">
        <v>60</v>
      </c>
      <c r="S83" s="43">
        <v>44126</v>
      </c>
      <c r="T83" s="51">
        <f t="shared" si="4"/>
        <v>3</v>
      </c>
      <c r="U83" s="52" t="str">
        <f t="shared" si="3"/>
        <v>Não Detectável</v>
      </c>
    </row>
    <row r="84" spans="1:21" ht="25.5" customHeight="1" x14ac:dyDescent="0.2">
      <c r="A84" s="51">
        <v>83</v>
      </c>
      <c r="B84" s="50" t="s">
        <v>960</v>
      </c>
      <c r="C84" s="51">
        <v>26</v>
      </c>
      <c r="D84" s="51" t="s">
        <v>25</v>
      </c>
      <c r="E84" s="43">
        <v>44125</v>
      </c>
      <c r="F84" s="44" t="s">
        <v>60</v>
      </c>
      <c r="G84" s="51">
        <v>70</v>
      </c>
      <c r="H84" s="43">
        <v>44126</v>
      </c>
      <c r="I84" s="44" t="s">
        <v>923</v>
      </c>
      <c r="J84" s="43">
        <v>44126</v>
      </c>
      <c r="K84" s="42" t="s">
        <v>36</v>
      </c>
      <c r="L84" s="42">
        <v>26.4</v>
      </c>
      <c r="M84" s="45" t="s">
        <v>31</v>
      </c>
      <c r="N84" s="44" t="s">
        <v>60</v>
      </c>
      <c r="O84" s="44" t="s">
        <v>60</v>
      </c>
      <c r="P84" s="42" t="s">
        <v>60</v>
      </c>
      <c r="Q84" s="42" t="s">
        <v>60</v>
      </c>
      <c r="R84" s="46" t="s">
        <v>60</v>
      </c>
      <c r="S84" s="43">
        <v>44126</v>
      </c>
      <c r="T84" s="51">
        <f t="shared" si="4"/>
        <v>3</v>
      </c>
      <c r="U84" s="52" t="str">
        <f t="shared" si="3"/>
        <v>Não Detectável</v>
      </c>
    </row>
    <row r="85" spans="1:21" ht="25.5" customHeight="1" x14ac:dyDescent="0.2">
      <c r="A85" s="51">
        <v>84</v>
      </c>
      <c r="B85" s="50" t="s">
        <v>961</v>
      </c>
      <c r="C85" s="51">
        <v>22</v>
      </c>
      <c r="D85" s="51" t="s">
        <v>25</v>
      </c>
      <c r="E85" s="43">
        <v>44125</v>
      </c>
      <c r="F85" s="44" t="s">
        <v>60</v>
      </c>
      <c r="G85" s="51">
        <v>70</v>
      </c>
      <c r="H85" s="43">
        <v>44126</v>
      </c>
      <c r="I85" s="44" t="s">
        <v>923</v>
      </c>
      <c r="J85" s="43">
        <v>44126</v>
      </c>
      <c r="K85" s="42" t="s">
        <v>36</v>
      </c>
      <c r="L85" s="42">
        <v>26.4</v>
      </c>
      <c r="M85" s="45" t="s">
        <v>31</v>
      </c>
      <c r="N85" s="44" t="s">
        <v>60</v>
      </c>
      <c r="O85" s="44" t="s">
        <v>60</v>
      </c>
      <c r="P85" s="42" t="s">
        <v>60</v>
      </c>
      <c r="Q85" s="42" t="s">
        <v>60</v>
      </c>
      <c r="R85" s="46" t="s">
        <v>60</v>
      </c>
      <c r="S85" s="43">
        <v>44126</v>
      </c>
      <c r="T85" s="51">
        <f t="shared" si="4"/>
        <v>3</v>
      </c>
      <c r="U85" s="52" t="str">
        <f t="shared" si="3"/>
        <v>Não Detectável</v>
      </c>
    </row>
    <row r="86" spans="1:21" ht="25.5" customHeight="1" x14ac:dyDescent="0.2">
      <c r="A86" s="51">
        <v>85</v>
      </c>
      <c r="B86" s="50" t="s">
        <v>962</v>
      </c>
      <c r="C86" s="51">
        <v>43</v>
      </c>
      <c r="D86" s="51" t="s">
        <v>25</v>
      </c>
      <c r="E86" s="43">
        <v>44125</v>
      </c>
      <c r="F86" s="44" t="s">
        <v>60</v>
      </c>
      <c r="G86" s="51">
        <v>71</v>
      </c>
      <c r="H86" s="43">
        <v>44126</v>
      </c>
      <c r="I86" s="44" t="s">
        <v>963</v>
      </c>
      <c r="J86" s="43">
        <v>44127</v>
      </c>
      <c r="K86" s="42">
        <v>26.9</v>
      </c>
      <c r="L86" s="42">
        <v>27.3</v>
      </c>
      <c r="M86" s="43" t="s">
        <v>29</v>
      </c>
      <c r="N86" s="44" t="s">
        <v>964</v>
      </c>
      <c r="O86" s="43">
        <v>44130</v>
      </c>
      <c r="P86" s="42" t="s">
        <v>36</v>
      </c>
      <c r="Q86" s="42">
        <v>28.036000000000001</v>
      </c>
      <c r="R86" s="46" t="s">
        <v>31</v>
      </c>
      <c r="S86" s="43">
        <v>44130</v>
      </c>
      <c r="T86" s="51">
        <f t="shared" si="4"/>
        <v>3</v>
      </c>
      <c r="U86" s="52" t="str">
        <f t="shared" si="3"/>
        <v>Não Detectável</v>
      </c>
    </row>
    <row r="87" spans="1:21" ht="25.5" customHeight="1" x14ac:dyDescent="0.2">
      <c r="A87" s="51">
        <v>86</v>
      </c>
      <c r="B87" s="50" t="s">
        <v>965</v>
      </c>
      <c r="C87" s="51">
        <v>40</v>
      </c>
      <c r="D87" s="51" t="s">
        <v>34</v>
      </c>
      <c r="E87" s="43" t="s">
        <v>966</v>
      </c>
      <c r="F87" s="44" t="s">
        <v>60</v>
      </c>
      <c r="G87" s="51">
        <v>71</v>
      </c>
      <c r="H87" s="43">
        <v>44127</v>
      </c>
      <c r="I87" s="44" t="s">
        <v>963</v>
      </c>
      <c r="J87" s="43">
        <v>44127</v>
      </c>
      <c r="K87" s="42">
        <v>26.9</v>
      </c>
      <c r="L87" s="42">
        <v>27.3</v>
      </c>
      <c r="M87" s="43" t="s">
        <v>29</v>
      </c>
      <c r="N87" s="44" t="s">
        <v>964</v>
      </c>
      <c r="O87" s="43">
        <v>44130</v>
      </c>
      <c r="P87" s="42" t="s">
        <v>36</v>
      </c>
      <c r="Q87" s="42">
        <v>27.215</v>
      </c>
      <c r="R87" s="46" t="s">
        <v>31</v>
      </c>
      <c r="S87" s="43">
        <v>44130</v>
      </c>
      <c r="T87" s="51">
        <f t="shared" si="4"/>
        <v>3</v>
      </c>
      <c r="U87" s="52" t="str">
        <f t="shared" si="3"/>
        <v>Não Detectável</v>
      </c>
    </row>
    <row r="88" spans="1:21" ht="25.5" customHeight="1" x14ac:dyDescent="0.2">
      <c r="A88" s="51">
        <v>87</v>
      </c>
      <c r="B88" s="50" t="s">
        <v>967</v>
      </c>
      <c r="C88" s="51">
        <v>43</v>
      </c>
      <c r="D88" s="51" t="s">
        <v>34</v>
      </c>
      <c r="E88" s="43" t="s">
        <v>966</v>
      </c>
      <c r="F88" s="44" t="s">
        <v>60</v>
      </c>
      <c r="G88" s="51">
        <v>71</v>
      </c>
      <c r="H88" s="43">
        <v>44127</v>
      </c>
      <c r="I88" s="44" t="s">
        <v>963</v>
      </c>
      <c r="J88" s="43">
        <v>44127</v>
      </c>
      <c r="K88" s="42">
        <v>26.9</v>
      </c>
      <c r="L88" s="42">
        <v>27.3</v>
      </c>
      <c r="M88" s="43" t="s">
        <v>29</v>
      </c>
      <c r="N88" s="44" t="s">
        <v>964</v>
      </c>
      <c r="O88" s="43">
        <v>44130</v>
      </c>
      <c r="P88" s="42">
        <v>25.361000000000001</v>
      </c>
      <c r="Q88" s="42">
        <v>28.044</v>
      </c>
      <c r="R88" s="46" t="s">
        <v>29</v>
      </c>
      <c r="S88" s="43">
        <v>44130</v>
      </c>
      <c r="T88" s="51">
        <f t="shared" si="4"/>
        <v>3</v>
      </c>
      <c r="U88" s="52" t="str">
        <f t="shared" si="3"/>
        <v>Detectável</v>
      </c>
    </row>
    <row r="89" spans="1:21" ht="25.5" customHeight="1" x14ac:dyDescent="0.2">
      <c r="A89" s="51">
        <v>88</v>
      </c>
      <c r="B89" s="50" t="s">
        <v>968</v>
      </c>
      <c r="C89" s="51">
        <v>37</v>
      </c>
      <c r="D89" s="51" t="s">
        <v>34</v>
      </c>
      <c r="E89" s="43" t="s">
        <v>966</v>
      </c>
      <c r="F89" s="44" t="s">
        <v>60</v>
      </c>
      <c r="G89" s="51">
        <v>72</v>
      </c>
      <c r="H89" s="43">
        <v>44127</v>
      </c>
      <c r="I89" s="44" t="s">
        <v>964</v>
      </c>
      <c r="J89" s="43">
        <v>44130</v>
      </c>
      <c r="K89" s="42" t="s">
        <v>36</v>
      </c>
      <c r="L89" s="42">
        <v>27.1</v>
      </c>
      <c r="M89" s="45" t="s">
        <v>31</v>
      </c>
      <c r="N89" s="44" t="s">
        <v>60</v>
      </c>
      <c r="O89" s="44" t="s">
        <v>60</v>
      </c>
      <c r="P89" s="42" t="s">
        <v>60</v>
      </c>
      <c r="Q89" s="42" t="s">
        <v>60</v>
      </c>
      <c r="R89" s="46" t="s">
        <v>60</v>
      </c>
      <c r="S89" s="43">
        <v>44131</v>
      </c>
      <c r="T89" s="51">
        <f t="shared" si="4"/>
        <v>3</v>
      </c>
      <c r="U89" s="52" t="str">
        <f t="shared" si="3"/>
        <v>Não Detectável</v>
      </c>
    </row>
    <row r="90" spans="1:21" ht="25.5" customHeight="1" x14ac:dyDescent="0.2">
      <c r="A90" s="51">
        <v>89</v>
      </c>
      <c r="B90" s="50" t="s">
        <v>969</v>
      </c>
      <c r="C90" s="51">
        <v>24</v>
      </c>
      <c r="D90" s="51" t="s">
        <v>34</v>
      </c>
      <c r="E90" s="43" t="s">
        <v>966</v>
      </c>
      <c r="F90" s="44" t="s">
        <v>60</v>
      </c>
      <c r="G90" s="51">
        <v>72</v>
      </c>
      <c r="H90" s="43">
        <v>44127</v>
      </c>
      <c r="I90" s="44" t="s">
        <v>964</v>
      </c>
      <c r="J90" s="43">
        <v>44130</v>
      </c>
      <c r="K90" s="42" t="s">
        <v>36</v>
      </c>
      <c r="L90" s="42">
        <v>27.1</v>
      </c>
      <c r="M90" s="45" t="s">
        <v>31</v>
      </c>
      <c r="N90" s="44" t="s">
        <v>60</v>
      </c>
      <c r="O90" s="44" t="s">
        <v>60</v>
      </c>
      <c r="P90" s="42" t="s">
        <v>60</v>
      </c>
      <c r="Q90" s="42" t="s">
        <v>60</v>
      </c>
      <c r="R90" s="46" t="s">
        <v>60</v>
      </c>
      <c r="S90" s="43">
        <v>44131</v>
      </c>
      <c r="T90" s="51">
        <f t="shared" si="4"/>
        <v>3</v>
      </c>
      <c r="U90" s="52" t="str">
        <f t="shared" si="3"/>
        <v>Não Detectável</v>
      </c>
    </row>
    <row r="91" spans="1:21" ht="25.5" customHeight="1" x14ac:dyDescent="0.2">
      <c r="A91" s="51">
        <v>90</v>
      </c>
      <c r="B91" s="50" t="s">
        <v>970</v>
      </c>
      <c r="C91" s="51">
        <v>74</v>
      </c>
      <c r="D91" s="51" t="s">
        <v>34</v>
      </c>
      <c r="E91" s="43" t="s">
        <v>971</v>
      </c>
      <c r="F91" s="44" t="s">
        <v>60</v>
      </c>
      <c r="G91" s="51">
        <v>72</v>
      </c>
      <c r="H91" s="43">
        <v>44130</v>
      </c>
      <c r="I91" s="44" t="s">
        <v>964</v>
      </c>
      <c r="J91" s="43">
        <v>44130</v>
      </c>
      <c r="K91" s="42" t="s">
        <v>36</v>
      </c>
      <c r="L91" s="42">
        <v>27.1</v>
      </c>
      <c r="M91" s="45" t="s">
        <v>31</v>
      </c>
      <c r="N91" s="44" t="s">
        <v>60</v>
      </c>
      <c r="O91" s="44" t="s">
        <v>60</v>
      </c>
      <c r="P91" s="42" t="s">
        <v>60</v>
      </c>
      <c r="Q91" s="42" t="s">
        <v>60</v>
      </c>
      <c r="R91" s="46" t="s">
        <v>60</v>
      </c>
      <c r="S91" s="43">
        <v>44131</v>
      </c>
      <c r="T91" s="51">
        <f t="shared" si="4"/>
        <v>3</v>
      </c>
      <c r="U91" s="52" t="str">
        <f t="shared" si="3"/>
        <v>Não Detectável</v>
      </c>
    </row>
    <row r="92" spans="1:21" ht="25.5" customHeight="1" x14ac:dyDescent="0.2">
      <c r="A92" s="51">
        <v>91</v>
      </c>
      <c r="B92" s="50" t="s">
        <v>972</v>
      </c>
      <c r="C92" s="51">
        <v>24</v>
      </c>
      <c r="D92" s="51" t="s">
        <v>25</v>
      </c>
      <c r="E92" s="43" t="s">
        <v>971</v>
      </c>
      <c r="F92" s="44" t="s">
        <v>60</v>
      </c>
      <c r="G92" s="51">
        <v>73</v>
      </c>
      <c r="H92" s="43">
        <v>44130</v>
      </c>
      <c r="I92" s="44" t="s">
        <v>964</v>
      </c>
      <c r="J92" s="43">
        <v>44130</v>
      </c>
      <c r="K92" s="42" t="s">
        <v>36</v>
      </c>
      <c r="L92" s="42">
        <v>27.5</v>
      </c>
      <c r="M92" s="45" t="s">
        <v>31</v>
      </c>
      <c r="N92" s="44" t="s">
        <v>60</v>
      </c>
      <c r="O92" s="44" t="s">
        <v>60</v>
      </c>
      <c r="P92" s="42" t="s">
        <v>60</v>
      </c>
      <c r="Q92" s="42" t="s">
        <v>60</v>
      </c>
      <c r="R92" s="46" t="s">
        <v>60</v>
      </c>
      <c r="S92" s="43">
        <v>44131</v>
      </c>
      <c r="T92" s="51">
        <f t="shared" si="4"/>
        <v>3</v>
      </c>
      <c r="U92" s="52" t="str">
        <f t="shared" si="3"/>
        <v>Não Detectável</v>
      </c>
    </row>
    <row r="93" spans="1:21" ht="25.5" customHeight="1" x14ac:dyDescent="0.2">
      <c r="A93" s="51">
        <v>92</v>
      </c>
      <c r="B93" s="50" t="s">
        <v>973</v>
      </c>
      <c r="C93" s="51">
        <v>30</v>
      </c>
      <c r="D93" s="51" t="s">
        <v>34</v>
      </c>
      <c r="E93" s="43" t="s">
        <v>971</v>
      </c>
      <c r="F93" s="44" t="s">
        <v>60</v>
      </c>
      <c r="G93" s="51">
        <v>73</v>
      </c>
      <c r="H93" s="43">
        <v>44130</v>
      </c>
      <c r="I93" s="44" t="s">
        <v>964</v>
      </c>
      <c r="J93" s="43">
        <v>44130</v>
      </c>
      <c r="K93" s="42" t="s">
        <v>36</v>
      </c>
      <c r="L93" s="42">
        <v>27.5</v>
      </c>
      <c r="M93" s="45" t="s">
        <v>31</v>
      </c>
      <c r="N93" s="44" t="s">
        <v>60</v>
      </c>
      <c r="O93" s="44" t="s">
        <v>60</v>
      </c>
      <c r="P93" s="42" t="s">
        <v>60</v>
      </c>
      <c r="Q93" s="42" t="s">
        <v>60</v>
      </c>
      <c r="R93" s="46" t="s">
        <v>60</v>
      </c>
      <c r="S93" s="43">
        <v>44131</v>
      </c>
      <c r="T93" s="51">
        <f t="shared" si="4"/>
        <v>3</v>
      </c>
      <c r="U93" s="52" t="str">
        <f t="shared" si="3"/>
        <v>Não Detectável</v>
      </c>
    </row>
    <row r="94" spans="1:21" ht="25.5" customHeight="1" x14ac:dyDescent="0.2">
      <c r="A94" s="51">
        <v>93</v>
      </c>
      <c r="B94" s="50" t="s">
        <v>974</v>
      </c>
      <c r="C94" s="51">
        <v>29</v>
      </c>
      <c r="D94" s="51" t="s">
        <v>25</v>
      </c>
      <c r="E94" s="43" t="s">
        <v>971</v>
      </c>
      <c r="F94" s="44" t="s">
        <v>60</v>
      </c>
      <c r="G94" s="51">
        <v>73</v>
      </c>
      <c r="H94" s="43">
        <v>44130</v>
      </c>
      <c r="I94" s="44" t="s">
        <v>964</v>
      </c>
      <c r="J94" s="43">
        <v>44130</v>
      </c>
      <c r="K94" s="42" t="s">
        <v>36</v>
      </c>
      <c r="L94" s="42">
        <v>27.5</v>
      </c>
      <c r="M94" s="45" t="s">
        <v>31</v>
      </c>
      <c r="N94" s="44" t="s">
        <v>60</v>
      </c>
      <c r="O94" s="44" t="s">
        <v>60</v>
      </c>
      <c r="P94" s="42" t="s">
        <v>60</v>
      </c>
      <c r="Q94" s="42" t="s">
        <v>60</v>
      </c>
      <c r="R94" s="46" t="s">
        <v>60</v>
      </c>
      <c r="S94" s="43">
        <v>44131</v>
      </c>
      <c r="T94" s="51">
        <f t="shared" si="4"/>
        <v>3</v>
      </c>
      <c r="U94" s="52" t="str">
        <f t="shared" si="3"/>
        <v>Não Detectável</v>
      </c>
    </row>
    <row r="95" spans="1:21" ht="25.5" customHeight="1" x14ac:dyDescent="0.2">
      <c r="A95" s="51">
        <v>94</v>
      </c>
      <c r="B95" s="50" t="s">
        <v>975</v>
      </c>
      <c r="C95" s="51">
        <v>31</v>
      </c>
      <c r="D95" s="51" t="s">
        <v>34</v>
      </c>
      <c r="E95" s="43" t="s">
        <v>971</v>
      </c>
      <c r="F95" s="44" t="s">
        <v>60</v>
      </c>
      <c r="G95" s="51">
        <v>74</v>
      </c>
      <c r="H95" s="43">
        <v>44130</v>
      </c>
      <c r="I95" s="44" t="s">
        <v>964</v>
      </c>
      <c r="J95" s="43">
        <v>44130</v>
      </c>
      <c r="K95" s="42" t="s">
        <v>36</v>
      </c>
      <c r="L95" s="42">
        <v>27</v>
      </c>
      <c r="M95" s="45" t="s">
        <v>31</v>
      </c>
      <c r="N95" s="44" t="s">
        <v>60</v>
      </c>
      <c r="O95" s="44" t="s">
        <v>60</v>
      </c>
      <c r="P95" s="42" t="s">
        <v>60</v>
      </c>
      <c r="Q95" s="42" t="s">
        <v>60</v>
      </c>
      <c r="R95" s="46" t="s">
        <v>60</v>
      </c>
      <c r="S95" s="43">
        <v>44131</v>
      </c>
      <c r="T95" s="51">
        <f t="shared" si="4"/>
        <v>3</v>
      </c>
      <c r="U95" s="52" t="str">
        <f t="shared" si="3"/>
        <v>Não Detectável</v>
      </c>
    </row>
    <row r="96" spans="1:21" ht="25.5" customHeight="1" x14ac:dyDescent="0.2">
      <c r="A96" s="51">
        <v>95</v>
      </c>
      <c r="B96" s="50" t="s">
        <v>976</v>
      </c>
      <c r="C96" s="51">
        <v>32</v>
      </c>
      <c r="D96" s="51" t="s">
        <v>25</v>
      </c>
      <c r="E96" s="43" t="s">
        <v>971</v>
      </c>
      <c r="F96" s="44" t="s">
        <v>60</v>
      </c>
      <c r="G96" s="51">
        <v>74</v>
      </c>
      <c r="H96" s="43">
        <v>44130</v>
      </c>
      <c r="I96" s="44" t="s">
        <v>964</v>
      </c>
      <c r="J96" s="43">
        <v>44130</v>
      </c>
      <c r="K96" s="42" t="s">
        <v>36</v>
      </c>
      <c r="L96" s="42">
        <v>27</v>
      </c>
      <c r="M96" s="45" t="s">
        <v>31</v>
      </c>
      <c r="N96" s="44" t="s">
        <v>60</v>
      </c>
      <c r="O96" s="44" t="s">
        <v>60</v>
      </c>
      <c r="P96" s="42" t="s">
        <v>60</v>
      </c>
      <c r="Q96" s="42" t="s">
        <v>60</v>
      </c>
      <c r="R96" s="46" t="s">
        <v>60</v>
      </c>
      <c r="S96" s="43">
        <v>44131</v>
      </c>
      <c r="T96" s="51">
        <f t="shared" si="4"/>
        <v>3</v>
      </c>
      <c r="U96" s="52" t="str">
        <f t="shared" si="3"/>
        <v>Não Detectável</v>
      </c>
    </row>
    <row r="97" spans="1:21" ht="25.5" customHeight="1" x14ac:dyDescent="0.2">
      <c r="A97" s="51">
        <v>96</v>
      </c>
      <c r="B97" s="50" t="s">
        <v>977</v>
      </c>
      <c r="C97" s="51">
        <v>38</v>
      </c>
      <c r="D97" s="51" t="s">
        <v>34</v>
      </c>
      <c r="E97" s="43" t="s">
        <v>971</v>
      </c>
      <c r="F97" s="44" t="s">
        <v>60</v>
      </c>
      <c r="G97" s="51">
        <v>74</v>
      </c>
      <c r="H97" s="43">
        <v>44130</v>
      </c>
      <c r="I97" s="44" t="s">
        <v>964</v>
      </c>
      <c r="J97" s="43">
        <v>44130</v>
      </c>
      <c r="K97" s="42" t="s">
        <v>36</v>
      </c>
      <c r="L97" s="42">
        <v>27</v>
      </c>
      <c r="M97" s="45" t="s">
        <v>31</v>
      </c>
      <c r="N97" s="44" t="s">
        <v>60</v>
      </c>
      <c r="O97" s="44" t="s">
        <v>60</v>
      </c>
      <c r="P97" s="42" t="s">
        <v>60</v>
      </c>
      <c r="Q97" s="42" t="s">
        <v>60</v>
      </c>
      <c r="R97" s="46" t="s">
        <v>60</v>
      </c>
      <c r="S97" s="43">
        <v>44131</v>
      </c>
      <c r="T97" s="51">
        <f t="shared" si="4"/>
        <v>3</v>
      </c>
      <c r="U97" s="52" t="str">
        <f t="shared" si="3"/>
        <v>Não Detectável</v>
      </c>
    </row>
    <row r="98" spans="1:21" ht="25.5" customHeight="1" x14ac:dyDescent="0.2">
      <c r="A98" s="51">
        <v>97</v>
      </c>
      <c r="B98" s="50" t="s">
        <v>978</v>
      </c>
      <c r="C98" s="51">
        <v>37</v>
      </c>
      <c r="D98" s="51" t="s">
        <v>34</v>
      </c>
      <c r="E98" s="43" t="s">
        <v>971</v>
      </c>
      <c r="F98" s="44" t="s">
        <v>60</v>
      </c>
      <c r="G98" s="51">
        <v>75</v>
      </c>
      <c r="H98" s="43">
        <v>44130</v>
      </c>
      <c r="I98" s="44" t="s">
        <v>964</v>
      </c>
      <c r="J98" s="43">
        <v>44130</v>
      </c>
      <c r="K98" s="42" t="s">
        <v>36</v>
      </c>
      <c r="L98" s="42">
        <v>27.4</v>
      </c>
      <c r="M98" s="45" t="s">
        <v>31</v>
      </c>
      <c r="N98" s="44" t="s">
        <v>60</v>
      </c>
      <c r="O98" s="44" t="s">
        <v>60</v>
      </c>
      <c r="P98" s="42" t="s">
        <v>60</v>
      </c>
      <c r="Q98" s="42" t="s">
        <v>60</v>
      </c>
      <c r="R98" s="46" t="s">
        <v>60</v>
      </c>
      <c r="S98" s="43">
        <v>44131</v>
      </c>
      <c r="T98" s="51">
        <f t="shared" si="4"/>
        <v>3</v>
      </c>
      <c r="U98" s="52" t="str">
        <f t="shared" ref="U98:U121" si="5">IF(M98="Não Detectável","Não Detectável",IF(R98="","",R98))</f>
        <v>Não Detectável</v>
      </c>
    </row>
    <row r="99" spans="1:21" ht="25.5" customHeight="1" x14ac:dyDescent="0.2">
      <c r="A99" s="51">
        <v>98</v>
      </c>
      <c r="B99" s="50" t="s">
        <v>979</v>
      </c>
      <c r="C99" s="51">
        <v>34</v>
      </c>
      <c r="D99" s="51" t="s">
        <v>25</v>
      </c>
      <c r="E99" s="43" t="s">
        <v>971</v>
      </c>
      <c r="F99" s="44" t="s">
        <v>60</v>
      </c>
      <c r="G99" s="51">
        <v>75</v>
      </c>
      <c r="H99" s="43">
        <v>44130</v>
      </c>
      <c r="I99" s="44" t="s">
        <v>964</v>
      </c>
      <c r="J99" s="43">
        <v>44130</v>
      </c>
      <c r="K99" s="42" t="s">
        <v>36</v>
      </c>
      <c r="L99" s="42">
        <v>27.4</v>
      </c>
      <c r="M99" s="45" t="s">
        <v>31</v>
      </c>
      <c r="N99" s="44" t="s">
        <v>60</v>
      </c>
      <c r="O99" s="44" t="s">
        <v>60</v>
      </c>
      <c r="P99" s="42" t="s">
        <v>60</v>
      </c>
      <c r="Q99" s="42" t="s">
        <v>60</v>
      </c>
      <c r="R99" s="46" t="s">
        <v>60</v>
      </c>
      <c r="S99" s="43">
        <v>44131</v>
      </c>
      <c r="T99" s="51">
        <f t="shared" si="4"/>
        <v>3</v>
      </c>
      <c r="U99" s="52" t="str">
        <f t="shared" si="5"/>
        <v>Não Detectável</v>
      </c>
    </row>
    <row r="100" spans="1:21" ht="25.5" customHeight="1" x14ac:dyDescent="0.2">
      <c r="A100" s="51">
        <v>99</v>
      </c>
      <c r="B100" s="50" t="s">
        <v>980</v>
      </c>
      <c r="C100" s="51">
        <v>62</v>
      </c>
      <c r="D100" s="51" t="s">
        <v>34</v>
      </c>
      <c r="E100" s="43" t="s">
        <v>971</v>
      </c>
      <c r="F100" s="44" t="s">
        <v>60</v>
      </c>
      <c r="G100" s="51">
        <v>75</v>
      </c>
      <c r="H100" s="43">
        <v>44130</v>
      </c>
      <c r="I100" s="44" t="s">
        <v>964</v>
      </c>
      <c r="J100" s="43">
        <v>44130</v>
      </c>
      <c r="K100" s="42" t="s">
        <v>36</v>
      </c>
      <c r="L100" s="42">
        <v>27.4</v>
      </c>
      <c r="M100" s="45" t="s">
        <v>31</v>
      </c>
      <c r="N100" s="44" t="s">
        <v>60</v>
      </c>
      <c r="O100" s="44" t="s">
        <v>60</v>
      </c>
      <c r="P100" s="42" t="s">
        <v>60</v>
      </c>
      <c r="Q100" s="42" t="s">
        <v>60</v>
      </c>
      <c r="R100" s="46" t="s">
        <v>60</v>
      </c>
      <c r="S100" s="43">
        <v>44131</v>
      </c>
      <c r="T100" s="51">
        <f t="shared" si="4"/>
        <v>3</v>
      </c>
      <c r="U100" s="52" t="str">
        <f t="shared" si="5"/>
        <v>Não Detectável</v>
      </c>
    </row>
    <row r="101" spans="1:21" ht="25.5" customHeight="1" x14ac:dyDescent="0.2">
      <c r="A101" s="51">
        <v>100</v>
      </c>
      <c r="B101" s="50" t="s">
        <v>981</v>
      </c>
      <c r="C101" s="51">
        <v>22</v>
      </c>
      <c r="D101" s="51" t="s">
        <v>25</v>
      </c>
      <c r="E101" s="43" t="s">
        <v>971</v>
      </c>
      <c r="F101" s="44" t="s">
        <v>60</v>
      </c>
      <c r="G101" s="51">
        <v>76</v>
      </c>
      <c r="H101" s="43">
        <v>44130</v>
      </c>
      <c r="I101" s="44" t="s">
        <v>982</v>
      </c>
      <c r="J101" s="43">
        <v>44131</v>
      </c>
      <c r="K101" s="42" t="s">
        <v>36</v>
      </c>
      <c r="L101" s="42">
        <v>26.9</v>
      </c>
      <c r="M101" s="45" t="s">
        <v>31</v>
      </c>
      <c r="N101" s="44" t="s">
        <v>60</v>
      </c>
      <c r="O101" s="44" t="s">
        <v>60</v>
      </c>
      <c r="P101" s="42" t="s">
        <v>60</v>
      </c>
      <c r="Q101" s="42" t="s">
        <v>60</v>
      </c>
      <c r="R101" s="46" t="s">
        <v>60</v>
      </c>
      <c r="S101" s="43">
        <v>44132</v>
      </c>
      <c r="T101" s="51">
        <f t="shared" si="4"/>
        <v>3</v>
      </c>
      <c r="U101" s="52" t="str">
        <f t="shared" si="5"/>
        <v>Não Detectável</v>
      </c>
    </row>
    <row r="102" spans="1:21" ht="25.5" customHeight="1" x14ac:dyDescent="0.2">
      <c r="A102" s="51">
        <v>101</v>
      </c>
      <c r="B102" s="50" t="s">
        <v>983</v>
      </c>
      <c r="C102" s="51">
        <v>31</v>
      </c>
      <c r="D102" s="51" t="s">
        <v>25</v>
      </c>
      <c r="E102" s="43" t="s">
        <v>984</v>
      </c>
      <c r="F102" s="44" t="s">
        <v>60</v>
      </c>
      <c r="G102" s="51">
        <v>76</v>
      </c>
      <c r="H102" s="43">
        <v>44131</v>
      </c>
      <c r="I102" s="44" t="s">
        <v>982</v>
      </c>
      <c r="J102" s="43">
        <v>44131</v>
      </c>
      <c r="K102" s="42" t="s">
        <v>36</v>
      </c>
      <c r="L102" s="42">
        <v>26.9</v>
      </c>
      <c r="M102" s="45" t="s">
        <v>31</v>
      </c>
      <c r="N102" s="44" t="s">
        <v>60</v>
      </c>
      <c r="O102" s="44" t="s">
        <v>60</v>
      </c>
      <c r="P102" s="42" t="s">
        <v>60</v>
      </c>
      <c r="Q102" s="42" t="s">
        <v>60</v>
      </c>
      <c r="R102" s="46" t="s">
        <v>60</v>
      </c>
      <c r="S102" s="43">
        <v>44132</v>
      </c>
      <c r="T102" s="51">
        <f t="shared" si="4"/>
        <v>3</v>
      </c>
      <c r="U102" s="52" t="str">
        <f t="shared" si="5"/>
        <v>Não Detectável</v>
      </c>
    </row>
    <row r="103" spans="1:21" ht="25.5" customHeight="1" x14ac:dyDescent="0.2">
      <c r="A103" s="51">
        <v>102</v>
      </c>
      <c r="B103" s="50" t="s">
        <v>985</v>
      </c>
      <c r="C103" s="51">
        <v>38</v>
      </c>
      <c r="D103" s="51" t="s">
        <v>34</v>
      </c>
      <c r="E103" s="43" t="s">
        <v>984</v>
      </c>
      <c r="F103" s="44" t="s">
        <v>60</v>
      </c>
      <c r="G103" s="51">
        <v>76</v>
      </c>
      <c r="H103" s="43">
        <v>44131</v>
      </c>
      <c r="I103" s="44" t="s">
        <v>982</v>
      </c>
      <c r="J103" s="43">
        <v>44131</v>
      </c>
      <c r="K103" s="42" t="s">
        <v>36</v>
      </c>
      <c r="L103" s="42">
        <v>26.9</v>
      </c>
      <c r="M103" s="45" t="s">
        <v>31</v>
      </c>
      <c r="N103" s="44" t="s">
        <v>60</v>
      </c>
      <c r="O103" s="44" t="s">
        <v>60</v>
      </c>
      <c r="P103" s="42" t="s">
        <v>60</v>
      </c>
      <c r="Q103" s="42" t="s">
        <v>60</v>
      </c>
      <c r="R103" s="46" t="s">
        <v>60</v>
      </c>
      <c r="S103" s="43">
        <v>44132</v>
      </c>
      <c r="T103" s="51">
        <f t="shared" si="4"/>
        <v>3</v>
      </c>
      <c r="U103" s="52" t="str">
        <f t="shared" si="5"/>
        <v>Não Detectável</v>
      </c>
    </row>
    <row r="104" spans="1:21" ht="25.5" customHeight="1" x14ac:dyDescent="0.2">
      <c r="A104" s="51">
        <v>103</v>
      </c>
      <c r="B104" s="50" t="s">
        <v>986</v>
      </c>
      <c r="C104" s="51">
        <v>20</v>
      </c>
      <c r="D104" s="51" t="s">
        <v>25</v>
      </c>
      <c r="E104" s="43" t="s">
        <v>984</v>
      </c>
      <c r="F104" s="44" t="s">
        <v>60</v>
      </c>
      <c r="G104" s="51">
        <v>77</v>
      </c>
      <c r="H104" s="43">
        <v>44131</v>
      </c>
      <c r="I104" s="44" t="s">
        <v>982</v>
      </c>
      <c r="J104" s="43">
        <v>44131</v>
      </c>
      <c r="K104" s="42" t="s">
        <v>36</v>
      </c>
      <c r="L104" s="42">
        <v>26.7</v>
      </c>
      <c r="M104" s="45" t="s">
        <v>31</v>
      </c>
      <c r="N104" s="44" t="s">
        <v>60</v>
      </c>
      <c r="O104" s="44" t="s">
        <v>60</v>
      </c>
      <c r="P104" s="42" t="s">
        <v>60</v>
      </c>
      <c r="Q104" s="42" t="s">
        <v>60</v>
      </c>
      <c r="R104" s="46" t="s">
        <v>60</v>
      </c>
      <c r="S104" s="43">
        <v>44132</v>
      </c>
      <c r="T104" s="51">
        <f t="shared" si="4"/>
        <v>3</v>
      </c>
      <c r="U104" s="52" t="str">
        <f t="shared" si="5"/>
        <v>Não Detectável</v>
      </c>
    </row>
    <row r="105" spans="1:21" ht="25.5" customHeight="1" x14ac:dyDescent="0.2">
      <c r="A105" s="51">
        <v>104</v>
      </c>
      <c r="B105" s="50" t="s">
        <v>987</v>
      </c>
      <c r="C105" s="51">
        <v>43</v>
      </c>
      <c r="D105" s="51" t="s">
        <v>34</v>
      </c>
      <c r="E105" s="43" t="s">
        <v>984</v>
      </c>
      <c r="F105" s="44" t="s">
        <v>60</v>
      </c>
      <c r="G105" s="51">
        <v>77</v>
      </c>
      <c r="H105" s="43">
        <v>44131</v>
      </c>
      <c r="I105" s="44" t="s">
        <v>982</v>
      </c>
      <c r="J105" s="43">
        <v>44131</v>
      </c>
      <c r="K105" s="42" t="s">
        <v>36</v>
      </c>
      <c r="L105" s="42">
        <v>26.7</v>
      </c>
      <c r="M105" s="45" t="s">
        <v>31</v>
      </c>
      <c r="N105" s="44" t="s">
        <v>60</v>
      </c>
      <c r="O105" s="44" t="s">
        <v>60</v>
      </c>
      <c r="P105" s="42" t="s">
        <v>60</v>
      </c>
      <c r="Q105" s="42" t="s">
        <v>60</v>
      </c>
      <c r="R105" s="46" t="s">
        <v>60</v>
      </c>
      <c r="S105" s="43">
        <v>44132</v>
      </c>
      <c r="T105" s="51">
        <f t="shared" si="4"/>
        <v>3</v>
      </c>
      <c r="U105" s="52" t="str">
        <f t="shared" si="5"/>
        <v>Não Detectável</v>
      </c>
    </row>
    <row r="106" spans="1:21" ht="25.5" customHeight="1" x14ac:dyDescent="0.2">
      <c r="A106" s="51">
        <v>105</v>
      </c>
      <c r="B106" s="50" t="s">
        <v>988</v>
      </c>
      <c r="C106" s="51">
        <v>20</v>
      </c>
      <c r="D106" s="51" t="s">
        <v>25</v>
      </c>
      <c r="E106" s="43" t="s">
        <v>984</v>
      </c>
      <c r="F106" s="44" t="s">
        <v>60</v>
      </c>
      <c r="G106" s="51">
        <v>77</v>
      </c>
      <c r="H106" s="43">
        <v>44131</v>
      </c>
      <c r="I106" s="44" t="s">
        <v>982</v>
      </c>
      <c r="J106" s="43">
        <v>44131</v>
      </c>
      <c r="K106" s="42" t="s">
        <v>36</v>
      </c>
      <c r="L106" s="42">
        <v>26.7</v>
      </c>
      <c r="M106" s="45" t="s">
        <v>31</v>
      </c>
      <c r="N106" s="44" t="s">
        <v>60</v>
      </c>
      <c r="O106" s="44" t="s">
        <v>60</v>
      </c>
      <c r="P106" s="42" t="s">
        <v>60</v>
      </c>
      <c r="Q106" s="42" t="s">
        <v>60</v>
      </c>
      <c r="R106" s="46" t="s">
        <v>60</v>
      </c>
      <c r="S106" s="43">
        <v>44132</v>
      </c>
      <c r="T106" s="51">
        <f t="shared" si="4"/>
        <v>3</v>
      </c>
      <c r="U106" s="52" t="str">
        <f t="shared" si="5"/>
        <v>Não Detectável</v>
      </c>
    </row>
    <row r="107" spans="1:21" ht="25.5" customHeight="1" x14ac:dyDescent="0.2">
      <c r="A107" s="51">
        <v>106</v>
      </c>
      <c r="B107" s="50" t="s">
        <v>989</v>
      </c>
      <c r="C107" s="51">
        <v>43</v>
      </c>
      <c r="D107" s="51" t="s">
        <v>25</v>
      </c>
      <c r="E107" s="43" t="s">
        <v>984</v>
      </c>
      <c r="F107" s="44" t="s">
        <v>60</v>
      </c>
      <c r="G107" s="51">
        <v>78</v>
      </c>
      <c r="H107" s="43">
        <v>44131</v>
      </c>
      <c r="I107" s="44" t="s">
        <v>982</v>
      </c>
      <c r="J107" s="43">
        <v>44131</v>
      </c>
      <c r="K107" s="42" t="s">
        <v>36</v>
      </c>
      <c r="L107" s="42">
        <v>26.4</v>
      </c>
      <c r="M107" s="45" t="s">
        <v>31</v>
      </c>
      <c r="N107" s="44" t="s">
        <v>60</v>
      </c>
      <c r="O107" s="44" t="s">
        <v>60</v>
      </c>
      <c r="P107" s="42" t="s">
        <v>60</v>
      </c>
      <c r="Q107" s="42" t="s">
        <v>60</v>
      </c>
      <c r="R107" s="46" t="s">
        <v>60</v>
      </c>
      <c r="S107" s="43">
        <v>44132</v>
      </c>
      <c r="T107" s="51">
        <f t="shared" si="4"/>
        <v>3</v>
      </c>
      <c r="U107" s="52" t="str">
        <f t="shared" si="5"/>
        <v>Não Detectável</v>
      </c>
    </row>
    <row r="108" spans="1:21" ht="25.5" customHeight="1" x14ac:dyDescent="0.2">
      <c r="A108" s="51">
        <v>107</v>
      </c>
      <c r="B108" s="50" t="s">
        <v>990</v>
      </c>
      <c r="C108" s="51">
        <v>31</v>
      </c>
      <c r="D108" s="51" t="s">
        <v>34</v>
      </c>
      <c r="E108" s="43" t="s">
        <v>984</v>
      </c>
      <c r="F108" s="44" t="s">
        <v>60</v>
      </c>
      <c r="G108" s="51">
        <v>78</v>
      </c>
      <c r="H108" s="43">
        <v>44131</v>
      </c>
      <c r="I108" s="44" t="s">
        <v>982</v>
      </c>
      <c r="J108" s="43">
        <v>44131</v>
      </c>
      <c r="K108" s="42" t="s">
        <v>36</v>
      </c>
      <c r="L108" s="42">
        <v>26.4</v>
      </c>
      <c r="M108" s="45" t="s">
        <v>31</v>
      </c>
      <c r="N108" s="44" t="s">
        <v>60</v>
      </c>
      <c r="O108" s="44" t="s">
        <v>60</v>
      </c>
      <c r="P108" s="42" t="s">
        <v>60</v>
      </c>
      <c r="Q108" s="42" t="s">
        <v>60</v>
      </c>
      <c r="R108" s="46" t="s">
        <v>60</v>
      </c>
      <c r="S108" s="43">
        <v>44132</v>
      </c>
      <c r="T108" s="51">
        <f t="shared" si="4"/>
        <v>3</v>
      </c>
      <c r="U108" s="52" t="str">
        <f t="shared" si="5"/>
        <v>Não Detectável</v>
      </c>
    </row>
    <row r="109" spans="1:21" ht="25.5" customHeight="1" x14ac:dyDescent="0.2">
      <c r="A109" s="51">
        <v>108</v>
      </c>
      <c r="B109" s="50" t="s">
        <v>991</v>
      </c>
      <c r="C109" s="51">
        <v>24</v>
      </c>
      <c r="D109" s="51" t="s">
        <v>34</v>
      </c>
      <c r="E109" s="43" t="s">
        <v>984</v>
      </c>
      <c r="F109" s="44" t="s">
        <v>60</v>
      </c>
      <c r="G109" s="51">
        <v>78</v>
      </c>
      <c r="H109" s="43">
        <v>44131</v>
      </c>
      <c r="I109" s="44" t="s">
        <v>982</v>
      </c>
      <c r="J109" s="43">
        <v>44131</v>
      </c>
      <c r="K109" s="42" t="s">
        <v>36</v>
      </c>
      <c r="L109" s="42">
        <v>26.4</v>
      </c>
      <c r="M109" s="45" t="s">
        <v>31</v>
      </c>
      <c r="N109" s="44" t="s">
        <v>60</v>
      </c>
      <c r="O109" s="44" t="s">
        <v>60</v>
      </c>
      <c r="P109" s="42" t="s">
        <v>60</v>
      </c>
      <c r="Q109" s="42" t="s">
        <v>60</v>
      </c>
      <c r="R109" s="46" t="s">
        <v>60</v>
      </c>
      <c r="S109" s="43">
        <v>44132</v>
      </c>
      <c r="T109" s="51">
        <f t="shared" si="4"/>
        <v>3</v>
      </c>
      <c r="U109" s="52" t="str">
        <f t="shared" si="5"/>
        <v>Não Detectável</v>
      </c>
    </row>
    <row r="110" spans="1:21" ht="25.5" customHeight="1" x14ac:dyDescent="0.2">
      <c r="A110" s="51">
        <v>109</v>
      </c>
      <c r="B110" s="50" t="s">
        <v>992</v>
      </c>
      <c r="C110" s="51">
        <v>33</v>
      </c>
      <c r="D110" s="51" t="s">
        <v>25</v>
      </c>
      <c r="E110" s="43" t="s">
        <v>993</v>
      </c>
      <c r="F110" s="44" t="s">
        <v>60</v>
      </c>
      <c r="G110" s="51">
        <v>79</v>
      </c>
      <c r="H110" s="43">
        <v>44132</v>
      </c>
      <c r="I110" s="44" t="s">
        <v>994</v>
      </c>
      <c r="J110" s="43">
        <v>44132</v>
      </c>
      <c r="K110" s="42">
        <v>20.100000000000001</v>
      </c>
      <c r="L110" s="42">
        <v>27</v>
      </c>
      <c r="M110" s="43" t="s">
        <v>29</v>
      </c>
      <c r="N110" s="44" t="s">
        <v>995</v>
      </c>
      <c r="O110" s="43">
        <v>44133</v>
      </c>
      <c r="P110" s="42">
        <v>16.2</v>
      </c>
      <c r="Q110" s="42">
        <v>27.5</v>
      </c>
      <c r="R110" s="46" t="s">
        <v>29</v>
      </c>
      <c r="S110" s="43">
        <v>44133</v>
      </c>
      <c r="T110" s="51">
        <f t="shared" si="4"/>
        <v>3</v>
      </c>
      <c r="U110" s="52" t="str">
        <f t="shared" si="5"/>
        <v>Detectável</v>
      </c>
    </row>
    <row r="111" spans="1:21" ht="25.5" customHeight="1" x14ac:dyDescent="0.2">
      <c r="A111" s="51">
        <v>110</v>
      </c>
      <c r="B111" s="50" t="s">
        <v>996</v>
      </c>
      <c r="C111" s="51">
        <v>59</v>
      </c>
      <c r="D111" s="51" t="s">
        <v>25</v>
      </c>
      <c r="E111" s="43" t="s">
        <v>993</v>
      </c>
      <c r="F111" s="44" t="s">
        <v>60</v>
      </c>
      <c r="G111" s="51">
        <v>79</v>
      </c>
      <c r="H111" s="43">
        <v>44132</v>
      </c>
      <c r="I111" s="44" t="s">
        <v>994</v>
      </c>
      <c r="J111" s="43">
        <v>44132</v>
      </c>
      <c r="K111" s="42">
        <v>20.100000000000001</v>
      </c>
      <c r="L111" s="42">
        <v>27</v>
      </c>
      <c r="M111" s="43" t="s">
        <v>29</v>
      </c>
      <c r="N111" s="44" t="s">
        <v>995</v>
      </c>
      <c r="O111" s="43">
        <v>44133</v>
      </c>
      <c r="P111" s="42" t="s">
        <v>36</v>
      </c>
      <c r="Q111" s="42">
        <v>26.4</v>
      </c>
      <c r="R111" s="46" t="s">
        <v>31</v>
      </c>
      <c r="S111" s="43">
        <v>44133</v>
      </c>
      <c r="T111" s="51">
        <f t="shared" si="4"/>
        <v>3</v>
      </c>
      <c r="U111" s="52" t="str">
        <f t="shared" si="5"/>
        <v>Não Detectável</v>
      </c>
    </row>
    <row r="112" spans="1:21" ht="25.5" customHeight="1" x14ac:dyDescent="0.2">
      <c r="A112" s="51">
        <v>111</v>
      </c>
      <c r="B112" s="50" t="s">
        <v>997</v>
      </c>
      <c r="C112" s="51">
        <v>44</v>
      </c>
      <c r="D112" s="51" t="s">
        <v>25</v>
      </c>
      <c r="E112" s="43" t="s">
        <v>993</v>
      </c>
      <c r="F112" s="44" t="s">
        <v>60</v>
      </c>
      <c r="G112" s="51">
        <v>79</v>
      </c>
      <c r="H112" s="43">
        <v>44132</v>
      </c>
      <c r="I112" s="44" t="s">
        <v>994</v>
      </c>
      <c r="J112" s="43">
        <v>44132</v>
      </c>
      <c r="K112" s="42">
        <v>20.100000000000001</v>
      </c>
      <c r="L112" s="42">
        <v>27</v>
      </c>
      <c r="M112" s="43" t="s">
        <v>29</v>
      </c>
      <c r="N112" s="44" t="s">
        <v>995</v>
      </c>
      <c r="O112" s="43">
        <v>44133</v>
      </c>
      <c r="P112" s="42" t="s">
        <v>36</v>
      </c>
      <c r="Q112" s="42">
        <v>27.4</v>
      </c>
      <c r="R112" s="46" t="s">
        <v>31</v>
      </c>
      <c r="S112" s="43">
        <v>44133</v>
      </c>
      <c r="T112" s="51">
        <f t="shared" si="4"/>
        <v>3</v>
      </c>
      <c r="U112" s="52" t="str">
        <f t="shared" si="5"/>
        <v>Não Detectável</v>
      </c>
    </row>
    <row r="113" spans="1:21" ht="25.5" customHeight="1" x14ac:dyDescent="0.2">
      <c r="A113" s="51">
        <v>112</v>
      </c>
      <c r="B113" s="50" t="s">
        <v>998</v>
      </c>
      <c r="C113" s="51">
        <v>22</v>
      </c>
      <c r="D113" s="51" t="s">
        <v>34</v>
      </c>
      <c r="E113" s="43" t="s">
        <v>993</v>
      </c>
      <c r="F113" s="44" t="s">
        <v>60</v>
      </c>
      <c r="G113" s="51">
        <v>80</v>
      </c>
      <c r="H113" s="43">
        <v>44132</v>
      </c>
      <c r="I113" s="44" t="s">
        <v>994</v>
      </c>
      <c r="J113" s="43">
        <v>44132</v>
      </c>
      <c r="K113" s="42">
        <v>22.9</v>
      </c>
      <c r="L113" s="42">
        <v>27.6</v>
      </c>
      <c r="M113" s="43" t="s">
        <v>29</v>
      </c>
      <c r="N113" s="44" t="s">
        <v>995</v>
      </c>
      <c r="O113" s="43">
        <v>44133</v>
      </c>
      <c r="P113" s="42">
        <v>24.3</v>
      </c>
      <c r="Q113" s="42">
        <v>27.8</v>
      </c>
      <c r="R113" s="46" t="s">
        <v>29</v>
      </c>
      <c r="S113" s="43">
        <v>44133</v>
      </c>
      <c r="T113" s="51">
        <f t="shared" si="4"/>
        <v>3</v>
      </c>
      <c r="U113" s="52" t="str">
        <f t="shared" si="5"/>
        <v>Detectável</v>
      </c>
    </row>
    <row r="114" spans="1:21" ht="25.5" customHeight="1" x14ac:dyDescent="0.2">
      <c r="A114" s="51">
        <v>113</v>
      </c>
      <c r="B114" s="50" t="s">
        <v>999</v>
      </c>
      <c r="C114" s="51">
        <v>26</v>
      </c>
      <c r="D114" s="51" t="s">
        <v>34</v>
      </c>
      <c r="E114" s="43" t="s">
        <v>993</v>
      </c>
      <c r="F114" s="44" t="s">
        <v>60</v>
      </c>
      <c r="G114" s="51">
        <v>80</v>
      </c>
      <c r="H114" s="43">
        <v>44132</v>
      </c>
      <c r="I114" s="44" t="s">
        <v>994</v>
      </c>
      <c r="J114" s="43">
        <v>44132</v>
      </c>
      <c r="K114" s="42">
        <v>22.9</v>
      </c>
      <c r="L114" s="42">
        <v>27.6</v>
      </c>
      <c r="M114" s="43" t="s">
        <v>29</v>
      </c>
      <c r="N114" s="44" t="s">
        <v>995</v>
      </c>
      <c r="O114" s="43">
        <v>44133</v>
      </c>
      <c r="P114" s="42" t="s">
        <v>36</v>
      </c>
      <c r="Q114" s="42">
        <v>27.3</v>
      </c>
      <c r="R114" s="46" t="s">
        <v>31</v>
      </c>
      <c r="S114" s="43">
        <v>44133</v>
      </c>
      <c r="T114" s="51">
        <f t="shared" si="4"/>
        <v>3</v>
      </c>
      <c r="U114" s="52" t="str">
        <f t="shared" si="5"/>
        <v>Não Detectável</v>
      </c>
    </row>
    <row r="115" spans="1:21" ht="25.5" customHeight="1" x14ac:dyDescent="0.2">
      <c r="A115" s="51">
        <v>114</v>
      </c>
      <c r="B115" s="50" t="s">
        <v>1000</v>
      </c>
      <c r="C115" s="51">
        <v>32</v>
      </c>
      <c r="D115" s="51" t="s">
        <v>25</v>
      </c>
      <c r="E115" s="43" t="s">
        <v>993</v>
      </c>
      <c r="F115" s="44" t="s">
        <v>60</v>
      </c>
      <c r="G115" s="51">
        <v>80</v>
      </c>
      <c r="H115" s="43">
        <v>44132</v>
      </c>
      <c r="I115" s="44" t="s">
        <v>994</v>
      </c>
      <c r="J115" s="43">
        <v>44132</v>
      </c>
      <c r="K115" s="42">
        <v>22.9</v>
      </c>
      <c r="L115" s="42">
        <v>27.6</v>
      </c>
      <c r="M115" s="43" t="s">
        <v>29</v>
      </c>
      <c r="N115" s="44" t="s">
        <v>995</v>
      </c>
      <c r="O115" s="43">
        <v>44133</v>
      </c>
      <c r="P115" s="42" t="s">
        <v>36</v>
      </c>
      <c r="Q115" s="42">
        <v>27.1</v>
      </c>
      <c r="R115" s="46" t="s">
        <v>31</v>
      </c>
      <c r="S115" s="43">
        <v>44133</v>
      </c>
      <c r="T115" s="51">
        <f t="shared" si="4"/>
        <v>3</v>
      </c>
      <c r="U115" s="52" t="str">
        <f t="shared" si="5"/>
        <v>Não Detectável</v>
      </c>
    </row>
    <row r="116" spans="1:21" ht="25.5" customHeight="1" x14ac:dyDescent="0.2">
      <c r="A116" s="51">
        <v>115</v>
      </c>
      <c r="B116" s="50" t="s">
        <v>1001</v>
      </c>
      <c r="C116" s="51">
        <v>28</v>
      </c>
      <c r="D116" s="51" t="s">
        <v>25</v>
      </c>
      <c r="E116" s="43" t="s">
        <v>993</v>
      </c>
      <c r="F116" s="44" t="s">
        <v>60</v>
      </c>
      <c r="G116" s="51">
        <v>81</v>
      </c>
      <c r="H116" s="43">
        <v>44132</v>
      </c>
      <c r="I116" s="44" t="s">
        <v>995</v>
      </c>
      <c r="J116" s="43">
        <v>44133</v>
      </c>
      <c r="K116" s="42">
        <v>18.8</v>
      </c>
      <c r="L116" s="42">
        <v>26.4</v>
      </c>
      <c r="M116" s="43" t="s">
        <v>29</v>
      </c>
      <c r="N116" s="44" t="s">
        <v>1002</v>
      </c>
      <c r="O116" s="43">
        <v>44134</v>
      </c>
      <c r="P116" s="42" t="s">
        <v>36</v>
      </c>
      <c r="Q116" s="42">
        <v>29.2</v>
      </c>
      <c r="R116" s="46" t="s">
        <v>31</v>
      </c>
      <c r="S116" s="43">
        <v>44134</v>
      </c>
      <c r="T116" s="51">
        <f t="shared" si="4"/>
        <v>3</v>
      </c>
      <c r="U116" s="52" t="str">
        <f t="shared" si="5"/>
        <v>Não Detectável</v>
      </c>
    </row>
    <row r="117" spans="1:21" ht="25.5" customHeight="1" x14ac:dyDescent="0.2">
      <c r="A117" s="51">
        <v>116</v>
      </c>
      <c r="B117" s="50" t="s">
        <v>1003</v>
      </c>
      <c r="C117" s="51">
        <v>20</v>
      </c>
      <c r="D117" s="51" t="s">
        <v>34</v>
      </c>
      <c r="E117" s="43" t="s">
        <v>993</v>
      </c>
      <c r="F117" s="44" t="s">
        <v>60</v>
      </c>
      <c r="G117" s="51">
        <v>81</v>
      </c>
      <c r="H117" s="43">
        <v>44132</v>
      </c>
      <c r="I117" s="44" t="s">
        <v>995</v>
      </c>
      <c r="J117" s="43">
        <v>44133</v>
      </c>
      <c r="K117" s="42">
        <v>18.8</v>
      </c>
      <c r="L117" s="42">
        <v>26.4</v>
      </c>
      <c r="M117" s="43" t="s">
        <v>29</v>
      </c>
      <c r="N117" s="44" t="s">
        <v>1002</v>
      </c>
      <c r="O117" s="43">
        <v>44134</v>
      </c>
      <c r="P117" s="42">
        <v>34</v>
      </c>
      <c r="Q117" s="42">
        <v>27.2</v>
      </c>
      <c r="R117" s="46" t="s">
        <v>29</v>
      </c>
      <c r="S117" s="43">
        <v>44134</v>
      </c>
      <c r="T117" s="51">
        <f t="shared" si="4"/>
        <v>3</v>
      </c>
      <c r="U117" s="52" t="str">
        <f t="shared" si="5"/>
        <v>Detectável</v>
      </c>
    </row>
    <row r="118" spans="1:21" ht="25.5" customHeight="1" x14ac:dyDescent="0.2">
      <c r="A118" s="51">
        <v>117</v>
      </c>
      <c r="B118" s="50" t="s">
        <v>1004</v>
      </c>
      <c r="C118" s="51">
        <v>26</v>
      </c>
      <c r="D118" s="51" t="s">
        <v>25</v>
      </c>
      <c r="E118" s="43" t="s">
        <v>1005</v>
      </c>
      <c r="F118" s="44" t="s">
        <v>60</v>
      </c>
      <c r="G118" s="51">
        <v>81</v>
      </c>
      <c r="H118" s="43">
        <v>44133</v>
      </c>
      <c r="I118" s="44" t="s">
        <v>995</v>
      </c>
      <c r="J118" s="43">
        <v>44133</v>
      </c>
      <c r="K118" s="42">
        <v>18.8</v>
      </c>
      <c r="L118" s="42">
        <v>26.4</v>
      </c>
      <c r="M118" s="43" t="s">
        <v>29</v>
      </c>
      <c r="N118" s="44" t="s">
        <v>1002</v>
      </c>
      <c r="O118" s="43">
        <v>44134</v>
      </c>
      <c r="P118" s="42">
        <v>15.4</v>
      </c>
      <c r="Q118" s="42">
        <v>27.8</v>
      </c>
      <c r="R118" s="46" t="s">
        <v>29</v>
      </c>
      <c r="S118" s="43">
        <v>44134</v>
      </c>
      <c r="T118" s="51">
        <f t="shared" si="4"/>
        <v>3</v>
      </c>
      <c r="U118" s="52" t="str">
        <f t="shared" si="5"/>
        <v>Detectável</v>
      </c>
    </row>
    <row r="119" spans="1:21" ht="25.5" customHeight="1" x14ac:dyDescent="0.2">
      <c r="A119" s="51">
        <v>118</v>
      </c>
      <c r="B119" s="50" t="s">
        <v>1006</v>
      </c>
      <c r="C119" s="51">
        <v>40</v>
      </c>
      <c r="D119" s="51" t="s">
        <v>34</v>
      </c>
      <c r="E119" s="43" t="s">
        <v>1005</v>
      </c>
      <c r="F119" s="44" t="s">
        <v>60</v>
      </c>
      <c r="G119" s="51">
        <v>82</v>
      </c>
      <c r="H119" s="43">
        <v>44133</v>
      </c>
      <c r="I119" s="44" t="s">
        <v>995</v>
      </c>
      <c r="J119" s="43">
        <v>44133</v>
      </c>
      <c r="K119" s="42" t="s">
        <v>36</v>
      </c>
      <c r="L119" s="42">
        <v>26.8</v>
      </c>
      <c r="M119" s="45" t="s">
        <v>31</v>
      </c>
      <c r="N119" s="44" t="s">
        <v>60</v>
      </c>
      <c r="O119" s="44" t="s">
        <v>60</v>
      </c>
      <c r="P119" s="42" t="s">
        <v>60</v>
      </c>
      <c r="Q119" s="42" t="s">
        <v>60</v>
      </c>
      <c r="R119" s="46" t="s">
        <v>60</v>
      </c>
      <c r="S119" s="43">
        <v>44133</v>
      </c>
      <c r="T119" s="51">
        <f t="shared" si="4"/>
        <v>3</v>
      </c>
      <c r="U119" s="52" t="str">
        <f t="shared" si="5"/>
        <v>Não Detectável</v>
      </c>
    </row>
    <row r="120" spans="1:21" ht="25.5" customHeight="1" x14ac:dyDescent="0.2">
      <c r="A120" s="51">
        <v>119</v>
      </c>
      <c r="B120" s="50" t="s">
        <v>1007</v>
      </c>
      <c r="C120" s="51">
        <v>26</v>
      </c>
      <c r="D120" s="51" t="s">
        <v>34</v>
      </c>
      <c r="E120" s="43" t="s">
        <v>1005</v>
      </c>
      <c r="F120" s="44" t="s">
        <v>60</v>
      </c>
      <c r="G120" s="51">
        <v>82</v>
      </c>
      <c r="H120" s="43">
        <v>44133</v>
      </c>
      <c r="I120" s="44" t="s">
        <v>995</v>
      </c>
      <c r="J120" s="43">
        <v>44133</v>
      </c>
      <c r="K120" s="42" t="s">
        <v>36</v>
      </c>
      <c r="L120" s="42">
        <v>26.8</v>
      </c>
      <c r="M120" s="45" t="s">
        <v>31</v>
      </c>
      <c r="N120" s="44" t="s">
        <v>60</v>
      </c>
      <c r="O120" s="44" t="s">
        <v>60</v>
      </c>
      <c r="P120" s="42" t="s">
        <v>60</v>
      </c>
      <c r="Q120" s="42" t="s">
        <v>60</v>
      </c>
      <c r="R120" s="46" t="s">
        <v>60</v>
      </c>
      <c r="S120" s="43">
        <v>44133</v>
      </c>
      <c r="T120" s="51">
        <f t="shared" si="4"/>
        <v>3</v>
      </c>
      <c r="U120" s="52" t="str">
        <f t="shared" si="5"/>
        <v>Não Detectável</v>
      </c>
    </row>
    <row r="121" spans="1:21" ht="25.5" customHeight="1" x14ac:dyDescent="0.2">
      <c r="A121" s="51">
        <v>120</v>
      </c>
      <c r="B121" s="50" t="s">
        <v>1008</v>
      </c>
      <c r="C121" s="51">
        <v>33</v>
      </c>
      <c r="D121" s="51" t="s">
        <v>25</v>
      </c>
      <c r="E121" s="43" t="s">
        <v>1005</v>
      </c>
      <c r="F121" s="44" t="s">
        <v>60</v>
      </c>
      <c r="G121" s="51">
        <v>82</v>
      </c>
      <c r="H121" s="43">
        <v>44133</v>
      </c>
      <c r="I121" s="44" t="s">
        <v>995</v>
      </c>
      <c r="J121" s="43">
        <v>44133</v>
      </c>
      <c r="K121" s="42" t="s">
        <v>36</v>
      </c>
      <c r="L121" s="42">
        <v>26.8</v>
      </c>
      <c r="M121" s="45" t="s">
        <v>31</v>
      </c>
      <c r="N121" s="44" t="s">
        <v>60</v>
      </c>
      <c r="O121" s="44" t="s">
        <v>60</v>
      </c>
      <c r="P121" s="42" t="s">
        <v>60</v>
      </c>
      <c r="Q121" s="42" t="s">
        <v>60</v>
      </c>
      <c r="R121" s="46" t="s">
        <v>60</v>
      </c>
      <c r="S121" s="43">
        <v>44133</v>
      </c>
      <c r="T121" s="51">
        <f t="shared" si="4"/>
        <v>3</v>
      </c>
      <c r="U121" s="52" t="str">
        <f t="shared" si="5"/>
        <v>Não Detectável</v>
      </c>
    </row>
    <row r="122" spans="1:21" ht="25.5" customHeight="1" x14ac:dyDescent="0.2">
      <c r="A122" s="51">
        <v>121</v>
      </c>
      <c r="B122" s="50" t="s">
        <v>1009</v>
      </c>
      <c r="C122" s="51">
        <v>40</v>
      </c>
      <c r="D122" s="51" t="s">
        <v>25</v>
      </c>
      <c r="E122" s="43" t="s">
        <v>1005</v>
      </c>
      <c r="F122" s="44" t="s">
        <v>60</v>
      </c>
      <c r="G122" s="51">
        <v>83</v>
      </c>
      <c r="H122" s="43">
        <v>44133</v>
      </c>
      <c r="I122" s="44" t="s">
        <v>1010</v>
      </c>
      <c r="J122" s="43">
        <v>44138</v>
      </c>
      <c r="K122" s="42" t="s">
        <v>36</v>
      </c>
      <c r="L122" s="42">
        <v>27.3</v>
      </c>
      <c r="M122" s="45" t="s">
        <v>31</v>
      </c>
      <c r="N122" s="44" t="s">
        <v>60</v>
      </c>
      <c r="O122" s="44" t="s">
        <v>60</v>
      </c>
      <c r="P122" s="42" t="s">
        <v>60</v>
      </c>
      <c r="Q122" s="42" t="s">
        <v>60</v>
      </c>
      <c r="R122" s="46" t="s">
        <v>60</v>
      </c>
      <c r="S122" s="43">
        <v>44138</v>
      </c>
      <c r="T122" s="51">
        <f t="shared" si="4"/>
        <v>3</v>
      </c>
      <c r="U122" s="52" t="str">
        <f>IF(M122="Não Detectável","Não Detectável",IF(#REF!="","",#REF!))</f>
        <v>Não Detectável</v>
      </c>
    </row>
    <row r="123" spans="1:21" ht="25.5" customHeight="1" x14ac:dyDescent="0.2">
      <c r="A123" s="51">
        <v>122</v>
      </c>
      <c r="B123" s="50" t="s">
        <v>1011</v>
      </c>
      <c r="C123" s="51">
        <v>34</v>
      </c>
      <c r="D123" s="51" t="s">
        <v>25</v>
      </c>
      <c r="E123" s="43" t="s">
        <v>1005</v>
      </c>
      <c r="F123" s="44" t="s">
        <v>60</v>
      </c>
      <c r="G123" s="51">
        <v>83</v>
      </c>
      <c r="H123" s="43">
        <v>44133</v>
      </c>
      <c r="I123" s="44" t="s">
        <v>1010</v>
      </c>
      <c r="J123" s="43">
        <v>44138</v>
      </c>
      <c r="K123" s="42" t="s">
        <v>36</v>
      </c>
      <c r="L123" s="42">
        <v>27.3</v>
      </c>
      <c r="M123" s="45" t="s">
        <v>31</v>
      </c>
      <c r="N123" s="44" t="s">
        <v>60</v>
      </c>
      <c r="O123" s="44" t="s">
        <v>60</v>
      </c>
      <c r="P123" s="42" t="s">
        <v>60</v>
      </c>
      <c r="Q123" s="42" t="s">
        <v>60</v>
      </c>
      <c r="R123" s="46" t="s">
        <v>60</v>
      </c>
      <c r="S123" s="43">
        <v>44138</v>
      </c>
      <c r="T123" s="51">
        <f t="shared" si="4"/>
        <v>3</v>
      </c>
      <c r="U123" s="52" t="str">
        <f t="shared" ref="U123:U135" si="6">IF(M123="Não Detectável","Não Detectável",IF(R123="","",R123))</f>
        <v>Não Detectável</v>
      </c>
    </row>
    <row r="124" spans="1:21" ht="25.5" customHeight="1" x14ac:dyDescent="0.2">
      <c r="A124" s="51">
        <v>123</v>
      </c>
      <c r="B124" s="50" t="s">
        <v>1012</v>
      </c>
      <c r="C124" s="51">
        <v>56</v>
      </c>
      <c r="D124" s="51" t="s">
        <v>25</v>
      </c>
      <c r="E124" s="43" t="s">
        <v>1005</v>
      </c>
      <c r="F124" s="44" t="s">
        <v>60</v>
      </c>
      <c r="G124" s="51">
        <v>83</v>
      </c>
      <c r="H124" s="43">
        <v>44133</v>
      </c>
      <c r="I124" s="44" t="s">
        <v>1010</v>
      </c>
      <c r="J124" s="43">
        <v>44138</v>
      </c>
      <c r="K124" s="42" t="s">
        <v>36</v>
      </c>
      <c r="L124" s="42">
        <v>27.3</v>
      </c>
      <c r="M124" s="45" t="s">
        <v>31</v>
      </c>
      <c r="N124" s="44" t="s">
        <v>60</v>
      </c>
      <c r="O124" s="44" t="s">
        <v>60</v>
      </c>
      <c r="P124" s="42" t="s">
        <v>60</v>
      </c>
      <c r="Q124" s="42" t="s">
        <v>60</v>
      </c>
      <c r="R124" s="46" t="s">
        <v>60</v>
      </c>
      <c r="S124" s="43">
        <v>44138</v>
      </c>
      <c r="T124" s="51">
        <f t="shared" si="4"/>
        <v>3</v>
      </c>
      <c r="U124" s="52" t="str">
        <f t="shared" si="6"/>
        <v>Não Detectável</v>
      </c>
    </row>
    <row r="125" spans="1:21" ht="25.5" customHeight="1" x14ac:dyDescent="0.2">
      <c r="A125" s="51">
        <v>124</v>
      </c>
      <c r="B125" s="50" t="s">
        <v>1013</v>
      </c>
      <c r="C125" s="51">
        <v>48</v>
      </c>
      <c r="D125" s="51" t="s">
        <v>34</v>
      </c>
      <c r="E125" s="43" t="s">
        <v>1005</v>
      </c>
      <c r="F125" s="44" t="s">
        <v>60</v>
      </c>
      <c r="G125" s="51">
        <v>84</v>
      </c>
      <c r="H125" s="43">
        <v>44133</v>
      </c>
      <c r="I125" s="44" t="s">
        <v>995</v>
      </c>
      <c r="J125" s="43">
        <v>44133</v>
      </c>
      <c r="K125" s="42" t="s">
        <v>36</v>
      </c>
      <c r="L125" s="42">
        <v>27.2</v>
      </c>
      <c r="M125" s="45" t="s">
        <v>31</v>
      </c>
      <c r="N125" s="44" t="s">
        <v>60</v>
      </c>
      <c r="O125" s="44" t="s">
        <v>60</v>
      </c>
      <c r="P125" s="42" t="s">
        <v>60</v>
      </c>
      <c r="Q125" s="42" t="s">
        <v>60</v>
      </c>
      <c r="R125" s="46" t="s">
        <v>60</v>
      </c>
      <c r="S125" s="43">
        <v>44133</v>
      </c>
      <c r="T125" s="51">
        <f t="shared" si="4"/>
        <v>3</v>
      </c>
      <c r="U125" s="52" t="str">
        <f t="shared" si="6"/>
        <v>Não Detectável</v>
      </c>
    </row>
    <row r="126" spans="1:21" ht="25.5" customHeight="1" x14ac:dyDescent="0.2">
      <c r="A126" s="51">
        <v>125</v>
      </c>
      <c r="B126" s="50" t="s">
        <v>1014</v>
      </c>
      <c r="C126" s="51">
        <v>26</v>
      </c>
      <c r="D126" s="51" t="s">
        <v>25</v>
      </c>
      <c r="E126" s="43" t="s">
        <v>1005</v>
      </c>
      <c r="F126" s="44" t="s">
        <v>60</v>
      </c>
      <c r="G126" s="51">
        <v>84</v>
      </c>
      <c r="H126" s="43">
        <v>44133</v>
      </c>
      <c r="I126" s="44" t="s">
        <v>995</v>
      </c>
      <c r="J126" s="43">
        <v>44133</v>
      </c>
      <c r="K126" s="42" t="s">
        <v>36</v>
      </c>
      <c r="L126" s="42">
        <v>27.2</v>
      </c>
      <c r="M126" s="45" t="s">
        <v>31</v>
      </c>
      <c r="N126" s="44" t="s">
        <v>60</v>
      </c>
      <c r="O126" s="44" t="s">
        <v>60</v>
      </c>
      <c r="P126" s="42" t="s">
        <v>60</v>
      </c>
      <c r="Q126" s="42" t="s">
        <v>60</v>
      </c>
      <c r="R126" s="46" t="s">
        <v>60</v>
      </c>
      <c r="S126" s="43">
        <v>44133</v>
      </c>
      <c r="T126" s="51">
        <f t="shared" si="4"/>
        <v>3</v>
      </c>
      <c r="U126" s="52" t="str">
        <f t="shared" si="6"/>
        <v>Não Detectável</v>
      </c>
    </row>
    <row r="127" spans="1:21" ht="25.5" customHeight="1" x14ac:dyDescent="0.2">
      <c r="A127" s="51">
        <v>126</v>
      </c>
      <c r="B127" s="50" t="s">
        <v>1015</v>
      </c>
      <c r="C127" s="51">
        <v>22</v>
      </c>
      <c r="D127" s="51" t="s">
        <v>25</v>
      </c>
      <c r="E127" s="43" t="s">
        <v>1005</v>
      </c>
      <c r="F127" s="44" t="s">
        <v>60</v>
      </c>
      <c r="G127" s="51">
        <v>84</v>
      </c>
      <c r="H127" s="43">
        <v>44133</v>
      </c>
      <c r="I127" s="44" t="s">
        <v>995</v>
      </c>
      <c r="J127" s="43">
        <v>44133</v>
      </c>
      <c r="K127" s="42" t="s">
        <v>36</v>
      </c>
      <c r="L127" s="42">
        <v>27.2</v>
      </c>
      <c r="M127" s="45" t="s">
        <v>31</v>
      </c>
      <c r="N127" s="44" t="s">
        <v>60</v>
      </c>
      <c r="O127" s="44" t="s">
        <v>60</v>
      </c>
      <c r="P127" s="42" t="s">
        <v>60</v>
      </c>
      <c r="Q127" s="42" t="s">
        <v>60</v>
      </c>
      <c r="R127" s="46" t="s">
        <v>60</v>
      </c>
      <c r="S127" s="43">
        <v>44133</v>
      </c>
      <c r="T127" s="51">
        <f t="shared" si="4"/>
        <v>3</v>
      </c>
      <c r="U127" s="52" t="str">
        <f t="shared" si="6"/>
        <v>Não Detectável</v>
      </c>
    </row>
    <row r="128" spans="1:21" ht="25.5" customHeight="1" x14ac:dyDescent="0.2">
      <c r="A128" s="51">
        <v>127</v>
      </c>
      <c r="B128" s="50" t="s">
        <v>1016</v>
      </c>
      <c r="C128" s="51">
        <v>21</v>
      </c>
      <c r="D128" s="51" t="s">
        <v>25</v>
      </c>
      <c r="E128" s="43" t="s">
        <v>1005</v>
      </c>
      <c r="F128" s="44" t="s">
        <v>60</v>
      </c>
      <c r="G128" s="51">
        <v>85</v>
      </c>
      <c r="H128" s="43">
        <v>44133</v>
      </c>
      <c r="I128" s="44" t="s">
        <v>1010</v>
      </c>
      <c r="J128" s="43">
        <v>44138</v>
      </c>
      <c r="K128" s="42" t="s">
        <v>36</v>
      </c>
      <c r="L128" s="42">
        <v>26.9</v>
      </c>
      <c r="M128" s="45" t="s">
        <v>31</v>
      </c>
      <c r="N128" s="44" t="s">
        <v>60</v>
      </c>
      <c r="O128" s="44" t="s">
        <v>60</v>
      </c>
      <c r="P128" s="42" t="s">
        <v>60</v>
      </c>
      <c r="Q128" s="42" t="s">
        <v>60</v>
      </c>
      <c r="R128" s="46" t="s">
        <v>60</v>
      </c>
      <c r="S128" s="43">
        <v>44138</v>
      </c>
      <c r="T128" s="51">
        <f t="shared" si="4"/>
        <v>3</v>
      </c>
      <c r="U128" s="52" t="str">
        <f t="shared" si="6"/>
        <v>Não Detectável</v>
      </c>
    </row>
    <row r="129" spans="1:21" ht="25.5" customHeight="1" x14ac:dyDescent="0.2">
      <c r="A129" s="51">
        <v>128</v>
      </c>
      <c r="B129" s="50" t="s">
        <v>1017</v>
      </c>
      <c r="C129" s="51">
        <v>19</v>
      </c>
      <c r="D129" s="51" t="s">
        <v>25</v>
      </c>
      <c r="E129" s="43" t="s">
        <v>1005</v>
      </c>
      <c r="F129" s="44" t="s">
        <v>60</v>
      </c>
      <c r="G129" s="51">
        <v>85</v>
      </c>
      <c r="H129" s="43">
        <v>44133</v>
      </c>
      <c r="I129" s="44" t="s">
        <v>1010</v>
      </c>
      <c r="J129" s="43">
        <v>44138</v>
      </c>
      <c r="K129" s="42" t="s">
        <v>36</v>
      </c>
      <c r="L129" s="42">
        <v>26.9</v>
      </c>
      <c r="M129" s="45" t="s">
        <v>31</v>
      </c>
      <c r="N129" s="44" t="s">
        <v>60</v>
      </c>
      <c r="O129" s="44" t="s">
        <v>60</v>
      </c>
      <c r="P129" s="42" t="s">
        <v>60</v>
      </c>
      <c r="Q129" s="42" t="s">
        <v>60</v>
      </c>
      <c r="R129" s="46" t="s">
        <v>60</v>
      </c>
      <c r="S129" s="43">
        <v>44138</v>
      </c>
      <c r="T129" s="51">
        <f t="shared" si="4"/>
        <v>3</v>
      </c>
      <c r="U129" s="52" t="str">
        <f t="shared" si="6"/>
        <v>Não Detectável</v>
      </c>
    </row>
    <row r="130" spans="1:21" ht="25.5" customHeight="1" x14ac:dyDescent="0.2">
      <c r="A130" s="51">
        <v>129</v>
      </c>
      <c r="B130" s="50" t="s">
        <v>1018</v>
      </c>
      <c r="C130" s="51">
        <v>31</v>
      </c>
      <c r="D130" s="51" t="s">
        <v>25</v>
      </c>
      <c r="E130" s="43" t="s">
        <v>1005</v>
      </c>
      <c r="F130" s="44" t="s">
        <v>60</v>
      </c>
      <c r="G130" s="51">
        <v>85</v>
      </c>
      <c r="H130" s="43">
        <v>44133</v>
      </c>
      <c r="I130" s="44" t="s">
        <v>1010</v>
      </c>
      <c r="J130" s="43">
        <v>44138</v>
      </c>
      <c r="K130" s="42" t="s">
        <v>36</v>
      </c>
      <c r="L130" s="42">
        <v>26.9</v>
      </c>
      <c r="M130" s="45" t="s">
        <v>31</v>
      </c>
      <c r="N130" s="44" t="s">
        <v>60</v>
      </c>
      <c r="O130" s="44" t="s">
        <v>60</v>
      </c>
      <c r="P130" s="42" t="s">
        <v>60</v>
      </c>
      <c r="Q130" s="42" t="s">
        <v>60</v>
      </c>
      <c r="R130" s="46" t="s">
        <v>60</v>
      </c>
      <c r="S130" s="43">
        <v>44138</v>
      </c>
      <c r="T130" s="51">
        <f t="shared" si="4"/>
        <v>3</v>
      </c>
      <c r="U130" s="52" t="str">
        <f t="shared" si="6"/>
        <v>Não Detectável</v>
      </c>
    </row>
    <row r="131" spans="1:21" ht="25.5" customHeight="1" x14ac:dyDescent="0.2">
      <c r="A131" s="51">
        <v>130</v>
      </c>
      <c r="B131" s="50" t="s">
        <v>1019</v>
      </c>
      <c r="C131" s="51">
        <v>58</v>
      </c>
      <c r="D131" s="51" t="s">
        <v>25</v>
      </c>
      <c r="E131" s="43" t="s">
        <v>1020</v>
      </c>
      <c r="F131" s="44" t="s">
        <v>60</v>
      </c>
      <c r="G131" s="51">
        <v>86</v>
      </c>
      <c r="H131" s="43">
        <v>44134</v>
      </c>
      <c r="I131" s="44" t="s">
        <v>1002</v>
      </c>
      <c r="J131" s="43">
        <v>44134</v>
      </c>
      <c r="K131" s="42" t="s">
        <v>36</v>
      </c>
      <c r="L131" s="42">
        <v>27</v>
      </c>
      <c r="M131" s="45" t="s">
        <v>31</v>
      </c>
      <c r="N131" s="44" t="s">
        <v>60</v>
      </c>
      <c r="O131" s="44" t="s">
        <v>60</v>
      </c>
      <c r="P131" s="42" t="s">
        <v>60</v>
      </c>
      <c r="Q131" s="42" t="s">
        <v>60</v>
      </c>
      <c r="R131" s="46" t="s">
        <v>60</v>
      </c>
      <c r="S131" s="43">
        <v>44134</v>
      </c>
      <c r="T131" s="51">
        <f t="shared" si="4"/>
        <v>3</v>
      </c>
      <c r="U131" s="52" t="str">
        <f t="shared" si="6"/>
        <v>Não Detectável</v>
      </c>
    </row>
    <row r="132" spans="1:21" ht="25.5" customHeight="1" x14ac:dyDescent="0.2">
      <c r="A132" s="51">
        <v>131</v>
      </c>
      <c r="B132" s="50" t="s">
        <v>1021</v>
      </c>
      <c r="C132" s="51">
        <v>28</v>
      </c>
      <c r="D132" s="51" t="s">
        <v>25</v>
      </c>
      <c r="E132" s="43" t="s">
        <v>1020</v>
      </c>
      <c r="F132" s="44" t="s">
        <v>60</v>
      </c>
      <c r="G132" s="51">
        <v>86</v>
      </c>
      <c r="H132" s="43">
        <v>44134</v>
      </c>
      <c r="I132" s="44" t="s">
        <v>1002</v>
      </c>
      <c r="J132" s="43">
        <v>44134</v>
      </c>
      <c r="K132" s="42" t="s">
        <v>36</v>
      </c>
      <c r="L132" s="42">
        <v>27</v>
      </c>
      <c r="M132" s="45" t="s">
        <v>31</v>
      </c>
      <c r="N132" s="44" t="s">
        <v>60</v>
      </c>
      <c r="O132" s="44" t="s">
        <v>60</v>
      </c>
      <c r="P132" s="42" t="s">
        <v>60</v>
      </c>
      <c r="Q132" s="42" t="s">
        <v>60</v>
      </c>
      <c r="R132" s="46" t="s">
        <v>60</v>
      </c>
      <c r="S132" s="43">
        <v>44134</v>
      </c>
      <c r="T132" s="51">
        <f t="shared" ref="T132:T195" si="7">COUNTIF(G:G,G132)</f>
        <v>3</v>
      </c>
      <c r="U132" s="52" t="str">
        <f t="shared" si="6"/>
        <v>Não Detectável</v>
      </c>
    </row>
    <row r="133" spans="1:21" ht="25.5" customHeight="1" x14ac:dyDescent="0.2">
      <c r="A133" s="51">
        <v>132</v>
      </c>
      <c r="B133" s="50" t="s">
        <v>1022</v>
      </c>
      <c r="C133" s="51">
        <v>42</v>
      </c>
      <c r="D133" s="51" t="s">
        <v>25</v>
      </c>
      <c r="E133" s="43" t="s">
        <v>1020</v>
      </c>
      <c r="F133" s="44" t="s">
        <v>60</v>
      </c>
      <c r="G133" s="51">
        <v>86</v>
      </c>
      <c r="H133" s="43">
        <v>44134</v>
      </c>
      <c r="I133" s="44" t="s">
        <v>1002</v>
      </c>
      <c r="J133" s="43">
        <v>44134</v>
      </c>
      <c r="K133" s="42" t="s">
        <v>36</v>
      </c>
      <c r="L133" s="42">
        <v>27</v>
      </c>
      <c r="M133" s="45" t="s">
        <v>31</v>
      </c>
      <c r="N133" s="44" t="s">
        <v>60</v>
      </c>
      <c r="O133" s="44" t="s">
        <v>60</v>
      </c>
      <c r="P133" s="42" t="s">
        <v>60</v>
      </c>
      <c r="Q133" s="42" t="s">
        <v>60</v>
      </c>
      <c r="R133" s="46" t="s">
        <v>60</v>
      </c>
      <c r="S133" s="43">
        <v>44134</v>
      </c>
      <c r="T133" s="51">
        <f t="shared" si="7"/>
        <v>3</v>
      </c>
      <c r="U133" s="52" t="str">
        <f t="shared" si="6"/>
        <v>Não Detectável</v>
      </c>
    </row>
    <row r="134" spans="1:21" ht="25.5" customHeight="1" x14ac:dyDescent="0.2">
      <c r="A134" s="51">
        <v>133</v>
      </c>
      <c r="B134" s="50" t="s">
        <v>1023</v>
      </c>
      <c r="C134" s="51">
        <v>31</v>
      </c>
      <c r="D134" s="51" t="s">
        <v>34</v>
      </c>
      <c r="E134" s="43" t="s">
        <v>1020</v>
      </c>
      <c r="F134" s="44" t="s">
        <v>60</v>
      </c>
      <c r="G134" s="51">
        <v>87</v>
      </c>
      <c r="H134" s="43">
        <v>44134</v>
      </c>
      <c r="I134" s="44" t="s">
        <v>1002</v>
      </c>
      <c r="J134" s="43">
        <v>44134</v>
      </c>
      <c r="K134" s="42" t="s">
        <v>36</v>
      </c>
      <c r="L134" s="42">
        <v>27.5</v>
      </c>
      <c r="M134" s="45" t="s">
        <v>31</v>
      </c>
      <c r="N134" s="44" t="s">
        <v>60</v>
      </c>
      <c r="O134" s="44" t="s">
        <v>60</v>
      </c>
      <c r="P134" s="42" t="s">
        <v>60</v>
      </c>
      <c r="Q134" s="42" t="s">
        <v>60</v>
      </c>
      <c r="R134" s="46" t="s">
        <v>60</v>
      </c>
      <c r="S134" s="43">
        <v>44134</v>
      </c>
      <c r="T134" s="51">
        <f t="shared" si="7"/>
        <v>3</v>
      </c>
      <c r="U134" s="52" t="str">
        <f t="shared" si="6"/>
        <v>Não Detectável</v>
      </c>
    </row>
    <row r="135" spans="1:21" ht="25.5" customHeight="1" x14ac:dyDescent="0.2">
      <c r="A135" s="51">
        <v>134</v>
      </c>
      <c r="B135" s="50" t="s">
        <v>1024</v>
      </c>
      <c r="C135" s="51">
        <v>20</v>
      </c>
      <c r="D135" s="51" t="s">
        <v>34</v>
      </c>
      <c r="E135" s="43" t="s">
        <v>1020</v>
      </c>
      <c r="F135" s="44" t="s">
        <v>60</v>
      </c>
      <c r="G135" s="51">
        <v>87</v>
      </c>
      <c r="H135" s="43">
        <v>44134</v>
      </c>
      <c r="I135" s="44" t="s">
        <v>1002</v>
      </c>
      <c r="J135" s="43">
        <v>44134</v>
      </c>
      <c r="K135" s="42" t="s">
        <v>36</v>
      </c>
      <c r="L135" s="42">
        <v>27.5</v>
      </c>
      <c r="M135" s="45" t="s">
        <v>31</v>
      </c>
      <c r="N135" s="44" t="s">
        <v>60</v>
      </c>
      <c r="O135" s="44" t="s">
        <v>60</v>
      </c>
      <c r="P135" s="42" t="s">
        <v>60</v>
      </c>
      <c r="Q135" s="42" t="s">
        <v>60</v>
      </c>
      <c r="R135" s="46" t="s">
        <v>60</v>
      </c>
      <c r="S135" s="43">
        <v>44134</v>
      </c>
      <c r="T135" s="51">
        <f t="shared" si="7"/>
        <v>3</v>
      </c>
      <c r="U135" s="52" t="str">
        <f t="shared" si="6"/>
        <v>Não Detectável</v>
      </c>
    </row>
    <row r="136" spans="1:21" ht="25.5" customHeight="1" x14ac:dyDescent="0.2">
      <c r="A136" s="51">
        <v>135</v>
      </c>
      <c r="B136" s="50" t="s">
        <v>1025</v>
      </c>
      <c r="C136" s="51">
        <v>40</v>
      </c>
      <c r="D136" s="51" t="s">
        <v>25</v>
      </c>
      <c r="E136" s="43" t="s">
        <v>1020</v>
      </c>
      <c r="F136" s="44" t="s">
        <v>60</v>
      </c>
      <c r="G136" s="51">
        <v>87</v>
      </c>
      <c r="H136" s="43">
        <v>44134</v>
      </c>
      <c r="I136" s="44" t="s">
        <v>1002</v>
      </c>
      <c r="J136" s="43">
        <v>44134</v>
      </c>
      <c r="K136" s="42" t="s">
        <v>36</v>
      </c>
      <c r="L136" s="42">
        <v>27.5</v>
      </c>
      <c r="M136" s="45" t="s">
        <v>31</v>
      </c>
      <c r="N136" s="44" t="s">
        <v>60</v>
      </c>
      <c r="O136" s="44" t="s">
        <v>60</v>
      </c>
      <c r="P136" s="42" t="s">
        <v>60</v>
      </c>
      <c r="Q136" s="42" t="s">
        <v>60</v>
      </c>
      <c r="R136" s="46" t="s">
        <v>60</v>
      </c>
      <c r="S136" s="43">
        <v>44134</v>
      </c>
      <c r="T136" s="51">
        <f t="shared" si="7"/>
        <v>3</v>
      </c>
      <c r="U136" s="52" t="str">
        <f>IF(M136="Não Detectável","Não Detectável",IF(R122="","",R122))</f>
        <v>Não Detectável</v>
      </c>
    </row>
    <row r="137" spans="1:21" ht="25.5" customHeight="1" x14ac:dyDescent="0.2">
      <c r="A137" s="51">
        <v>136</v>
      </c>
      <c r="B137" s="50" t="s">
        <v>1026</v>
      </c>
      <c r="C137" s="51">
        <v>32</v>
      </c>
      <c r="D137" s="51" t="s">
        <v>25</v>
      </c>
      <c r="E137" s="43" t="s">
        <v>1020</v>
      </c>
      <c r="F137" s="44" t="s">
        <v>60</v>
      </c>
      <c r="G137" s="51">
        <v>88</v>
      </c>
      <c r="H137" s="43">
        <v>44134</v>
      </c>
      <c r="I137" s="44" t="s">
        <v>1010</v>
      </c>
      <c r="J137" s="43">
        <v>44138</v>
      </c>
      <c r="K137" s="42" t="s">
        <v>36</v>
      </c>
      <c r="L137" s="42">
        <v>24.6</v>
      </c>
      <c r="M137" s="45" t="s">
        <v>31</v>
      </c>
      <c r="N137" s="44" t="s">
        <v>60</v>
      </c>
      <c r="O137" s="44" t="s">
        <v>60</v>
      </c>
      <c r="P137" s="42" t="s">
        <v>60</v>
      </c>
      <c r="Q137" s="42" t="s">
        <v>60</v>
      </c>
      <c r="R137" s="46" t="s">
        <v>60</v>
      </c>
      <c r="S137" s="43">
        <v>44138</v>
      </c>
      <c r="T137" s="51">
        <f t="shared" si="7"/>
        <v>3</v>
      </c>
      <c r="U137" s="52" t="str">
        <f t="shared" ref="U137:U145" si="8">IF(M137="Não Detectável","Não Detectável",IF(R137="","",R137))</f>
        <v>Não Detectável</v>
      </c>
    </row>
    <row r="138" spans="1:21" ht="25.5" customHeight="1" x14ac:dyDescent="0.2">
      <c r="A138" s="51">
        <v>137</v>
      </c>
      <c r="B138" s="50" t="s">
        <v>1027</v>
      </c>
      <c r="C138" s="51">
        <v>35</v>
      </c>
      <c r="D138" s="51" t="s">
        <v>25</v>
      </c>
      <c r="E138" s="43" t="s">
        <v>1028</v>
      </c>
      <c r="F138" s="44" t="s">
        <v>60</v>
      </c>
      <c r="G138" s="51">
        <v>88</v>
      </c>
      <c r="H138" s="43">
        <v>44138</v>
      </c>
      <c r="I138" s="44" t="s">
        <v>1010</v>
      </c>
      <c r="J138" s="43">
        <v>44138</v>
      </c>
      <c r="K138" s="42" t="s">
        <v>36</v>
      </c>
      <c r="L138" s="42">
        <v>24.6</v>
      </c>
      <c r="M138" s="45" t="s">
        <v>31</v>
      </c>
      <c r="N138" s="44" t="s">
        <v>60</v>
      </c>
      <c r="O138" s="44" t="s">
        <v>60</v>
      </c>
      <c r="P138" s="42" t="s">
        <v>60</v>
      </c>
      <c r="Q138" s="42" t="s">
        <v>60</v>
      </c>
      <c r="R138" s="46" t="s">
        <v>60</v>
      </c>
      <c r="S138" s="43">
        <v>44138</v>
      </c>
      <c r="T138" s="51">
        <f t="shared" si="7"/>
        <v>3</v>
      </c>
      <c r="U138" s="52" t="str">
        <f t="shared" si="8"/>
        <v>Não Detectável</v>
      </c>
    </row>
    <row r="139" spans="1:21" ht="25.5" customHeight="1" x14ac:dyDescent="0.2">
      <c r="A139" s="51">
        <v>138</v>
      </c>
      <c r="B139" s="50" t="s">
        <v>1029</v>
      </c>
      <c r="C139" s="51">
        <v>32</v>
      </c>
      <c r="D139" s="51" t="s">
        <v>34</v>
      </c>
      <c r="E139" s="43" t="s">
        <v>1028</v>
      </c>
      <c r="F139" s="44" t="s">
        <v>60</v>
      </c>
      <c r="G139" s="51">
        <v>88</v>
      </c>
      <c r="H139" s="43">
        <v>44138</v>
      </c>
      <c r="I139" s="44" t="s">
        <v>1010</v>
      </c>
      <c r="J139" s="43">
        <v>44138</v>
      </c>
      <c r="K139" s="42" t="s">
        <v>36</v>
      </c>
      <c r="L139" s="42">
        <v>24.6</v>
      </c>
      <c r="M139" s="45" t="s">
        <v>31</v>
      </c>
      <c r="N139" s="44" t="s">
        <v>60</v>
      </c>
      <c r="O139" s="44" t="s">
        <v>60</v>
      </c>
      <c r="P139" s="42" t="s">
        <v>60</v>
      </c>
      <c r="Q139" s="42" t="s">
        <v>60</v>
      </c>
      <c r="R139" s="46" t="s">
        <v>60</v>
      </c>
      <c r="S139" s="43">
        <v>44138</v>
      </c>
      <c r="T139" s="51">
        <f t="shared" si="7"/>
        <v>3</v>
      </c>
      <c r="U139" s="52" t="str">
        <f t="shared" si="8"/>
        <v>Não Detectável</v>
      </c>
    </row>
    <row r="140" spans="1:21" ht="25.5" customHeight="1" x14ac:dyDescent="0.2">
      <c r="A140" s="51">
        <v>139</v>
      </c>
      <c r="B140" s="50" t="s">
        <v>1030</v>
      </c>
      <c r="C140" s="51">
        <v>64</v>
      </c>
      <c r="D140" s="51" t="s">
        <v>34</v>
      </c>
      <c r="E140" s="43" t="s">
        <v>1028</v>
      </c>
      <c r="F140" s="44" t="s">
        <v>60</v>
      </c>
      <c r="G140" s="51">
        <v>89</v>
      </c>
      <c r="H140" s="43">
        <v>44138</v>
      </c>
      <c r="I140" s="44" t="s">
        <v>1010</v>
      </c>
      <c r="J140" s="43">
        <v>44138</v>
      </c>
      <c r="K140" s="42" t="s">
        <v>36</v>
      </c>
      <c r="L140" s="42">
        <v>27.9</v>
      </c>
      <c r="M140" s="45" t="s">
        <v>31</v>
      </c>
      <c r="N140" s="44" t="s">
        <v>60</v>
      </c>
      <c r="O140" s="44" t="s">
        <v>60</v>
      </c>
      <c r="P140" s="42" t="s">
        <v>60</v>
      </c>
      <c r="Q140" s="42" t="s">
        <v>60</v>
      </c>
      <c r="R140" s="46" t="s">
        <v>60</v>
      </c>
      <c r="S140" s="43">
        <v>44138</v>
      </c>
      <c r="T140" s="51">
        <f t="shared" si="7"/>
        <v>3</v>
      </c>
      <c r="U140" s="52" t="str">
        <f t="shared" si="8"/>
        <v>Não Detectável</v>
      </c>
    </row>
    <row r="141" spans="1:21" ht="25.5" customHeight="1" x14ac:dyDescent="0.2">
      <c r="A141" s="51">
        <v>140</v>
      </c>
      <c r="B141" s="50" t="s">
        <v>1031</v>
      </c>
      <c r="C141" s="51">
        <v>47</v>
      </c>
      <c r="D141" s="51" t="s">
        <v>25</v>
      </c>
      <c r="E141" s="43" t="s">
        <v>1028</v>
      </c>
      <c r="F141" s="44" t="s">
        <v>60</v>
      </c>
      <c r="G141" s="51">
        <v>89</v>
      </c>
      <c r="H141" s="43">
        <v>44138</v>
      </c>
      <c r="I141" s="44" t="s">
        <v>1010</v>
      </c>
      <c r="J141" s="43">
        <v>44138</v>
      </c>
      <c r="K141" s="42" t="s">
        <v>36</v>
      </c>
      <c r="L141" s="42">
        <v>27.9</v>
      </c>
      <c r="M141" s="45" t="s">
        <v>31</v>
      </c>
      <c r="N141" s="44" t="s">
        <v>60</v>
      </c>
      <c r="O141" s="44" t="s">
        <v>60</v>
      </c>
      <c r="P141" s="42" t="s">
        <v>60</v>
      </c>
      <c r="Q141" s="42" t="s">
        <v>60</v>
      </c>
      <c r="R141" s="46" t="s">
        <v>60</v>
      </c>
      <c r="S141" s="43">
        <v>44138</v>
      </c>
      <c r="T141" s="51">
        <f t="shared" si="7"/>
        <v>3</v>
      </c>
      <c r="U141" s="52" t="str">
        <f t="shared" si="8"/>
        <v>Não Detectável</v>
      </c>
    </row>
    <row r="142" spans="1:21" ht="25.5" customHeight="1" x14ac:dyDescent="0.2">
      <c r="A142" s="51">
        <v>141</v>
      </c>
      <c r="B142" s="50" t="s">
        <v>1032</v>
      </c>
      <c r="C142" s="51">
        <v>33</v>
      </c>
      <c r="D142" s="51" t="s">
        <v>25</v>
      </c>
      <c r="E142" s="43" t="s">
        <v>1028</v>
      </c>
      <c r="F142" s="44" t="s">
        <v>60</v>
      </c>
      <c r="G142" s="51">
        <v>89</v>
      </c>
      <c r="H142" s="43">
        <v>44138</v>
      </c>
      <c r="I142" s="44" t="s">
        <v>1010</v>
      </c>
      <c r="J142" s="43">
        <v>44138</v>
      </c>
      <c r="K142" s="42" t="s">
        <v>36</v>
      </c>
      <c r="L142" s="42">
        <v>27.9</v>
      </c>
      <c r="M142" s="45" t="s">
        <v>31</v>
      </c>
      <c r="N142" s="44" t="s">
        <v>60</v>
      </c>
      <c r="O142" s="44" t="s">
        <v>60</v>
      </c>
      <c r="P142" s="42" t="s">
        <v>60</v>
      </c>
      <c r="Q142" s="42" t="s">
        <v>60</v>
      </c>
      <c r="R142" s="46" t="s">
        <v>60</v>
      </c>
      <c r="S142" s="43">
        <v>44138</v>
      </c>
      <c r="T142" s="51">
        <f t="shared" si="7"/>
        <v>3</v>
      </c>
      <c r="U142" s="52" t="str">
        <f t="shared" si="8"/>
        <v>Não Detectável</v>
      </c>
    </row>
    <row r="143" spans="1:21" ht="25.5" customHeight="1" x14ac:dyDescent="0.2">
      <c r="A143" s="51">
        <v>142</v>
      </c>
      <c r="B143" s="50" t="s">
        <v>1033</v>
      </c>
      <c r="C143" s="51">
        <v>37</v>
      </c>
      <c r="D143" s="51" t="s">
        <v>25</v>
      </c>
      <c r="E143" s="43" t="s">
        <v>1028</v>
      </c>
      <c r="F143" s="44" t="s">
        <v>60</v>
      </c>
      <c r="G143" s="51">
        <v>90</v>
      </c>
      <c r="H143" s="43">
        <v>44138</v>
      </c>
      <c r="I143" s="44" t="s">
        <v>1010</v>
      </c>
      <c r="J143" s="43">
        <v>44138</v>
      </c>
      <c r="K143" s="42">
        <v>21.9</v>
      </c>
      <c r="L143" s="42">
        <v>26.3</v>
      </c>
      <c r="M143" s="43" t="s">
        <v>29</v>
      </c>
      <c r="N143" s="44" t="s">
        <v>60</v>
      </c>
      <c r="O143" s="44" t="s">
        <v>60</v>
      </c>
      <c r="P143" s="42" t="s">
        <v>60</v>
      </c>
      <c r="Q143" s="42" t="s">
        <v>60</v>
      </c>
      <c r="R143" s="46" t="s">
        <v>60</v>
      </c>
      <c r="S143" s="43" t="s">
        <v>60</v>
      </c>
      <c r="T143" s="51">
        <f t="shared" si="7"/>
        <v>3</v>
      </c>
      <c r="U143" s="52" t="str">
        <f t="shared" si="8"/>
        <v>-</v>
      </c>
    </row>
    <row r="144" spans="1:21" ht="25.5" customHeight="1" x14ac:dyDescent="0.2">
      <c r="A144" s="51">
        <v>143</v>
      </c>
      <c r="B144" s="50" t="s">
        <v>1034</v>
      </c>
      <c r="C144" s="51">
        <v>38</v>
      </c>
      <c r="D144" s="51" t="s">
        <v>34</v>
      </c>
      <c r="E144" s="43" t="s">
        <v>1028</v>
      </c>
      <c r="F144" s="44" t="s">
        <v>60</v>
      </c>
      <c r="G144" s="51">
        <v>90</v>
      </c>
      <c r="H144" s="43">
        <v>44138</v>
      </c>
      <c r="I144" s="44" t="s">
        <v>1010</v>
      </c>
      <c r="J144" s="43">
        <v>44138</v>
      </c>
      <c r="K144" s="42">
        <v>21.9</v>
      </c>
      <c r="L144" s="42">
        <v>26.3</v>
      </c>
      <c r="M144" s="43" t="s">
        <v>29</v>
      </c>
      <c r="N144" s="44" t="s">
        <v>1035</v>
      </c>
      <c r="O144" s="43">
        <v>44139</v>
      </c>
      <c r="P144" s="42" t="s">
        <v>36</v>
      </c>
      <c r="Q144" s="42">
        <v>28.67</v>
      </c>
      <c r="R144" s="46" t="s">
        <v>31</v>
      </c>
      <c r="S144" s="43">
        <v>44139</v>
      </c>
      <c r="T144" s="51">
        <f t="shared" si="7"/>
        <v>3</v>
      </c>
      <c r="U144" s="52" t="str">
        <f t="shared" si="8"/>
        <v>Não Detectável</v>
      </c>
    </row>
    <row r="145" spans="1:21" ht="25.5" customHeight="1" x14ac:dyDescent="0.2">
      <c r="A145" s="51">
        <v>144</v>
      </c>
      <c r="B145" s="50" t="s">
        <v>1036</v>
      </c>
      <c r="C145" s="51">
        <v>31</v>
      </c>
      <c r="D145" s="51" t="s">
        <v>25</v>
      </c>
      <c r="E145" s="43" t="s">
        <v>1028</v>
      </c>
      <c r="F145" s="44" t="s">
        <v>60</v>
      </c>
      <c r="G145" s="51">
        <v>90</v>
      </c>
      <c r="H145" s="43">
        <v>44138</v>
      </c>
      <c r="I145" s="44" t="s">
        <v>1010</v>
      </c>
      <c r="J145" s="43">
        <v>44138</v>
      </c>
      <c r="K145" s="42">
        <v>21.9</v>
      </c>
      <c r="L145" s="42">
        <v>26.3</v>
      </c>
      <c r="M145" s="43" t="s">
        <v>29</v>
      </c>
      <c r="N145" s="44" t="s">
        <v>1035</v>
      </c>
      <c r="O145" s="43">
        <v>44139</v>
      </c>
      <c r="P145" s="42">
        <v>19.981000000000002</v>
      </c>
      <c r="Q145" s="42">
        <v>27.15</v>
      </c>
      <c r="R145" s="46" t="s">
        <v>29</v>
      </c>
      <c r="S145" s="43">
        <v>44139</v>
      </c>
      <c r="T145" s="51">
        <f t="shared" si="7"/>
        <v>3</v>
      </c>
      <c r="U145" s="52" t="str">
        <f t="shared" si="8"/>
        <v>Detectável</v>
      </c>
    </row>
    <row r="146" spans="1:21" ht="25.5" customHeight="1" x14ac:dyDescent="0.2">
      <c r="A146" s="51">
        <v>145</v>
      </c>
      <c r="B146" s="50" t="s">
        <v>1037</v>
      </c>
      <c r="C146" s="51">
        <v>25</v>
      </c>
      <c r="D146" s="51" t="s">
        <v>34</v>
      </c>
      <c r="E146" s="43" t="s">
        <v>1028</v>
      </c>
      <c r="F146" s="44" t="s">
        <v>60</v>
      </c>
      <c r="G146" s="51">
        <v>91</v>
      </c>
      <c r="H146" s="43">
        <v>44138</v>
      </c>
      <c r="I146" s="44" t="s">
        <v>1035</v>
      </c>
      <c r="J146" s="43">
        <v>44139</v>
      </c>
      <c r="K146" s="42" t="s">
        <v>36</v>
      </c>
      <c r="L146" s="42">
        <v>25.837</v>
      </c>
      <c r="M146" s="45" t="s">
        <v>31</v>
      </c>
      <c r="N146" s="44" t="s">
        <v>60</v>
      </c>
      <c r="O146" s="44" t="s">
        <v>60</v>
      </c>
      <c r="P146" s="42" t="s">
        <v>60</v>
      </c>
      <c r="Q146" s="42" t="s">
        <v>60</v>
      </c>
      <c r="R146" s="46" t="s">
        <v>60</v>
      </c>
      <c r="S146" s="43" t="s">
        <v>60</v>
      </c>
      <c r="T146" s="51">
        <f t="shared" si="7"/>
        <v>3</v>
      </c>
      <c r="U146" s="52" t="s">
        <v>60</v>
      </c>
    </row>
    <row r="147" spans="1:21" ht="25.5" customHeight="1" x14ac:dyDescent="0.2">
      <c r="A147" s="51">
        <v>146</v>
      </c>
      <c r="B147" s="50" t="s">
        <v>1038</v>
      </c>
      <c r="C147" s="51">
        <v>31</v>
      </c>
      <c r="D147" s="51" t="s">
        <v>25</v>
      </c>
      <c r="E147" s="43">
        <v>44138</v>
      </c>
      <c r="F147" s="44" t="s">
        <v>60</v>
      </c>
      <c r="G147" s="51">
        <v>91</v>
      </c>
      <c r="H147" s="43">
        <v>44139</v>
      </c>
      <c r="I147" s="44" t="s">
        <v>1035</v>
      </c>
      <c r="J147" s="43">
        <v>44139</v>
      </c>
      <c r="K147" s="42" t="s">
        <v>36</v>
      </c>
      <c r="L147" s="42">
        <v>25.837</v>
      </c>
      <c r="M147" s="45" t="s">
        <v>31</v>
      </c>
      <c r="N147" s="44" t="s">
        <v>60</v>
      </c>
      <c r="O147" s="44" t="s">
        <v>60</v>
      </c>
      <c r="P147" s="42" t="s">
        <v>60</v>
      </c>
      <c r="Q147" s="42" t="s">
        <v>60</v>
      </c>
      <c r="R147" s="46" t="s">
        <v>60</v>
      </c>
      <c r="S147" s="43">
        <v>44139</v>
      </c>
      <c r="T147" s="51">
        <f t="shared" si="7"/>
        <v>3</v>
      </c>
      <c r="U147" s="52" t="str">
        <f t="shared" ref="U147:U178" si="9">IF(M147="Não Detectável","Não Detectável",IF(R147="","",R147))</f>
        <v>Não Detectável</v>
      </c>
    </row>
    <row r="148" spans="1:21" ht="25.5" customHeight="1" x14ac:dyDescent="0.2">
      <c r="A148" s="51">
        <v>147</v>
      </c>
      <c r="B148" s="50" t="s">
        <v>1039</v>
      </c>
      <c r="C148" s="51">
        <v>39</v>
      </c>
      <c r="D148" s="51" t="s">
        <v>25</v>
      </c>
      <c r="E148" s="43">
        <v>44138</v>
      </c>
      <c r="F148" s="44" t="s">
        <v>60</v>
      </c>
      <c r="G148" s="51">
        <v>91</v>
      </c>
      <c r="H148" s="43">
        <v>44139</v>
      </c>
      <c r="I148" s="44" t="s">
        <v>1035</v>
      </c>
      <c r="J148" s="43">
        <v>44139</v>
      </c>
      <c r="K148" s="42" t="s">
        <v>36</v>
      </c>
      <c r="L148" s="42">
        <v>25.837</v>
      </c>
      <c r="M148" s="45" t="s">
        <v>31</v>
      </c>
      <c r="N148" s="44" t="s">
        <v>60</v>
      </c>
      <c r="O148" s="44" t="s">
        <v>60</v>
      </c>
      <c r="P148" s="42" t="s">
        <v>60</v>
      </c>
      <c r="Q148" s="42" t="s">
        <v>60</v>
      </c>
      <c r="R148" s="46" t="s">
        <v>60</v>
      </c>
      <c r="S148" s="43">
        <v>44139</v>
      </c>
      <c r="T148" s="51">
        <f t="shared" si="7"/>
        <v>3</v>
      </c>
      <c r="U148" s="52" t="str">
        <f t="shared" si="9"/>
        <v>Não Detectável</v>
      </c>
    </row>
    <row r="149" spans="1:21" ht="25.5" customHeight="1" x14ac:dyDescent="0.2">
      <c r="A149" s="51">
        <v>148</v>
      </c>
      <c r="B149" s="50" t="s">
        <v>1040</v>
      </c>
      <c r="C149" s="51">
        <v>41</v>
      </c>
      <c r="D149" s="51" t="s">
        <v>34</v>
      </c>
      <c r="E149" s="43">
        <v>44138</v>
      </c>
      <c r="F149" s="44" t="s">
        <v>60</v>
      </c>
      <c r="G149" s="51">
        <v>92</v>
      </c>
      <c r="H149" s="43">
        <v>44139</v>
      </c>
      <c r="I149" s="44" t="s">
        <v>1035</v>
      </c>
      <c r="J149" s="43">
        <v>44139</v>
      </c>
      <c r="K149" s="42" t="s">
        <v>36</v>
      </c>
      <c r="L149" s="42">
        <v>26.856000000000002</v>
      </c>
      <c r="M149" s="45" t="s">
        <v>31</v>
      </c>
      <c r="N149" s="44" t="s">
        <v>60</v>
      </c>
      <c r="O149" s="44" t="s">
        <v>60</v>
      </c>
      <c r="P149" s="42" t="s">
        <v>60</v>
      </c>
      <c r="Q149" s="42" t="s">
        <v>60</v>
      </c>
      <c r="R149" s="46" t="s">
        <v>60</v>
      </c>
      <c r="S149" s="43">
        <v>44139</v>
      </c>
      <c r="T149" s="51">
        <f t="shared" si="7"/>
        <v>3</v>
      </c>
      <c r="U149" s="52" t="str">
        <f t="shared" si="9"/>
        <v>Não Detectável</v>
      </c>
    </row>
    <row r="150" spans="1:21" ht="25.5" customHeight="1" x14ac:dyDescent="0.2">
      <c r="A150" s="51">
        <v>149</v>
      </c>
      <c r="B150" s="50" t="s">
        <v>1041</v>
      </c>
      <c r="C150" s="51">
        <v>51</v>
      </c>
      <c r="D150" s="51" t="s">
        <v>34</v>
      </c>
      <c r="E150" s="43">
        <v>44138</v>
      </c>
      <c r="F150" s="44" t="s">
        <v>60</v>
      </c>
      <c r="G150" s="51">
        <v>92</v>
      </c>
      <c r="H150" s="43">
        <v>44139</v>
      </c>
      <c r="I150" s="44" t="s">
        <v>1035</v>
      </c>
      <c r="J150" s="43">
        <v>44139</v>
      </c>
      <c r="K150" s="42" t="s">
        <v>36</v>
      </c>
      <c r="L150" s="42">
        <v>26.856000000000002</v>
      </c>
      <c r="M150" s="45" t="s">
        <v>31</v>
      </c>
      <c r="N150" s="44" t="s">
        <v>60</v>
      </c>
      <c r="O150" s="44" t="s">
        <v>60</v>
      </c>
      <c r="P150" s="42" t="s">
        <v>60</v>
      </c>
      <c r="Q150" s="42" t="s">
        <v>60</v>
      </c>
      <c r="R150" s="46" t="s">
        <v>60</v>
      </c>
      <c r="S150" s="43">
        <v>44139</v>
      </c>
      <c r="T150" s="51">
        <f t="shared" si="7"/>
        <v>3</v>
      </c>
      <c r="U150" s="52" t="str">
        <f t="shared" si="9"/>
        <v>Não Detectável</v>
      </c>
    </row>
    <row r="151" spans="1:21" ht="25.5" customHeight="1" x14ac:dyDescent="0.2">
      <c r="A151" s="51">
        <v>150</v>
      </c>
      <c r="B151" s="50" t="s">
        <v>1042</v>
      </c>
      <c r="C151" s="51">
        <v>22</v>
      </c>
      <c r="D151" s="51" t="s">
        <v>25</v>
      </c>
      <c r="E151" s="43">
        <v>44138</v>
      </c>
      <c r="F151" s="44" t="s">
        <v>60</v>
      </c>
      <c r="G151" s="51">
        <v>92</v>
      </c>
      <c r="H151" s="43">
        <v>44139</v>
      </c>
      <c r="I151" s="44" t="s">
        <v>1035</v>
      </c>
      <c r="J151" s="43">
        <v>44139</v>
      </c>
      <c r="K151" s="42" t="s">
        <v>36</v>
      </c>
      <c r="L151" s="42">
        <v>26.856000000000002</v>
      </c>
      <c r="M151" s="45" t="s">
        <v>31</v>
      </c>
      <c r="N151" s="44" t="s">
        <v>60</v>
      </c>
      <c r="O151" s="44" t="s">
        <v>60</v>
      </c>
      <c r="P151" s="42" t="s">
        <v>60</v>
      </c>
      <c r="Q151" s="42" t="s">
        <v>60</v>
      </c>
      <c r="R151" s="46" t="s">
        <v>60</v>
      </c>
      <c r="S151" s="43">
        <v>44139</v>
      </c>
      <c r="T151" s="51">
        <f t="shared" si="7"/>
        <v>3</v>
      </c>
      <c r="U151" s="52" t="str">
        <f t="shared" si="9"/>
        <v>Não Detectável</v>
      </c>
    </row>
    <row r="152" spans="1:21" ht="25.5" customHeight="1" x14ac:dyDescent="0.2">
      <c r="A152" s="51">
        <v>151</v>
      </c>
      <c r="B152" s="50" t="s">
        <v>1043</v>
      </c>
      <c r="C152" s="51">
        <v>26</v>
      </c>
      <c r="D152" s="51" t="s">
        <v>34</v>
      </c>
      <c r="E152" s="43">
        <v>44138</v>
      </c>
      <c r="F152" s="44" t="s">
        <v>60</v>
      </c>
      <c r="G152" s="51">
        <v>93</v>
      </c>
      <c r="H152" s="43">
        <v>44139</v>
      </c>
      <c r="I152" s="44" t="s">
        <v>1035</v>
      </c>
      <c r="J152" s="43">
        <v>44139</v>
      </c>
      <c r="K152" s="42">
        <v>31.535</v>
      </c>
      <c r="L152" s="42">
        <v>26.396999999999998</v>
      </c>
      <c r="M152" s="43" t="s">
        <v>29</v>
      </c>
      <c r="N152" s="44" t="s">
        <v>1044</v>
      </c>
      <c r="O152" s="43">
        <v>44140</v>
      </c>
      <c r="P152" s="42" t="s">
        <v>36</v>
      </c>
      <c r="Q152" s="42">
        <v>26.053000000000001</v>
      </c>
      <c r="R152" s="46" t="s">
        <v>31</v>
      </c>
      <c r="S152" s="43">
        <v>44140</v>
      </c>
      <c r="T152" s="51">
        <f t="shared" si="7"/>
        <v>3</v>
      </c>
      <c r="U152" s="52" t="str">
        <f t="shared" si="9"/>
        <v>Não Detectável</v>
      </c>
    </row>
    <row r="153" spans="1:21" ht="25.5" customHeight="1" x14ac:dyDescent="0.2">
      <c r="A153" s="51">
        <v>152</v>
      </c>
      <c r="B153" s="50" t="s">
        <v>1045</v>
      </c>
      <c r="C153" s="51">
        <v>19</v>
      </c>
      <c r="D153" s="51" t="s">
        <v>25</v>
      </c>
      <c r="E153" s="43">
        <v>44138</v>
      </c>
      <c r="F153" s="44" t="s">
        <v>60</v>
      </c>
      <c r="G153" s="51">
        <v>93</v>
      </c>
      <c r="H153" s="43">
        <v>44139</v>
      </c>
      <c r="I153" s="44" t="s">
        <v>1035</v>
      </c>
      <c r="J153" s="43">
        <v>44139</v>
      </c>
      <c r="K153" s="42">
        <v>31.535</v>
      </c>
      <c r="L153" s="42">
        <v>26.396999999999998</v>
      </c>
      <c r="M153" s="43" t="s">
        <v>29</v>
      </c>
      <c r="N153" s="44" t="s">
        <v>1044</v>
      </c>
      <c r="O153" s="43">
        <v>44140</v>
      </c>
      <c r="P153" s="42" t="s">
        <v>36</v>
      </c>
      <c r="Q153" s="42">
        <v>27.658999999999999</v>
      </c>
      <c r="R153" s="46" t="s">
        <v>31</v>
      </c>
      <c r="S153" s="43">
        <v>44140</v>
      </c>
      <c r="T153" s="51">
        <f t="shared" si="7"/>
        <v>3</v>
      </c>
      <c r="U153" s="52" t="str">
        <f t="shared" si="9"/>
        <v>Não Detectável</v>
      </c>
    </row>
    <row r="154" spans="1:21" ht="25.5" customHeight="1" x14ac:dyDescent="0.2">
      <c r="A154" s="51">
        <v>153</v>
      </c>
      <c r="B154" s="50" t="s">
        <v>1046</v>
      </c>
      <c r="C154" s="51">
        <v>26</v>
      </c>
      <c r="D154" s="51" t="s">
        <v>25</v>
      </c>
      <c r="E154" s="43">
        <v>44138</v>
      </c>
      <c r="F154" s="44" t="s">
        <v>60</v>
      </c>
      <c r="G154" s="51">
        <v>93</v>
      </c>
      <c r="H154" s="43">
        <v>44139</v>
      </c>
      <c r="I154" s="44" t="s">
        <v>1035</v>
      </c>
      <c r="J154" s="43">
        <v>44139</v>
      </c>
      <c r="K154" s="42">
        <v>31.535</v>
      </c>
      <c r="L154" s="42">
        <v>26.396999999999998</v>
      </c>
      <c r="M154" s="43" t="s">
        <v>29</v>
      </c>
      <c r="N154" s="44" t="s">
        <v>1044</v>
      </c>
      <c r="O154" s="43">
        <v>44140</v>
      </c>
      <c r="P154" s="42">
        <v>28.754000000000001</v>
      </c>
      <c r="Q154" s="42">
        <v>26.661999999999999</v>
      </c>
      <c r="R154" s="46" t="s">
        <v>29</v>
      </c>
      <c r="S154" s="43">
        <v>44140</v>
      </c>
      <c r="T154" s="51">
        <f t="shared" si="7"/>
        <v>3</v>
      </c>
      <c r="U154" s="52" t="str">
        <f t="shared" si="9"/>
        <v>Detectável</v>
      </c>
    </row>
    <row r="155" spans="1:21" ht="25.5" customHeight="1" x14ac:dyDescent="0.2">
      <c r="A155" s="51">
        <v>154</v>
      </c>
      <c r="B155" s="50" t="s">
        <v>1047</v>
      </c>
      <c r="C155" s="51">
        <v>24</v>
      </c>
      <c r="D155" s="51" t="s">
        <v>34</v>
      </c>
      <c r="E155" s="43">
        <v>44138</v>
      </c>
      <c r="F155" s="44" t="s">
        <v>60</v>
      </c>
      <c r="G155" s="51">
        <v>94</v>
      </c>
      <c r="H155" s="43">
        <v>44139</v>
      </c>
      <c r="I155" s="44" t="s">
        <v>1044</v>
      </c>
      <c r="J155" s="43">
        <v>44140</v>
      </c>
      <c r="K155" s="42">
        <v>22.167000000000002</v>
      </c>
      <c r="L155" s="42">
        <v>27.298999999999999</v>
      </c>
      <c r="M155" s="43" t="s">
        <v>29</v>
      </c>
      <c r="N155" s="44" t="s">
        <v>1048</v>
      </c>
      <c r="O155" s="43">
        <v>44141</v>
      </c>
      <c r="P155" s="42" t="s">
        <v>36</v>
      </c>
      <c r="Q155" s="42">
        <v>26.6</v>
      </c>
      <c r="R155" s="46" t="s">
        <v>31</v>
      </c>
      <c r="S155" s="43">
        <v>44141</v>
      </c>
      <c r="T155" s="51">
        <f t="shared" si="7"/>
        <v>3</v>
      </c>
      <c r="U155" s="52" t="str">
        <f t="shared" si="9"/>
        <v>Não Detectável</v>
      </c>
    </row>
    <row r="156" spans="1:21" ht="25.5" customHeight="1" x14ac:dyDescent="0.2">
      <c r="A156" s="51">
        <v>155</v>
      </c>
      <c r="B156" s="50" t="s">
        <v>1049</v>
      </c>
      <c r="C156" s="51">
        <v>27</v>
      </c>
      <c r="D156" s="51" t="s">
        <v>25</v>
      </c>
      <c r="E156" s="43">
        <v>44138</v>
      </c>
      <c r="F156" s="44" t="s">
        <v>60</v>
      </c>
      <c r="G156" s="51">
        <v>94</v>
      </c>
      <c r="H156" s="43">
        <v>44139</v>
      </c>
      <c r="I156" s="44" t="s">
        <v>1044</v>
      </c>
      <c r="J156" s="43">
        <v>44140</v>
      </c>
      <c r="K156" s="42">
        <v>22.167000000000002</v>
      </c>
      <c r="L156" s="42">
        <v>27.298999999999999</v>
      </c>
      <c r="M156" s="43" t="s">
        <v>29</v>
      </c>
      <c r="N156" s="44" t="s">
        <v>1048</v>
      </c>
      <c r="O156" s="43">
        <v>44141</v>
      </c>
      <c r="P156" s="42" t="s">
        <v>36</v>
      </c>
      <c r="Q156" s="42">
        <v>26.9</v>
      </c>
      <c r="R156" s="46" t="s">
        <v>31</v>
      </c>
      <c r="S156" s="43">
        <v>44141</v>
      </c>
      <c r="T156" s="51">
        <f t="shared" si="7"/>
        <v>3</v>
      </c>
      <c r="U156" s="52" t="str">
        <f t="shared" si="9"/>
        <v>Não Detectável</v>
      </c>
    </row>
    <row r="157" spans="1:21" ht="25.5" customHeight="1" x14ac:dyDescent="0.2">
      <c r="A157" s="51">
        <v>156</v>
      </c>
      <c r="B157" s="50" t="s">
        <v>1050</v>
      </c>
      <c r="C157" s="51">
        <v>47</v>
      </c>
      <c r="D157" s="51" t="s">
        <v>34</v>
      </c>
      <c r="E157" s="43">
        <v>44139</v>
      </c>
      <c r="F157" s="44" t="s">
        <v>60</v>
      </c>
      <c r="G157" s="51">
        <v>94</v>
      </c>
      <c r="H157" s="43">
        <v>44140</v>
      </c>
      <c r="I157" s="44" t="s">
        <v>1044</v>
      </c>
      <c r="J157" s="43">
        <v>44140</v>
      </c>
      <c r="K157" s="42">
        <v>22.167000000000002</v>
      </c>
      <c r="L157" s="42">
        <v>27.298999999999999</v>
      </c>
      <c r="M157" s="43" t="s">
        <v>29</v>
      </c>
      <c r="N157" s="44" t="s">
        <v>1048</v>
      </c>
      <c r="O157" s="43">
        <v>44141</v>
      </c>
      <c r="P157" s="42">
        <v>19.899999999999999</v>
      </c>
      <c r="Q157" s="42">
        <v>28.6</v>
      </c>
      <c r="R157" s="46" t="s">
        <v>29</v>
      </c>
      <c r="S157" s="43">
        <v>44141</v>
      </c>
      <c r="T157" s="51">
        <f t="shared" si="7"/>
        <v>3</v>
      </c>
      <c r="U157" s="52" t="str">
        <f t="shared" si="9"/>
        <v>Detectável</v>
      </c>
    </row>
    <row r="158" spans="1:21" ht="25.5" customHeight="1" x14ac:dyDescent="0.2">
      <c r="A158" s="51">
        <v>157</v>
      </c>
      <c r="B158" s="50" t="s">
        <v>1051</v>
      </c>
      <c r="C158" s="51">
        <v>23</v>
      </c>
      <c r="D158" s="51" t="s">
        <v>34</v>
      </c>
      <c r="E158" s="43">
        <v>44139</v>
      </c>
      <c r="F158" s="44" t="s">
        <v>60</v>
      </c>
      <c r="G158" s="51">
        <v>95</v>
      </c>
      <c r="H158" s="43">
        <v>44140</v>
      </c>
      <c r="I158" s="44" t="s">
        <v>1044</v>
      </c>
      <c r="J158" s="43">
        <v>44140</v>
      </c>
      <c r="K158" s="42" t="s">
        <v>36</v>
      </c>
      <c r="L158" s="42">
        <v>27.007000000000001</v>
      </c>
      <c r="M158" s="45" t="s">
        <v>31</v>
      </c>
      <c r="N158" s="44" t="s">
        <v>60</v>
      </c>
      <c r="O158" s="44" t="s">
        <v>60</v>
      </c>
      <c r="P158" s="42" t="s">
        <v>60</v>
      </c>
      <c r="Q158" s="42" t="s">
        <v>60</v>
      </c>
      <c r="R158" s="46" t="s">
        <v>60</v>
      </c>
      <c r="S158" s="43">
        <v>44140</v>
      </c>
      <c r="T158" s="51">
        <f t="shared" si="7"/>
        <v>3</v>
      </c>
      <c r="U158" s="52" t="str">
        <f t="shared" si="9"/>
        <v>Não Detectável</v>
      </c>
    </row>
    <row r="159" spans="1:21" ht="25.5" customHeight="1" x14ac:dyDescent="0.2">
      <c r="A159" s="51">
        <v>158</v>
      </c>
      <c r="B159" s="50" t="s">
        <v>1052</v>
      </c>
      <c r="C159" s="51">
        <v>76</v>
      </c>
      <c r="D159" s="51" t="s">
        <v>34</v>
      </c>
      <c r="E159" s="43">
        <v>44139</v>
      </c>
      <c r="F159" s="44" t="s">
        <v>60</v>
      </c>
      <c r="G159" s="51">
        <v>95</v>
      </c>
      <c r="H159" s="43">
        <v>44140</v>
      </c>
      <c r="I159" s="44" t="s">
        <v>1044</v>
      </c>
      <c r="J159" s="43">
        <v>44140</v>
      </c>
      <c r="K159" s="42" t="s">
        <v>36</v>
      </c>
      <c r="L159" s="42">
        <v>27.007000000000001</v>
      </c>
      <c r="M159" s="45" t="s">
        <v>31</v>
      </c>
      <c r="N159" s="44" t="s">
        <v>60</v>
      </c>
      <c r="O159" s="44" t="s">
        <v>60</v>
      </c>
      <c r="P159" s="42" t="s">
        <v>60</v>
      </c>
      <c r="Q159" s="42" t="s">
        <v>60</v>
      </c>
      <c r="R159" s="46" t="s">
        <v>60</v>
      </c>
      <c r="S159" s="43">
        <v>44140</v>
      </c>
      <c r="T159" s="51">
        <f t="shared" si="7"/>
        <v>3</v>
      </c>
      <c r="U159" s="52" t="str">
        <f t="shared" si="9"/>
        <v>Não Detectável</v>
      </c>
    </row>
    <row r="160" spans="1:21" ht="25.5" customHeight="1" x14ac:dyDescent="0.2">
      <c r="A160" s="51">
        <v>159</v>
      </c>
      <c r="B160" s="50" t="s">
        <v>1053</v>
      </c>
      <c r="C160" s="51">
        <v>31</v>
      </c>
      <c r="D160" s="51" t="s">
        <v>25</v>
      </c>
      <c r="E160" s="43">
        <v>44139</v>
      </c>
      <c r="F160" s="44" t="s">
        <v>60</v>
      </c>
      <c r="G160" s="51">
        <v>95</v>
      </c>
      <c r="H160" s="43">
        <v>44140</v>
      </c>
      <c r="I160" s="44" t="s">
        <v>1044</v>
      </c>
      <c r="J160" s="43">
        <v>44140</v>
      </c>
      <c r="K160" s="42" t="s">
        <v>36</v>
      </c>
      <c r="L160" s="42">
        <v>27.007000000000001</v>
      </c>
      <c r="M160" s="45" t="s">
        <v>31</v>
      </c>
      <c r="N160" s="44" t="s">
        <v>60</v>
      </c>
      <c r="O160" s="44" t="s">
        <v>60</v>
      </c>
      <c r="P160" s="42" t="s">
        <v>60</v>
      </c>
      <c r="Q160" s="42" t="s">
        <v>60</v>
      </c>
      <c r="R160" s="46" t="s">
        <v>60</v>
      </c>
      <c r="S160" s="43">
        <v>44140</v>
      </c>
      <c r="T160" s="51">
        <f t="shared" si="7"/>
        <v>3</v>
      </c>
      <c r="U160" s="52" t="str">
        <f t="shared" si="9"/>
        <v>Não Detectável</v>
      </c>
    </row>
    <row r="161" spans="1:21" ht="25.5" customHeight="1" x14ac:dyDescent="0.2">
      <c r="A161" s="51">
        <v>160</v>
      </c>
      <c r="B161" s="50" t="s">
        <v>1054</v>
      </c>
      <c r="C161" s="51">
        <v>21</v>
      </c>
      <c r="D161" s="51" t="s">
        <v>25</v>
      </c>
      <c r="E161" s="43">
        <v>44139</v>
      </c>
      <c r="F161" s="44" t="s">
        <v>60</v>
      </c>
      <c r="G161" s="51">
        <v>96</v>
      </c>
      <c r="H161" s="43">
        <v>44140</v>
      </c>
      <c r="I161" s="44" t="s">
        <v>1044</v>
      </c>
      <c r="J161" s="43">
        <v>44140</v>
      </c>
      <c r="K161" s="42" t="s">
        <v>36</v>
      </c>
      <c r="L161" s="42">
        <v>25.731000000000002</v>
      </c>
      <c r="M161" s="45" t="s">
        <v>31</v>
      </c>
      <c r="N161" s="44" t="s">
        <v>60</v>
      </c>
      <c r="O161" s="44" t="s">
        <v>60</v>
      </c>
      <c r="P161" s="42" t="s">
        <v>60</v>
      </c>
      <c r="Q161" s="42" t="s">
        <v>60</v>
      </c>
      <c r="R161" s="46" t="s">
        <v>60</v>
      </c>
      <c r="S161" s="43">
        <v>44140</v>
      </c>
      <c r="T161" s="51">
        <f t="shared" si="7"/>
        <v>3</v>
      </c>
      <c r="U161" s="52" t="str">
        <f t="shared" si="9"/>
        <v>Não Detectável</v>
      </c>
    </row>
    <row r="162" spans="1:21" ht="25.5" customHeight="1" x14ac:dyDescent="0.2">
      <c r="A162" s="51">
        <v>161</v>
      </c>
      <c r="B162" s="50" t="s">
        <v>1055</v>
      </c>
      <c r="C162" s="51">
        <v>87</v>
      </c>
      <c r="D162" s="51" t="s">
        <v>34</v>
      </c>
      <c r="E162" s="43">
        <v>44139</v>
      </c>
      <c r="F162" s="44" t="s">
        <v>60</v>
      </c>
      <c r="G162" s="51">
        <v>96</v>
      </c>
      <c r="H162" s="43">
        <v>44140</v>
      </c>
      <c r="I162" s="44" t="s">
        <v>1044</v>
      </c>
      <c r="J162" s="43">
        <v>44140</v>
      </c>
      <c r="K162" s="42" t="s">
        <v>36</v>
      </c>
      <c r="L162" s="42">
        <v>25.731000000000002</v>
      </c>
      <c r="M162" s="45" t="s">
        <v>31</v>
      </c>
      <c r="N162" s="44" t="s">
        <v>60</v>
      </c>
      <c r="O162" s="44" t="s">
        <v>60</v>
      </c>
      <c r="P162" s="42" t="s">
        <v>60</v>
      </c>
      <c r="Q162" s="42" t="s">
        <v>60</v>
      </c>
      <c r="R162" s="46" t="s">
        <v>60</v>
      </c>
      <c r="S162" s="43">
        <v>44140</v>
      </c>
      <c r="T162" s="51">
        <f t="shared" si="7"/>
        <v>3</v>
      </c>
      <c r="U162" s="52" t="str">
        <f t="shared" si="9"/>
        <v>Não Detectável</v>
      </c>
    </row>
    <row r="163" spans="1:21" ht="25.5" customHeight="1" x14ac:dyDescent="0.2">
      <c r="A163" s="51">
        <v>162</v>
      </c>
      <c r="B163" s="50" t="s">
        <v>1056</v>
      </c>
      <c r="C163" s="51">
        <v>25</v>
      </c>
      <c r="D163" s="51" t="s">
        <v>34</v>
      </c>
      <c r="E163" s="43">
        <v>44139</v>
      </c>
      <c r="F163" s="44" t="s">
        <v>60</v>
      </c>
      <c r="G163" s="51">
        <v>96</v>
      </c>
      <c r="H163" s="43">
        <v>44140</v>
      </c>
      <c r="I163" s="44" t="s">
        <v>1044</v>
      </c>
      <c r="J163" s="43">
        <v>44140</v>
      </c>
      <c r="K163" s="42" t="s">
        <v>36</v>
      </c>
      <c r="L163" s="42">
        <v>25.731000000000002</v>
      </c>
      <c r="M163" s="45" t="s">
        <v>31</v>
      </c>
      <c r="N163" s="44" t="s">
        <v>60</v>
      </c>
      <c r="O163" s="44" t="s">
        <v>60</v>
      </c>
      <c r="P163" s="42" t="s">
        <v>60</v>
      </c>
      <c r="Q163" s="42" t="s">
        <v>60</v>
      </c>
      <c r="R163" s="46" t="s">
        <v>60</v>
      </c>
      <c r="S163" s="43">
        <v>44140</v>
      </c>
      <c r="T163" s="51">
        <f t="shared" si="7"/>
        <v>3</v>
      </c>
      <c r="U163" s="52" t="str">
        <f t="shared" si="9"/>
        <v>Não Detectável</v>
      </c>
    </row>
    <row r="164" spans="1:21" ht="25.5" customHeight="1" x14ac:dyDescent="0.2">
      <c r="A164" s="51">
        <v>163</v>
      </c>
      <c r="B164" s="50" t="s">
        <v>1057</v>
      </c>
      <c r="C164" s="51">
        <v>25</v>
      </c>
      <c r="D164" s="51" t="s">
        <v>34</v>
      </c>
      <c r="E164" s="43">
        <v>44139</v>
      </c>
      <c r="F164" s="44" t="s">
        <v>60</v>
      </c>
      <c r="G164" s="51">
        <v>97</v>
      </c>
      <c r="H164" s="43">
        <v>44140</v>
      </c>
      <c r="I164" s="44" t="s">
        <v>1044</v>
      </c>
      <c r="J164" s="43">
        <v>44140</v>
      </c>
      <c r="K164" s="42">
        <v>17.687999999999999</v>
      </c>
      <c r="L164" s="42">
        <v>27.010999999999999</v>
      </c>
      <c r="M164" s="43" t="s">
        <v>29</v>
      </c>
      <c r="N164" s="44" t="s">
        <v>1048</v>
      </c>
      <c r="O164" s="43">
        <v>44141</v>
      </c>
      <c r="P164" s="42">
        <v>14</v>
      </c>
      <c r="Q164" s="42">
        <v>26.6</v>
      </c>
      <c r="R164" s="46" t="s">
        <v>29</v>
      </c>
      <c r="S164" s="43">
        <v>44141</v>
      </c>
      <c r="T164" s="51">
        <f t="shared" si="7"/>
        <v>3</v>
      </c>
      <c r="U164" s="52" t="str">
        <f t="shared" si="9"/>
        <v>Detectável</v>
      </c>
    </row>
    <row r="165" spans="1:21" ht="25.5" customHeight="1" x14ac:dyDescent="0.2">
      <c r="A165" s="51">
        <v>164</v>
      </c>
      <c r="B165" s="50" t="s">
        <v>1058</v>
      </c>
      <c r="C165" s="51">
        <v>27</v>
      </c>
      <c r="D165" s="51" t="s">
        <v>34</v>
      </c>
      <c r="E165" s="43">
        <v>44139</v>
      </c>
      <c r="F165" s="44" t="s">
        <v>60</v>
      </c>
      <c r="G165" s="51">
        <v>97</v>
      </c>
      <c r="H165" s="43">
        <v>44140</v>
      </c>
      <c r="I165" s="44" t="s">
        <v>1044</v>
      </c>
      <c r="J165" s="43">
        <v>44140</v>
      </c>
      <c r="K165" s="42">
        <v>17.687999999999999</v>
      </c>
      <c r="L165" s="42">
        <v>27.010999999999999</v>
      </c>
      <c r="M165" s="43" t="s">
        <v>29</v>
      </c>
      <c r="N165" s="44" t="s">
        <v>1048</v>
      </c>
      <c r="O165" s="43">
        <v>44141</v>
      </c>
      <c r="P165" s="42" t="s">
        <v>36</v>
      </c>
      <c r="Q165" s="42">
        <v>26.8</v>
      </c>
      <c r="R165" s="46" t="s">
        <v>31</v>
      </c>
      <c r="S165" s="43">
        <v>44141</v>
      </c>
      <c r="T165" s="51">
        <f t="shared" si="7"/>
        <v>3</v>
      </c>
      <c r="U165" s="52" t="str">
        <f t="shared" si="9"/>
        <v>Não Detectável</v>
      </c>
    </row>
    <row r="166" spans="1:21" ht="25.5" customHeight="1" x14ac:dyDescent="0.2">
      <c r="A166" s="51">
        <v>165</v>
      </c>
      <c r="B166" s="50" t="s">
        <v>1059</v>
      </c>
      <c r="C166" s="51">
        <v>71</v>
      </c>
      <c r="D166" s="51" t="s">
        <v>25</v>
      </c>
      <c r="E166" s="43">
        <v>44139</v>
      </c>
      <c r="F166" s="44" t="s">
        <v>60</v>
      </c>
      <c r="G166" s="51">
        <v>97</v>
      </c>
      <c r="H166" s="43">
        <v>44140</v>
      </c>
      <c r="I166" s="44" t="s">
        <v>1044</v>
      </c>
      <c r="J166" s="43">
        <v>44140</v>
      </c>
      <c r="K166" s="42">
        <v>17.687999999999999</v>
      </c>
      <c r="L166" s="42">
        <v>27.010999999999999</v>
      </c>
      <c r="M166" s="43" t="s">
        <v>29</v>
      </c>
      <c r="N166" s="44" t="s">
        <v>1048</v>
      </c>
      <c r="O166" s="43">
        <v>44141</v>
      </c>
      <c r="P166" s="42" t="s">
        <v>36</v>
      </c>
      <c r="Q166" s="42">
        <v>28.3</v>
      </c>
      <c r="R166" s="46" t="s">
        <v>31</v>
      </c>
      <c r="S166" s="43">
        <v>44141</v>
      </c>
      <c r="T166" s="51">
        <f t="shared" si="7"/>
        <v>3</v>
      </c>
      <c r="U166" s="52" t="str">
        <f t="shared" si="9"/>
        <v>Não Detectável</v>
      </c>
    </row>
    <row r="167" spans="1:21" ht="25.5" customHeight="1" x14ac:dyDescent="0.2">
      <c r="A167" s="51">
        <v>166</v>
      </c>
      <c r="B167" s="50" t="s">
        <v>1060</v>
      </c>
      <c r="C167" s="51">
        <v>29</v>
      </c>
      <c r="D167" s="51" t="s">
        <v>25</v>
      </c>
      <c r="E167" s="43">
        <v>44139</v>
      </c>
      <c r="F167" s="44" t="s">
        <v>60</v>
      </c>
      <c r="G167" s="51">
        <v>98</v>
      </c>
      <c r="H167" s="43">
        <v>44140</v>
      </c>
      <c r="I167" s="44" t="s">
        <v>1048</v>
      </c>
      <c r="J167" s="43">
        <v>44141</v>
      </c>
      <c r="K167" s="42">
        <v>17.7</v>
      </c>
      <c r="L167" s="42">
        <v>26.3</v>
      </c>
      <c r="M167" s="43" t="s">
        <v>29</v>
      </c>
      <c r="N167" s="44" t="s">
        <v>1061</v>
      </c>
      <c r="O167" s="43">
        <v>44144</v>
      </c>
      <c r="P167" s="42">
        <v>17.2</v>
      </c>
      <c r="Q167" s="42">
        <v>26.3</v>
      </c>
      <c r="R167" s="46" t="s">
        <v>29</v>
      </c>
      <c r="S167" s="43">
        <v>44144</v>
      </c>
      <c r="T167" s="51">
        <f t="shared" si="7"/>
        <v>3</v>
      </c>
      <c r="U167" s="52" t="str">
        <f t="shared" si="9"/>
        <v>Detectável</v>
      </c>
    </row>
    <row r="168" spans="1:21" ht="25.5" customHeight="1" x14ac:dyDescent="0.2">
      <c r="A168" s="51">
        <v>167</v>
      </c>
      <c r="B168" s="50" t="s">
        <v>1062</v>
      </c>
      <c r="C168" s="51">
        <v>23</v>
      </c>
      <c r="D168" s="51" t="s">
        <v>25</v>
      </c>
      <c r="E168" s="43">
        <v>44140</v>
      </c>
      <c r="F168" s="44" t="s">
        <v>60</v>
      </c>
      <c r="G168" s="51">
        <v>98</v>
      </c>
      <c r="H168" s="43">
        <v>44141</v>
      </c>
      <c r="I168" s="44" t="s">
        <v>1048</v>
      </c>
      <c r="J168" s="43">
        <v>44141</v>
      </c>
      <c r="K168" s="42">
        <v>17.7</v>
      </c>
      <c r="L168" s="42">
        <v>26.3</v>
      </c>
      <c r="M168" s="43" t="s">
        <v>29</v>
      </c>
      <c r="N168" s="44" t="s">
        <v>1061</v>
      </c>
      <c r="O168" s="43">
        <v>44144</v>
      </c>
      <c r="P168" s="42" t="s">
        <v>36</v>
      </c>
      <c r="Q168" s="42">
        <v>26.2</v>
      </c>
      <c r="R168" s="46" t="s">
        <v>31</v>
      </c>
      <c r="S168" s="43">
        <v>44144</v>
      </c>
      <c r="T168" s="51">
        <f t="shared" si="7"/>
        <v>3</v>
      </c>
      <c r="U168" s="52" t="str">
        <f t="shared" si="9"/>
        <v>Não Detectável</v>
      </c>
    </row>
    <row r="169" spans="1:21" ht="25.5" customHeight="1" x14ac:dyDescent="0.2">
      <c r="A169" s="51">
        <v>168</v>
      </c>
      <c r="B169" s="50" t="s">
        <v>1063</v>
      </c>
      <c r="C169" s="51">
        <v>67</v>
      </c>
      <c r="D169" s="51" t="s">
        <v>34</v>
      </c>
      <c r="E169" s="43">
        <v>44140</v>
      </c>
      <c r="F169" s="44" t="s">
        <v>60</v>
      </c>
      <c r="G169" s="51">
        <v>98</v>
      </c>
      <c r="H169" s="43">
        <v>44141</v>
      </c>
      <c r="I169" s="44" t="s">
        <v>1048</v>
      </c>
      <c r="J169" s="43">
        <v>44141</v>
      </c>
      <c r="K169" s="42">
        <v>17.7</v>
      </c>
      <c r="L169" s="42">
        <v>26.3</v>
      </c>
      <c r="M169" s="43" t="s">
        <v>29</v>
      </c>
      <c r="N169" s="44" t="s">
        <v>1061</v>
      </c>
      <c r="O169" s="43">
        <v>44144</v>
      </c>
      <c r="P169" s="42" t="s">
        <v>36</v>
      </c>
      <c r="Q169" s="42">
        <v>26.1</v>
      </c>
      <c r="R169" s="46" t="s">
        <v>31</v>
      </c>
      <c r="S169" s="43">
        <v>44144</v>
      </c>
      <c r="T169" s="51">
        <f t="shared" si="7"/>
        <v>3</v>
      </c>
      <c r="U169" s="52" t="str">
        <f t="shared" si="9"/>
        <v>Não Detectável</v>
      </c>
    </row>
    <row r="170" spans="1:21" ht="25.5" customHeight="1" x14ac:dyDescent="0.2">
      <c r="A170" s="51">
        <v>169</v>
      </c>
      <c r="B170" s="50" t="s">
        <v>1064</v>
      </c>
      <c r="C170" s="51">
        <v>19</v>
      </c>
      <c r="D170" s="51" t="s">
        <v>25</v>
      </c>
      <c r="E170" s="43">
        <v>44140</v>
      </c>
      <c r="F170" s="44" t="s">
        <v>60</v>
      </c>
      <c r="G170" s="51">
        <v>99</v>
      </c>
      <c r="H170" s="43">
        <v>44141</v>
      </c>
      <c r="I170" s="44" t="s">
        <v>1048</v>
      </c>
      <c r="J170" s="43">
        <v>44141</v>
      </c>
      <c r="K170" s="42" t="s">
        <v>36</v>
      </c>
      <c r="L170" s="42">
        <v>26.8</v>
      </c>
      <c r="M170" s="45" t="s">
        <v>31</v>
      </c>
      <c r="N170" s="44" t="s">
        <v>60</v>
      </c>
      <c r="O170" s="44" t="s">
        <v>60</v>
      </c>
      <c r="P170" s="42" t="s">
        <v>60</v>
      </c>
      <c r="Q170" s="42" t="s">
        <v>60</v>
      </c>
      <c r="R170" s="46" t="s">
        <v>60</v>
      </c>
      <c r="S170" s="43">
        <v>44141</v>
      </c>
      <c r="T170" s="51">
        <f t="shared" si="7"/>
        <v>3</v>
      </c>
      <c r="U170" s="52" t="str">
        <f t="shared" si="9"/>
        <v>Não Detectável</v>
      </c>
    </row>
    <row r="171" spans="1:21" ht="25.5" customHeight="1" x14ac:dyDescent="0.2">
      <c r="A171" s="51">
        <v>170</v>
      </c>
      <c r="B171" s="50" t="s">
        <v>1065</v>
      </c>
      <c r="C171" s="51">
        <v>34</v>
      </c>
      <c r="D171" s="51" t="s">
        <v>25</v>
      </c>
      <c r="E171" s="43">
        <v>44140</v>
      </c>
      <c r="F171" s="44" t="s">
        <v>60</v>
      </c>
      <c r="G171" s="51">
        <v>99</v>
      </c>
      <c r="H171" s="43">
        <v>44141</v>
      </c>
      <c r="I171" s="44" t="s">
        <v>1048</v>
      </c>
      <c r="J171" s="43">
        <v>44141</v>
      </c>
      <c r="K171" s="42" t="s">
        <v>36</v>
      </c>
      <c r="L171" s="42">
        <v>26.8</v>
      </c>
      <c r="M171" s="45" t="s">
        <v>31</v>
      </c>
      <c r="N171" s="44" t="s">
        <v>60</v>
      </c>
      <c r="O171" s="44" t="s">
        <v>60</v>
      </c>
      <c r="P171" s="42" t="s">
        <v>60</v>
      </c>
      <c r="Q171" s="42" t="s">
        <v>60</v>
      </c>
      <c r="R171" s="46" t="s">
        <v>60</v>
      </c>
      <c r="S171" s="43">
        <v>44141</v>
      </c>
      <c r="T171" s="51">
        <f t="shared" si="7"/>
        <v>3</v>
      </c>
      <c r="U171" s="52" t="str">
        <f t="shared" si="9"/>
        <v>Não Detectável</v>
      </c>
    </row>
    <row r="172" spans="1:21" ht="25.5" customHeight="1" x14ac:dyDescent="0.2">
      <c r="A172" s="51">
        <v>171</v>
      </c>
      <c r="B172" s="50" t="s">
        <v>1066</v>
      </c>
      <c r="C172" s="51">
        <v>38</v>
      </c>
      <c r="D172" s="51" t="s">
        <v>34</v>
      </c>
      <c r="E172" s="43">
        <v>44140</v>
      </c>
      <c r="F172" s="44" t="s">
        <v>60</v>
      </c>
      <c r="G172" s="51">
        <v>99</v>
      </c>
      <c r="H172" s="43">
        <v>44141</v>
      </c>
      <c r="I172" s="44" t="s">
        <v>1048</v>
      </c>
      <c r="J172" s="43">
        <v>44141</v>
      </c>
      <c r="K172" s="42" t="s">
        <v>36</v>
      </c>
      <c r="L172" s="42">
        <v>26.8</v>
      </c>
      <c r="M172" s="45" t="s">
        <v>31</v>
      </c>
      <c r="N172" s="44" t="s">
        <v>60</v>
      </c>
      <c r="O172" s="44" t="s">
        <v>60</v>
      </c>
      <c r="P172" s="42" t="s">
        <v>60</v>
      </c>
      <c r="Q172" s="42" t="s">
        <v>60</v>
      </c>
      <c r="R172" s="46" t="s">
        <v>60</v>
      </c>
      <c r="S172" s="43">
        <v>44141</v>
      </c>
      <c r="T172" s="51">
        <f t="shared" si="7"/>
        <v>3</v>
      </c>
      <c r="U172" s="52" t="str">
        <f t="shared" si="9"/>
        <v>Não Detectável</v>
      </c>
    </row>
    <row r="173" spans="1:21" ht="25.5" customHeight="1" x14ac:dyDescent="0.2">
      <c r="A173" s="51">
        <v>172</v>
      </c>
      <c r="B173" s="50" t="s">
        <v>1067</v>
      </c>
      <c r="C173" s="51">
        <v>22</v>
      </c>
      <c r="D173" s="51" t="s">
        <v>25</v>
      </c>
      <c r="E173" s="43">
        <v>44140</v>
      </c>
      <c r="F173" s="44" t="s">
        <v>60</v>
      </c>
      <c r="G173" s="51">
        <v>100</v>
      </c>
      <c r="H173" s="43">
        <v>44144</v>
      </c>
      <c r="I173" s="44" t="s">
        <v>1061</v>
      </c>
      <c r="J173" s="43">
        <v>44144</v>
      </c>
      <c r="K173" s="42">
        <v>21.7</v>
      </c>
      <c r="L173" s="42">
        <v>25.8</v>
      </c>
      <c r="M173" s="43" t="s">
        <v>29</v>
      </c>
      <c r="N173" s="44" t="s">
        <v>1068</v>
      </c>
      <c r="O173" s="43">
        <v>44145</v>
      </c>
      <c r="P173" s="42">
        <v>20.2</v>
      </c>
      <c r="Q173" s="42">
        <v>25.7</v>
      </c>
      <c r="R173" s="46" t="s">
        <v>29</v>
      </c>
      <c r="S173" s="43">
        <v>44145</v>
      </c>
      <c r="T173" s="51">
        <f t="shared" si="7"/>
        <v>3</v>
      </c>
      <c r="U173" s="52" t="str">
        <f t="shared" si="9"/>
        <v>Detectável</v>
      </c>
    </row>
    <row r="174" spans="1:21" ht="25.5" customHeight="1" x14ac:dyDescent="0.2">
      <c r="A174" s="51">
        <v>173</v>
      </c>
      <c r="B174" s="50" t="s">
        <v>1069</v>
      </c>
      <c r="C174" s="51">
        <v>34</v>
      </c>
      <c r="D174" s="51" t="s">
        <v>25</v>
      </c>
      <c r="E174" s="43">
        <v>44141</v>
      </c>
      <c r="F174" s="44" t="s">
        <v>60</v>
      </c>
      <c r="G174" s="51">
        <v>100</v>
      </c>
      <c r="H174" s="43">
        <v>44144</v>
      </c>
      <c r="I174" s="44" t="s">
        <v>1061</v>
      </c>
      <c r="J174" s="43">
        <v>44144</v>
      </c>
      <c r="K174" s="42">
        <v>21.7</v>
      </c>
      <c r="L174" s="42">
        <v>25.8</v>
      </c>
      <c r="M174" s="43" t="s">
        <v>29</v>
      </c>
      <c r="N174" s="44" t="s">
        <v>1068</v>
      </c>
      <c r="O174" s="43">
        <v>44145</v>
      </c>
      <c r="P174" s="42" t="s">
        <v>36</v>
      </c>
      <c r="Q174" s="42">
        <v>26.3</v>
      </c>
      <c r="R174" s="46" t="s">
        <v>31</v>
      </c>
      <c r="S174" s="43">
        <v>44145</v>
      </c>
      <c r="T174" s="51">
        <f t="shared" si="7"/>
        <v>3</v>
      </c>
      <c r="U174" s="52" t="str">
        <f t="shared" si="9"/>
        <v>Não Detectável</v>
      </c>
    </row>
    <row r="175" spans="1:21" ht="25.5" customHeight="1" x14ac:dyDescent="0.2">
      <c r="A175" s="51">
        <v>174</v>
      </c>
      <c r="B175" s="50" t="s">
        <v>1070</v>
      </c>
      <c r="C175" s="51">
        <v>41</v>
      </c>
      <c r="D175" s="51" t="s">
        <v>25</v>
      </c>
      <c r="E175" s="43">
        <v>44141</v>
      </c>
      <c r="F175" s="44" t="s">
        <v>60</v>
      </c>
      <c r="G175" s="51">
        <v>100</v>
      </c>
      <c r="H175" s="43">
        <v>44144</v>
      </c>
      <c r="I175" s="44" t="s">
        <v>1061</v>
      </c>
      <c r="J175" s="43">
        <v>44144</v>
      </c>
      <c r="K175" s="42">
        <v>21.7</v>
      </c>
      <c r="L175" s="42">
        <v>25.8</v>
      </c>
      <c r="M175" s="43" t="s">
        <v>29</v>
      </c>
      <c r="N175" s="44" t="s">
        <v>1068</v>
      </c>
      <c r="O175" s="43">
        <v>44145</v>
      </c>
      <c r="P175" s="42" t="s">
        <v>36</v>
      </c>
      <c r="Q175" s="42">
        <v>26</v>
      </c>
      <c r="R175" s="46" t="s">
        <v>31</v>
      </c>
      <c r="S175" s="43">
        <v>44145</v>
      </c>
      <c r="T175" s="51">
        <f t="shared" si="7"/>
        <v>3</v>
      </c>
      <c r="U175" s="52" t="str">
        <f t="shared" si="9"/>
        <v>Não Detectável</v>
      </c>
    </row>
    <row r="176" spans="1:21" ht="25.5" customHeight="1" x14ac:dyDescent="0.2">
      <c r="A176" s="51">
        <v>175</v>
      </c>
      <c r="B176" s="50" t="s">
        <v>1071</v>
      </c>
      <c r="C176" s="51">
        <v>24</v>
      </c>
      <c r="D176" s="51" t="s">
        <v>25</v>
      </c>
      <c r="E176" s="43">
        <v>44141</v>
      </c>
      <c r="F176" s="44" t="s">
        <v>60</v>
      </c>
      <c r="G176" s="51">
        <v>101</v>
      </c>
      <c r="H176" s="43">
        <v>44144</v>
      </c>
      <c r="I176" s="44" t="s">
        <v>1061</v>
      </c>
      <c r="J176" s="43">
        <v>44144</v>
      </c>
      <c r="K176" s="42">
        <v>16.899999999999999</v>
      </c>
      <c r="L176" s="42">
        <v>26.4</v>
      </c>
      <c r="M176" s="43" t="s">
        <v>29</v>
      </c>
      <c r="N176" s="44" t="s">
        <v>1068</v>
      </c>
      <c r="O176" s="43">
        <v>44145</v>
      </c>
      <c r="P176" s="42">
        <v>14.8</v>
      </c>
      <c r="Q176" s="42">
        <v>26.2</v>
      </c>
      <c r="R176" s="46" t="s">
        <v>29</v>
      </c>
      <c r="S176" s="43">
        <v>44145</v>
      </c>
      <c r="T176" s="51">
        <f t="shared" si="7"/>
        <v>3</v>
      </c>
      <c r="U176" s="52" t="str">
        <f t="shared" si="9"/>
        <v>Detectável</v>
      </c>
    </row>
    <row r="177" spans="1:21" ht="25.5" customHeight="1" x14ac:dyDescent="0.2">
      <c r="A177" s="51">
        <v>176</v>
      </c>
      <c r="B177" s="50" t="s">
        <v>1072</v>
      </c>
      <c r="C177" s="51">
        <v>19</v>
      </c>
      <c r="D177" s="51" t="s">
        <v>25</v>
      </c>
      <c r="E177" s="43">
        <v>44141</v>
      </c>
      <c r="F177" s="44" t="s">
        <v>60</v>
      </c>
      <c r="G177" s="51">
        <v>101</v>
      </c>
      <c r="H177" s="43">
        <v>44144</v>
      </c>
      <c r="I177" s="44" t="s">
        <v>1061</v>
      </c>
      <c r="J177" s="43">
        <v>44144</v>
      </c>
      <c r="K177" s="42">
        <v>16.899999999999999</v>
      </c>
      <c r="L177" s="42">
        <v>26.4</v>
      </c>
      <c r="M177" s="43" t="s">
        <v>29</v>
      </c>
      <c r="N177" s="44" t="s">
        <v>1068</v>
      </c>
      <c r="O177" s="43">
        <v>44145</v>
      </c>
      <c r="P177" s="42">
        <v>21.5</v>
      </c>
      <c r="Q177" s="42">
        <v>26.2</v>
      </c>
      <c r="R177" s="46" t="s">
        <v>29</v>
      </c>
      <c r="S177" s="43">
        <v>44145</v>
      </c>
      <c r="T177" s="51">
        <f t="shared" si="7"/>
        <v>3</v>
      </c>
      <c r="U177" s="52" t="str">
        <f t="shared" si="9"/>
        <v>Detectável</v>
      </c>
    </row>
    <row r="178" spans="1:21" ht="25.5" customHeight="1" x14ac:dyDescent="0.2">
      <c r="A178" s="51">
        <v>177</v>
      </c>
      <c r="B178" s="50" t="s">
        <v>1073</v>
      </c>
      <c r="C178" s="51">
        <v>25</v>
      </c>
      <c r="D178" s="51" t="s">
        <v>25</v>
      </c>
      <c r="E178" s="43">
        <v>44141</v>
      </c>
      <c r="F178" s="44" t="s">
        <v>60</v>
      </c>
      <c r="G178" s="51">
        <v>101</v>
      </c>
      <c r="H178" s="43">
        <v>44144</v>
      </c>
      <c r="I178" s="44" t="s">
        <v>1061</v>
      </c>
      <c r="J178" s="43">
        <v>44144</v>
      </c>
      <c r="K178" s="42">
        <v>16.899999999999999</v>
      </c>
      <c r="L178" s="42">
        <v>26.4</v>
      </c>
      <c r="M178" s="43" t="s">
        <v>29</v>
      </c>
      <c r="N178" s="44" t="s">
        <v>1068</v>
      </c>
      <c r="O178" s="43">
        <v>44145</v>
      </c>
      <c r="P178" s="42" t="s">
        <v>36</v>
      </c>
      <c r="Q178" s="42">
        <v>26.9</v>
      </c>
      <c r="R178" s="46" t="s">
        <v>31</v>
      </c>
      <c r="S178" s="43">
        <v>44145</v>
      </c>
      <c r="T178" s="51">
        <f t="shared" si="7"/>
        <v>3</v>
      </c>
      <c r="U178" s="52" t="str">
        <f t="shared" si="9"/>
        <v>Não Detectável</v>
      </c>
    </row>
    <row r="179" spans="1:21" ht="25.5" customHeight="1" x14ac:dyDescent="0.2">
      <c r="A179" s="51">
        <v>178</v>
      </c>
      <c r="B179" s="50" t="s">
        <v>1074</v>
      </c>
      <c r="C179" s="51">
        <v>58</v>
      </c>
      <c r="D179" s="51" t="s">
        <v>34</v>
      </c>
      <c r="E179" s="43">
        <v>44141</v>
      </c>
      <c r="F179" s="44" t="s">
        <v>60</v>
      </c>
      <c r="G179" s="51">
        <v>102</v>
      </c>
      <c r="H179" s="43">
        <v>44144</v>
      </c>
      <c r="I179" s="44" t="s">
        <v>1061</v>
      </c>
      <c r="J179" s="43">
        <v>44144</v>
      </c>
      <c r="K179" s="42">
        <v>22</v>
      </c>
      <c r="L179" s="42">
        <v>26.5</v>
      </c>
      <c r="M179" s="43" t="s">
        <v>29</v>
      </c>
      <c r="N179" s="44" t="s">
        <v>1068</v>
      </c>
      <c r="O179" s="43">
        <v>44145</v>
      </c>
      <c r="P179" s="42" t="s">
        <v>36</v>
      </c>
      <c r="Q179" s="42">
        <v>27.8</v>
      </c>
      <c r="R179" s="46" t="s">
        <v>31</v>
      </c>
      <c r="S179" s="43">
        <v>44145</v>
      </c>
      <c r="T179" s="51">
        <f t="shared" si="7"/>
        <v>3</v>
      </c>
      <c r="U179" s="52" t="str">
        <f t="shared" ref="U179:U198" si="10">IF(M179="Não Detectável","Não Detectável",IF(R179="","",R179))</f>
        <v>Não Detectável</v>
      </c>
    </row>
    <row r="180" spans="1:21" ht="25.5" customHeight="1" x14ac:dyDescent="0.2">
      <c r="A180" s="51">
        <v>179</v>
      </c>
      <c r="B180" s="50" t="s">
        <v>1075</v>
      </c>
      <c r="C180" s="51">
        <v>38</v>
      </c>
      <c r="D180" s="51" t="s">
        <v>25</v>
      </c>
      <c r="E180" s="43">
        <v>44141</v>
      </c>
      <c r="F180" s="44" t="s">
        <v>60</v>
      </c>
      <c r="G180" s="51">
        <v>102</v>
      </c>
      <c r="H180" s="43">
        <v>44144</v>
      </c>
      <c r="I180" s="44" t="s">
        <v>1061</v>
      </c>
      <c r="J180" s="43">
        <v>44144</v>
      </c>
      <c r="K180" s="42">
        <v>22</v>
      </c>
      <c r="L180" s="42">
        <v>26.5</v>
      </c>
      <c r="M180" s="43" t="s">
        <v>29</v>
      </c>
      <c r="N180" s="44" t="s">
        <v>1068</v>
      </c>
      <c r="O180" s="43">
        <v>44145</v>
      </c>
      <c r="P180" s="42">
        <v>19.8</v>
      </c>
      <c r="Q180" s="42">
        <v>26.4</v>
      </c>
      <c r="R180" s="46" t="s">
        <v>29</v>
      </c>
      <c r="S180" s="43">
        <v>44145</v>
      </c>
      <c r="T180" s="51">
        <f t="shared" si="7"/>
        <v>3</v>
      </c>
      <c r="U180" s="52" t="str">
        <f t="shared" si="10"/>
        <v>Detectável</v>
      </c>
    </row>
    <row r="181" spans="1:21" ht="25.5" customHeight="1" x14ac:dyDescent="0.2">
      <c r="A181" s="51">
        <v>180</v>
      </c>
      <c r="B181" s="50" t="s">
        <v>1076</v>
      </c>
      <c r="C181" s="51">
        <v>29</v>
      </c>
      <c r="D181" s="51" t="s">
        <v>34</v>
      </c>
      <c r="E181" s="43">
        <v>44141</v>
      </c>
      <c r="F181" s="44" t="s">
        <v>60</v>
      </c>
      <c r="G181" s="51">
        <v>102</v>
      </c>
      <c r="H181" s="43">
        <v>44144</v>
      </c>
      <c r="I181" s="44" t="s">
        <v>1061</v>
      </c>
      <c r="J181" s="43">
        <v>44144</v>
      </c>
      <c r="K181" s="42">
        <v>22</v>
      </c>
      <c r="L181" s="42">
        <v>26.5</v>
      </c>
      <c r="M181" s="43" t="s">
        <v>29</v>
      </c>
      <c r="N181" s="44" t="s">
        <v>1068</v>
      </c>
      <c r="O181" s="43">
        <v>44145</v>
      </c>
      <c r="P181" s="42">
        <v>25.4</v>
      </c>
      <c r="Q181" s="42">
        <v>26.2</v>
      </c>
      <c r="R181" s="46" t="s">
        <v>29</v>
      </c>
      <c r="S181" s="43">
        <v>44145</v>
      </c>
      <c r="T181" s="51">
        <f t="shared" si="7"/>
        <v>3</v>
      </c>
      <c r="U181" s="52" t="str">
        <f t="shared" si="10"/>
        <v>Detectável</v>
      </c>
    </row>
    <row r="182" spans="1:21" ht="25.5" customHeight="1" x14ac:dyDescent="0.2">
      <c r="A182" s="51">
        <v>181</v>
      </c>
      <c r="B182" s="50" t="s">
        <v>1077</v>
      </c>
      <c r="C182" s="51">
        <v>30</v>
      </c>
      <c r="D182" s="51" t="s">
        <v>25</v>
      </c>
      <c r="E182" s="43">
        <v>44141</v>
      </c>
      <c r="F182" s="44" t="s">
        <v>60</v>
      </c>
      <c r="G182" s="51">
        <v>103</v>
      </c>
      <c r="H182" s="43">
        <v>44144</v>
      </c>
      <c r="I182" s="44" t="s">
        <v>1061</v>
      </c>
      <c r="J182" s="43">
        <v>44144</v>
      </c>
      <c r="K182" s="42">
        <v>18.399999999999999</v>
      </c>
      <c r="L182" s="42">
        <v>27.2</v>
      </c>
      <c r="M182" s="43" t="s">
        <v>29</v>
      </c>
      <c r="N182" s="44" t="s">
        <v>1068</v>
      </c>
      <c r="O182" s="43">
        <v>44145</v>
      </c>
      <c r="P182" s="42">
        <v>27.5</v>
      </c>
      <c r="Q182" s="42">
        <v>26.7</v>
      </c>
      <c r="R182" s="46" t="s">
        <v>29</v>
      </c>
      <c r="S182" s="43">
        <v>44145</v>
      </c>
      <c r="T182" s="51">
        <f t="shared" si="7"/>
        <v>3</v>
      </c>
      <c r="U182" s="52" t="str">
        <f t="shared" si="10"/>
        <v>Detectável</v>
      </c>
    </row>
    <row r="183" spans="1:21" ht="25.5" customHeight="1" x14ac:dyDescent="0.2">
      <c r="A183" s="51">
        <v>182</v>
      </c>
      <c r="B183" s="50" t="s">
        <v>1078</v>
      </c>
      <c r="C183" s="51">
        <v>20</v>
      </c>
      <c r="D183" s="51" t="s">
        <v>25</v>
      </c>
      <c r="E183" s="43">
        <v>44141</v>
      </c>
      <c r="F183" s="44" t="s">
        <v>60</v>
      </c>
      <c r="G183" s="51">
        <v>103</v>
      </c>
      <c r="H183" s="43">
        <v>44144</v>
      </c>
      <c r="I183" s="44" t="s">
        <v>1061</v>
      </c>
      <c r="J183" s="43">
        <v>44144</v>
      </c>
      <c r="K183" s="42">
        <v>18.399999999999999</v>
      </c>
      <c r="L183" s="42">
        <v>27.2</v>
      </c>
      <c r="M183" s="43" t="s">
        <v>29</v>
      </c>
      <c r="N183" s="44" t="s">
        <v>1079</v>
      </c>
      <c r="O183" s="43">
        <v>44146</v>
      </c>
      <c r="P183" s="42">
        <v>15.6</v>
      </c>
      <c r="Q183" s="42">
        <v>28.6</v>
      </c>
      <c r="R183" s="46" t="s">
        <v>29</v>
      </c>
      <c r="S183" s="43">
        <v>44146</v>
      </c>
      <c r="T183" s="51">
        <f t="shared" si="7"/>
        <v>3</v>
      </c>
      <c r="U183" s="52" t="str">
        <f t="shared" si="10"/>
        <v>Detectável</v>
      </c>
    </row>
    <row r="184" spans="1:21" ht="25.5" customHeight="1" x14ac:dyDescent="0.2">
      <c r="A184" s="51">
        <v>183</v>
      </c>
      <c r="B184" s="50" t="s">
        <v>1080</v>
      </c>
      <c r="C184" s="51">
        <v>35</v>
      </c>
      <c r="D184" s="51" t="s">
        <v>34</v>
      </c>
      <c r="E184" s="43">
        <v>44141</v>
      </c>
      <c r="F184" s="44" t="s">
        <v>60</v>
      </c>
      <c r="G184" s="51">
        <v>103</v>
      </c>
      <c r="H184" s="43">
        <v>44144</v>
      </c>
      <c r="I184" s="44" t="s">
        <v>1061</v>
      </c>
      <c r="J184" s="43">
        <v>44144</v>
      </c>
      <c r="K184" s="42">
        <v>18.399999999999999</v>
      </c>
      <c r="L184" s="42">
        <v>27.2</v>
      </c>
      <c r="M184" s="43" t="s">
        <v>29</v>
      </c>
      <c r="N184" s="44" t="s">
        <v>1079</v>
      </c>
      <c r="O184" s="43">
        <v>44146</v>
      </c>
      <c r="P184" s="42" t="s">
        <v>36</v>
      </c>
      <c r="Q184" s="42">
        <v>28.3</v>
      </c>
      <c r="R184" s="46" t="s">
        <v>31</v>
      </c>
      <c r="S184" s="43">
        <v>44146</v>
      </c>
      <c r="T184" s="51">
        <f t="shared" si="7"/>
        <v>3</v>
      </c>
      <c r="U184" s="52" t="str">
        <f t="shared" si="10"/>
        <v>Não Detectável</v>
      </c>
    </row>
    <row r="185" spans="1:21" ht="25.5" customHeight="1" x14ac:dyDescent="0.2">
      <c r="A185" s="51">
        <v>184</v>
      </c>
      <c r="B185" s="50" t="s">
        <v>1081</v>
      </c>
      <c r="C185" s="51">
        <v>68</v>
      </c>
      <c r="D185" s="51" t="s">
        <v>25</v>
      </c>
      <c r="E185" s="43">
        <v>44144</v>
      </c>
      <c r="F185" s="44" t="s">
        <v>60</v>
      </c>
      <c r="G185" s="51">
        <v>104</v>
      </c>
      <c r="H185" s="43">
        <v>44145</v>
      </c>
      <c r="I185" s="44" t="s">
        <v>1068</v>
      </c>
      <c r="J185" s="43">
        <v>44145</v>
      </c>
      <c r="K185" s="42">
        <v>32.200000000000003</v>
      </c>
      <c r="L185" s="42">
        <v>25.9</v>
      </c>
      <c r="M185" s="43" t="s">
        <v>29</v>
      </c>
      <c r="N185" s="44" t="s">
        <v>1079</v>
      </c>
      <c r="O185" s="43">
        <v>44146</v>
      </c>
      <c r="P185" s="42">
        <v>29.8</v>
      </c>
      <c r="Q185" s="42">
        <v>27.9</v>
      </c>
      <c r="R185" s="46" t="s">
        <v>29</v>
      </c>
      <c r="S185" s="43">
        <v>44146</v>
      </c>
      <c r="T185" s="51">
        <f t="shared" si="7"/>
        <v>3</v>
      </c>
      <c r="U185" s="52" t="str">
        <f t="shared" si="10"/>
        <v>Detectável</v>
      </c>
    </row>
    <row r="186" spans="1:21" ht="25.5" customHeight="1" x14ac:dyDescent="0.2">
      <c r="A186" s="51">
        <v>185</v>
      </c>
      <c r="B186" s="50" t="s">
        <v>1082</v>
      </c>
      <c r="C186" s="51">
        <v>48</v>
      </c>
      <c r="D186" s="51" t="s">
        <v>25</v>
      </c>
      <c r="E186" s="43">
        <v>44144</v>
      </c>
      <c r="F186" s="44" t="s">
        <v>60</v>
      </c>
      <c r="G186" s="51">
        <v>104</v>
      </c>
      <c r="H186" s="43">
        <v>44145</v>
      </c>
      <c r="I186" s="44" t="s">
        <v>1068</v>
      </c>
      <c r="J186" s="43">
        <v>44145</v>
      </c>
      <c r="K186" s="42">
        <v>32.200000000000003</v>
      </c>
      <c r="L186" s="42">
        <v>25.9</v>
      </c>
      <c r="M186" s="43" t="s">
        <v>29</v>
      </c>
      <c r="N186" s="44" t="s">
        <v>1079</v>
      </c>
      <c r="O186" s="43">
        <v>44146</v>
      </c>
      <c r="P186" s="42" t="s">
        <v>36</v>
      </c>
      <c r="Q186" s="42">
        <v>25.8</v>
      </c>
      <c r="R186" s="46" t="s">
        <v>31</v>
      </c>
      <c r="S186" s="43">
        <v>44146</v>
      </c>
      <c r="T186" s="51">
        <f t="shared" si="7"/>
        <v>3</v>
      </c>
      <c r="U186" s="52" t="str">
        <f t="shared" si="10"/>
        <v>Não Detectável</v>
      </c>
    </row>
    <row r="187" spans="1:21" ht="25.5" customHeight="1" x14ac:dyDescent="0.2">
      <c r="A187" s="51">
        <v>186</v>
      </c>
      <c r="B187" s="50" t="s">
        <v>1083</v>
      </c>
      <c r="C187" s="51">
        <v>18</v>
      </c>
      <c r="D187" s="51" t="s">
        <v>25</v>
      </c>
      <c r="E187" s="43">
        <v>44144</v>
      </c>
      <c r="F187" s="44" t="s">
        <v>60</v>
      </c>
      <c r="G187" s="51">
        <v>104</v>
      </c>
      <c r="H187" s="43">
        <v>44145</v>
      </c>
      <c r="I187" s="44" t="s">
        <v>1068</v>
      </c>
      <c r="J187" s="43">
        <v>44145</v>
      </c>
      <c r="K187" s="42">
        <v>32.200000000000003</v>
      </c>
      <c r="L187" s="42">
        <v>25.9</v>
      </c>
      <c r="M187" s="43" t="s">
        <v>29</v>
      </c>
      <c r="N187" s="44" t="s">
        <v>1079</v>
      </c>
      <c r="O187" s="43">
        <v>44146</v>
      </c>
      <c r="P187" s="42" t="s">
        <v>36</v>
      </c>
      <c r="Q187" s="42">
        <v>27.5</v>
      </c>
      <c r="R187" s="46" t="s">
        <v>31</v>
      </c>
      <c r="S187" s="43">
        <v>44146</v>
      </c>
      <c r="T187" s="51">
        <f t="shared" si="7"/>
        <v>3</v>
      </c>
      <c r="U187" s="52" t="str">
        <f t="shared" si="10"/>
        <v>Não Detectável</v>
      </c>
    </row>
    <row r="188" spans="1:21" ht="25.5" customHeight="1" x14ac:dyDescent="0.2">
      <c r="A188" s="51">
        <v>187</v>
      </c>
      <c r="B188" s="50" t="s">
        <v>1084</v>
      </c>
      <c r="C188" s="51">
        <v>54</v>
      </c>
      <c r="D188" s="51" t="s">
        <v>25</v>
      </c>
      <c r="E188" s="43">
        <v>44144</v>
      </c>
      <c r="F188" s="44" t="s">
        <v>60</v>
      </c>
      <c r="G188" s="51">
        <v>105</v>
      </c>
      <c r="H188" s="43">
        <v>44145</v>
      </c>
      <c r="I188" s="44" t="s">
        <v>1068</v>
      </c>
      <c r="J188" s="43">
        <v>44145</v>
      </c>
      <c r="K188" s="42" t="s">
        <v>36</v>
      </c>
      <c r="L188" s="42">
        <v>25.8</v>
      </c>
      <c r="M188" s="45" t="s">
        <v>31</v>
      </c>
      <c r="N188" s="44" t="s">
        <v>60</v>
      </c>
      <c r="O188" s="44" t="s">
        <v>60</v>
      </c>
      <c r="P188" s="42" t="s">
        <v>60</v>
      </c>
      <c r="Q188" s="42" t="s">
        <v>60</v>
      </c>
      <c r="R188" s="46" t="s">
        <v>60</v>
      </c>
      <c r="S188" s="43">
        <v>44145</v>
      </c>
      <c r="T188" s="51">
        <f t="shared" si="7"/>
        <v>3</v>
      </c>
      <c r="U188" s="52" t="str">
        <f t="shared" si="10"/>
        <v>Não Detectável</v>
      </c>
    </row>
    <row r="189" spans="1:21" ht="25.5" customHeight="1" x14ac:dyDescent="0.2">
      <c r="A189" s="51">
        <v>188</v>
      </c>
      <c r="B189" s="50" t="s">
        <v>1085</v>
      </c>
      <c r="C189" s="51">
        <v>48</v>
      </c>
      <c r="D189" s="51" t="s">
        <v>25</v>
      </c>
      <c r="E189" s="43">
        <v>44144</v>
      </c>
      <c r="F189" s="44" t="s">
        <v>60</v>
      </c>
      <c r="G189" s="51">
        <v>105</v>
      </c>
      <c r="H189" s="43">
        <v>44145</v>
      </c>
      <c r="I189" s="44" t="s">
        <v>1068</v>
      </c>
      <c r="J189" s="43">
        <v>44145</v>
      </c>
      <c r="K189" s="42" t="s">
        <v>36</v>
      </c>
      <c r="L189" s="42">
        <v>25.8</v>
      </c>
      <c r="M189" s="45" t="s">
        <v>31</v>
      </c>
      <c r="N189" s="44" t="s">
        <v>60</v>
      </c>
      <c r="O189" s="44" t="s">
        <v>60</v>
      </c>
      <c r="P189" s="42" t="s">
        <v>60</v>
      </c>
      <c r="Q189" s="42" t="s">
        <v>60</v>
      </c>
      <c r="R189" s="46" t="s">
        <v>60</v>
      </c>
      <c r="S189" s="43">
        <v>44145</v>
      </c>
      <c r="T189" s="51">
        <f t="shared" si="7"/>
        <v>3</v>
      </c>
      <c r="U189" s="52" t="str">
        <f t="shared" si="10"/>
        <v>Não Detectável</v>
      </c>
    </row>
    <row r="190" spans="1:21" ht="25.5" customHeight="1" x14ac:dyDescent="0.2">
      <c r="A190" s="51">
        <v>189</v>
      </c>
      <c r="B190" s="50" t="s">
        <v>1086</v>
      </c>
      <c r="C190" s="51">
        <v>24</v>
      </c>
      <c r="D190" s="51" t="s">
        <v>34</v>
      </c>
      <c r="E190" s="43">
        <v>44144</v>
      </c>
      <c r="F190" s="44" t="s">
        <v>60</v>
      </c>
      <c r="G190" s="51">
        <v>105</v>
      </c>
      <c r="H190" s="43">
        <v>44145</v>
      </c>
      <c r="I190" s="44" t="s">
        <v>1068</v>
      </c>
      <c r="J190" s="43">
        <v>44145</v>
      </c>
      <c r="K190" s="42" t="s">
        <v>36</v>
      </c>
      <c r="L190" s="42">
        <v>25.8</v>
      </c>
      <c r="M190" s="45" t="s">
        <v>31</v>
      </c>
      <c r="N190" s="44" t="s">
        <v>60</v>
      </c>
      <c r="O190" s="44" t="s">
        <v>60</v>
      </c>
      <c r="P190" s="42" t="s">
        <v>60</v>
      </c>
      <c r="Q190" s="42" t="s">
        <v>60</v>
      </c>
      <c r="R190" s="46" t="s">
        <v>60</v>
      </c>
      <c r="S190" s="43">
        <v>44145</v>
      </c>
      <c r="T190" s="51">
        <f t="shared" si="7"/>
        <v>3</v>
      </c>
      <c r="U190" s="52" t="str">
        <f t="shared" si="10"/>
        <v>Não Detectável</v>
      </c>
    </row>
    <row r="191" spans="1:21" ht="25.5" customHeight="1" x14ac:dyDescent="0.2">
      <c r="A191" s="51">
        <v>190</v>
      </c>
      <c r="B191" s="50" t="s">
        <v>1087</v>
      </c>
      <c r="C191" s="51">
        <v>47</v>
      </c>
      <c r="D191" s="51" t="s">
        <v>25</v>
      </c>
      <c r="E191" s="43">
        <v>44144</v>
      </c>
      <c r="F191" s="44" t="s">
        <v>60</v>
      </c>
      <c r="G191" s="51">
        <v>106</v>
      </c>
      <c r="H191" s="43">
        <v>44145</v>
      </c>
      <c r="I191" s="44" t="s">
        <v>1068</v>
      </c>
      <c r="J191" s="43">
        <v>44145</v>
      </c>
      <c r="K191" s="42" t="s">
        <v>36</v>
      </c>
      <c r="L191" s="42">
        <v>26.4</v>
      </c>
      <c r="M191" s="45" t="s">
        <v>31</v>
      </c>
      <c r="N191" s="44" t="s">
        <v>60</v>
      </c>
      <c r="O191" s="44" t="s">
        <v>60</v>
      </c>
      <c r="P191" s="42" t="s">
        <v>60</v>
      </c>
      <c r="Q191" s="42" t="s">
        <v>60</v>
      </c>
      <c r="R191" s="46" t="s">
        <v>60</v>
      </c>
      <c r="S191" s="43">
        <v>44145</v>
      </c>
      <c r="T191" s="51">
        <f t="shared" si="7"/>
        <v>3</v>
      </c>
      <c r="U191" s="52" t="str">
        <f t="shared" si="10"/>
        <v>Não Detectável</v>
      </c>
    </row>
    <row r="192" spans="1:21" ht="25.5" customHeight="1" x14ac:dyDescent="0.2">
      <c r="A192" s="51">
        <v>191</v>
      </c>
      <c r="B192" s="50" t="s">
        <v>1088</v>
      </c>
      <c r="C192" s="51">
        <v>25</v>
      </c>
      <c r="D192" s="51" t="s">
        <v>25</v>
      </c>
      <c r="E192" s="43">
        <v>44144</v>
      </c>
      <c r="F192" s="44" t="s">
        <v>60</v>
      </c>
      <c r="G192" s="51">
        <v>106</v>
      </c>
      <c r="H192" s="43">
        <v>44145</v>
      </c>
      <c r="I192" s="44" t="s">
        <v>1068</v>
      </c>
      <c r="J192" s="43">
        <v>44145</v>
      </c>
      <c r="K192" s="42" t="s">
        <v>36</v>
      </c>
      <c r="L192" s="42">
        <v>26.4</v>
      </c>
      <c r="M192" s="45" t="s">
        <v>31</v>
      </c>
      <c r="N192" s="44" t="s">
        <v>60</v>
      </c>
      <c r="O192" s="44" t="s">
        <v>60</v>
      </c>
      <c r="P192" s="42" t="s">
        <v>60</v>
      </c>
      <c r="Q192" s="42" t="s">
        <v>60</v>
      </c>
      <c r="R192" s="46" t="s">
        <v>60</v>
      </c>
      <c r="S192" s="43">
        <v>44145</v>
      </c>
      <c r="T192" s="51">
        <f t="shared" si="7"/>
        <v>3</v>
      </c>
      <c r="U192" s="52" t="str">
        <f t="shared" si="10"/>
        <v>Não Detectável</v>
      </c>
    </row>
    <row r="193" spans="1:21" ht="25.5" customHeight="1" x14ac:dyDescent="0.2">
      <c r="A193" s="51">
        <v>192</v>
      </c>
      <c r="B193" s="50" t="s">
        <v>1089</v>
      </c>
      <c r="C193" s="51">
        <v>30</v>
      </c>
      <c r="D193" s="51" t="s">
        <v>25</v>
      </c>
      <c r="E193" s="43">
        <v>44144</v>
      </c>
      <c r="F193" s="44" t="s">
        <v>60</v>
      </c>
      <c r="G193" s="51">
        <v>106</v>
      </c>
      <c r="H193" s="43">
        <v>44145</v>
      </c>
      <c r="I193" s="44" t="s">
        <v>1068</v>
      </c>
      <c r="J193" s="43">
        <v>44145</v>
      </c>
      <c r="K193" s="42" t="s">
        <v>36</v>
      </c>
      <c r="L193" s="42">
        <v>26.4</v>
      </c>
      <c r="M193" s="45" t="s">
        <v>31</v>
      </c>
      <c r="N193" s="44" t="s">
        <v>60</v>
      </c>
      <c r="O193" s="44" t="s">
        <v>60</v>
      </c>
      <c r="P193" s="42" t="s">
        <v>60</v>
      </c>
      <c r="Q193" s="42" t="s">
        <v>60</v>
      </c>
      <c r="R193" s="46" t="s">
        <v>60</v>
      </c>
      <c r="S193" s="43">
        <v>44145</v>
      </c>
      <c r="T193" s="51">
        <f t="shared" si="7"/>
        <v>3</v>
      </c>
      <c r="U193" s="52" t="str">
        <f t="shared" si="10"/>
        <v>Não Detectável</v>
      </c>
    </row>
    <row r="194" spans="1:21" ht="25.5" customHeight="1" x14ac:dyDescent="0.2">
      <c r="A194" s="51">
        <v>193</v>
      </c>
      <c r="B194" s="50" t="s">
        <v>1090</v>
      </c>
      <c r="C194" s="51">
        <v>23</v>
      </c>
      <c r="D194" s="51" t="s">
        <v>34</v>
      </c>
      <c r="E194" s="43">
        <v>44144</v>
      </c>
      <c r="F194" s="44" t="s">
        <v>60</v>
      </c>
      <c r="G194" s="51">
        <v>107</v>
      </c>
      <c r="H194" s="43">
        <v>44145</v>
      </c>
      <c r="I194" s="44" t="s">
        <v>1068</v>
      </c>
      <c r="J194" s="43">
        <v>44145</v>
      </c>
      <c r="K194" s="42">
        <v>24.5</v>
      </c>
      <c r="L194" s="42">
        <v>26.1</v>
      </c>
      <c r="M194" s="43" t="s">
        <v>29</v>
      </c>
      <c r="N194" s="44" t="s">
        <v>1079</v>
      </c>
      <c r="O194" s="43">
        <v>44146</v>
      </c>
      <c r="P194" s="42">
        <v>21.9</v>
      </c>
      <c r="Q194" s="42">
        <v>26.9</v>
      </c>
      <c r="R194" s="46" t="s">
        <v>29</v>
      </c>
      <c r="S194" s="43">
        <v>44146</v>
      </c>
      <c r="T194" s="51">
        <f t="shared" si="7"/>
        <v>3</v>
      </c>
      <c r="U194" s="52" t="str">
        <f t="shared" si="10"/>
        <v>Detectável</v>
      </c>
    </row>
    <row r="195" spans="1:21" ht="25.5" customHeight="1" x14ac:dyDescent="0.2">
      <c r="A195" s="51">
        <v>194</v>
      </c>
      <c r="B195" s="50" t="s">
        <v>1091</v>
      </c>
      <c r="C195" s="51">
        <v>24</v>
      </c>
      <c r="D195" s="51" t="s">
        <v>25</v>
      </c>
      <c r="E195" s="43">
        <v>44144</v>
      </c>
      <c r="F195" s="44" t="s">
        <v>60</v>
      </c>
      <c r="G195" s="51">
        <v>107</v>
      </c>
      <c r="H195" s="43">
        <v>44145</v>
      </c>
      <c r="I195" s="44" t="s">
        <v>1068</v>
      </c>
      <c r="J195" s="43">
        <v>44145</v>
      </c>
      <c r="K195" s="42">
        <v>24.5</v>
      </c>
      <c r="L195" s="42">
        <v>26.1</v>
      </c>
      <c r="M195" s="43" t="s">
        <v>29</v>
      </c>
      <c r="N195" s="44" t="s">
        <v>1079</v>
      </c>
      <c r="O195" s="43">
        <v>44146</v>
      </c>
      <c r="P195" s="42" t="s">
        <v>36</v>
      </c>
      <c r="Q195" s="42">
        <v>27.1</v>
      </c>
      <c r="R195" s="46" t="s">
        <v>31</v>
      </c>
      <c r="S195" s="43">
        <v>44146</v>
      </c>
      <c r="T195" s="51">
        <f t="shared" si="7"/>
        <v>3</v>
      </c>
      <c r="U195" s="52" t="str">
        <f t="shared" si="10"/>
        <v>Não Detectável</v>
      </c>
    </row>
    <row r="196" spans="1:21" ht="25.5" customHeight="1" x14ac:dyDescent="0.2">
      <c r="A196" s="51">
        <v>195</v>
      </c>
      <c r="B196" s="50" t="s">
        <v>1092</v>
      </c>
      <c r="C196" s="51">
        <v>31</v>
      </c>
      <c r="D196" s="51" t="s">
        <v>34</v>
      </c>
      <c r="E196" s="43">
        <v>44144</v>
      </c>
      <c r="F196" s="44" t="s">
        <v>60</v>
      </c>
      <c r="G196" s="51">
        <v>107</v>
      </c>
      <c r="H196" s="43">
        <v>44145</v>
      </c>
      <c r="I196" s="44" t="s">
        <v>1068</v>
      </c>
      <c r="J196" s="43">
        <v>44145</v>
      </c>
      <c r="K196" s="42">
        <v>24.5</v>
      </c>
      <c r="L196" s="42">
        <v>26.1</v>
      </c>
      <c r="M196" s="43" t="s">
        <v>29</v>
      </c>
      <c r="N196" s="44" t="s">
        <v>1079</v>
      </c>
      <c r="O196" s="43">
        <v>44146</v>
      </c>
      <c r="P196" s="42" t="s">
        <v>36</v>
      </c>
      <c r="Q196" s="42">
        <v>28.2</v>
      </c>
      <c r="R196" s="46" t="s">
        <v>31</v>
      </c>
      <c r="S196" s="43">
        <v>44146</v>
      </c>
      <c r="T196" s="51">
        <f t="shared" ref="T196:T198" si="11">COUNTIF(G:G,G196)</f>
        <v>3</v>
      </c>
      <c r="U196" s="52" t="str">
        <f t="shared" si="10"/>
        <v>Não Detectável</v>
      </c>
    </row>
    <row r="197" spans="1:21" ht="25.5" customHeight="1" x14ac:dyDescent="0.2">
      <c r="A197" s="51">
        <v>196</v>
      </c>
      <c r="B197" s="50" t="s">
        <v>1093</v>
      </c>
      <c r="C197" s="51">
        <v>58</v>
      </c>
      <c r="D197" s="51" t="s">
        <v>34</v>
      </c>
      <c r="E197" s="43">
        <v>44144</v>
      </c>
      <c r="F197" s="44" t="s">
        <v>60</v>
      </c>
      <c r="G197" s="51">
        <v>108</v>
      </c>
      <c r="H197" s="43">
        <v>44145</v>
      </c>
      <c r="I197" s="44" t="s">
        <v>1068</v>
      </c>
      <c r="J197" s="43">
        <v>44145</v>
      </c>
      <c r="K197" s="42">
        <v>31.2</v>
      </c>
      <c r="L197" s="42">
        <v>26.4</v>
      </c>
      <c r="M197" s="43" t="s">
        <v>29</v>
      </c>
      <c r="N197" s="44" t="s">
        <v>1079</v>
      </c>
      <c r="O197" s="43">
        <v>44146</v>
      </c>
      <c r="P197" s="42">
        <v>29.4</v>
      </c>
      <c r="Q197" s="42">
        <v>27.6</v>
      </c>
      <c r="R197" s="46" t="s">
        <v>29</v>
      </c>
      <c r="S197" s="43">
        <v>44146</v>
      </c>
      <c r="T197" s="51">
        <f t="shared" si="11"/>
        <v>3</v>
      </c>
      <c r="U197" s="52" t="str">
        <f t="shared" si="10"/>
        <v>Detectável</v>
      </c>
    </row>
    <row r="198" spans="1:21" ht="25.5" customHeight="1" x14ac:dyDescent="0.2">
      <c r="A198" s="51">
        <v>197</v>
      </c>
      <c r="B198" s="50" t="s">
        <v>1094</v>
      </c>
      <c r="C198" s="51">
        <v>29</v>
      </c>
      <c r="D198" s="51" t="s">
        <v>25</v>
      </c>
      <c r="E198" s="43">
        <v>44144</v>
      </c>
      <c r="F198" s="44" t="s">
        <v>60</v>
      </c>
      <c r="G198" s="51">
        <v>108</v>
      </c>
      <c r="H198" s="43">
        <v>44145</v>
      </c>
      <c r="I198" s="44" t="s">
        <v>1068</v>
      </c>
      <c r="J198" s="43">
        <v>44145</v>
      </c>
      <c r="K198" s="42">
        <v>31.2</v>
      </c>
      <c r="L198" s="42">
        <v>26.4</v>
      </c>
      <c r="M198" s="43" t="s">
        <v>29</v>
      </c>
      <c r="N198" s="44" t="s">
        <v>1079</v>
      </c>
      <c r="O198" s="43">
        <v>44146</v>
      </c>
      <c r="P198" s="42" t="s">
        <v>36</v>
      </c>
      <c r="Q198" s="42">
        <v>27.6</v>
      </c>
      <c r="R198" s="46" t="s">
        <v>31</v>
      </c>
      <c r="S198" s="43">
        <v>44146</v>
      </c>
      <c r="T198" s="51">
        <f t="shared" si="11"/>
        <v>3</v>
      </c>
      <c r="U198" s="52" t="str">
        <f t="shared" si="10"/>
        <v>Não Detectável</v>
      </c>
    </row>
    <row r="199" spans="1:21" ht="25.5" customHeight="1" x14ac:dyDescent="0.2">
      <c r="A199" s="51">
        <v>198</v>
      </c>
      <c r="B199" s="50" t="s">
        <v>1095</v>
      </c>
      <c r="C199" s="51">
        <v>26</v>
      </c>
      <c r="D199" s="51" t="s">
        <v>25</v>
      </c>
      <c r="E199" s="43">
        <v>44144</v>
      </c>
      <c r="F199" s="44" t="s">
        <v>60</v>
      </c>
      <c r="G199" s="51" t="s">
        <v>60</v>
      </c>
      <c r="H199" s="43" t="s">
        <v>60</v>
      </c>
      <c r="I199" s="44" t="s">
        <v>60</v>
      </c>
      <c r="J199" s="44" t="s">
        <v>60</v>
      </c>
      <c r="K199" s="42" t="s">
        <v>60</v>
      </c>
      <c r="L199" s="42" t="s">
        <v>60</v>
      </c>
      <c r="M199" s="44" t="s">
        <v>60</v>
      </c>
      <c r="N199" s="44" t="s">
        <v>60</v>
      </c>
      <c r="O199" s="44" t="s">
        <v>60</v>
      </c>
      <c r="P199" s="42" t="s">
        <v>60</v>
      </c>
      <c r="Q199" s="42" t="s">
        <v>60</v>
      </c>
      <c r="R199" s="46" t="s">
        <v>60</v>
      </c>
      <c r="S199" s="44" t="s">
        <v>60</v>
      </c>
      <c r="T199" s="44" t="s">
        <v>60</v>
      </c>
      <c r="U199" s="44" t="s">
        <v>60</v>
      </c>
    </row>
    <row r="200" spans="1:21" ht="25.5" customHeight="1" x14ac:dyDescent="0.2">
      <c r="A200" s="51">
        <v>199</v>
      </c>
      <c r="B200" s="50" t="s">
        <v>1096</v>
      </c>
      <c r="C200" s="51">
        <v>29</v>
      </c>
      <c r="D200" s="51" t="s">
        <v>25</v>
      </c>
      <c r="E200" s="43">
        <v>44144</v>
      </c>
      <c r="F200" s="44" t="s">
        <v>60</v>
      </c>
      <c r="G200" s="51">
        <v>108</v>
      </c>
      <c r="H200" s="43">
        <v>44145</v>
      </c>
      <c r="I200" s="44" t="s">
        <v>1068</v>
      </c>
      <c r="J200" s="43">
        <v>44145</v>
      </c>
      <c r="K200" s="42">
        <v>31.2</v>
      </c>
      <c r="L200" s="42">
        <v>26.4</v>
      </c>
      <c r="M200" s="43" t="s">
        <v>29</v>
      </c>
      <c r="N200" s="44" t="s">
        <v>1079</v>
      </c>
      <c r="O200" s="43">
        <v>44146</v>
      </c>
      <c r="P200" s="42" t="s">
        <v>36</v>
      </c>
      <c r="Q200" s="42">
        <v>26.6</v>
      </c>
      <c r="R200" s="46" t="s">
        <v>31</v>
      </c>
      <c r="S200" s="43">
        <v>44146</v>
      </c>
      <c r="T200" s="51">
        <f t="shared" ref="T200:T263" si="12">COUNTIF(G:G,G200)</f>
        <v>3</v>
      </c>
      <c r="U200" s="52" t="str">
        <f t="shared" ref="U200:U263" si="13">IF(M200="Não Detectável","Não Detectável",IF(R200="","",R200))</f>
        <v>Não Detectável</v>
      </c>
    </row>
    <row r="201" spans="1:21" ht="25.5" customHeight="1" x14ac:dyDescent="0.2">
      <c r="A201" s="51">
        <v>200</v>
      </c>
      <c r="B201" s="50" t="s">
        <v>1097</v>
      </c>
      <c r="C201" s="51">
        <v>44</v>
      </c>
      <c r="D201" s="51" t="s">
        <v>25</v>
      </c>
      <c r="E201" s="43">
        <v>44144</v>
      </c>
      <c r="F201" s="44" t="s">
        <v>60</v>
      </c>
      <c r="G201" s="51">
        <v>109</v>
      </c>
      <c r="H201" s="43">
        <v>44145</v>
      </c>
      <c r="I201" s="44" t="s">
        <v>1079</v>
      </c>
      <c r="J201" s="43">
        <v>44146</v>
      </c>
      <c r="K201" s="42">
        <v>19.5</v>
      </c>
      <c r="L201" s="42">
        <v>27.2</v>
      </c>
      <c r="M201" s="43" t="s">
        <v>29</v>
      </c>
      <c r="N201" s="44" t="s">
        <v>1098</v>
      </c>
      <c r="O201" s="43">
        <v>44147</v>
      </c>
      <c r="P201" s="42">
        <v>18.100000000000001</v>
      </c>
      <c r="Q201" s="42">
        <v>26.9</v>
      </c>
      <c r="R201" s="46" t="s">
        <v>29</v>
      </c>
      <c r="S201" s="43">
        <v>44147</v>
      </c>
      <c r="T201" s="51">
        <f t="shared" si="12"/>
        <v>3</v>
      </c>
      <c r="U201" s="52" t="str">
        <f t="shared" si="13"/>
        <v>Detectável</v>
      </c>
    </row>
    <row r="202" spans="1:21" ht="25.5" customHeight="1" x14ac:dyDescent="0.2">
      <c r="A202" s="51">
        <v>201</v>
      </c>
      <c r="B202" s="50" t="s">
        <v>1099</v>
      </c>
      <c r="C202" s="51">
        <v>23</v>
      </c>
      <c r="D202" s="51" t="s">
        <v>34</v>
      </c>
      <c r="E202" s="43">
        <v>44144</v>
      </c>
      <c r="F202" s="44" t="s">
        <v>60</v>
      </c>
      <c r="G202" s="51">
        <v>109</v>
      </c>
      <c r="H202" s="43">
        <v>44145</v>
      </c>
      <c r="I202" s="44" t="s">
        <v>1079</v>
      </c>
      <c r="J202" s="43">
        <v>44146</v>
      </c>
      <c r="K202" s="42">
        <v>19.5</v>
      </c>
      <c r="L202" s="42">
        <v>27.2</v>
      </c>
      <c r="M202" s="43" t="s">
        <v>29</v>
      </c>
      <c r="N202" s="44" t="s">
        <v>1098</v>
      </c>
      <c r="O202" s="43">
        <v>44147</v>
      </c>
      <c r="P202" s="42" t="s">
        <v>36</v>
      </c>
      <c r="Q202" s="42">
        <v>27.9</v>
      </c>
      <c r="R202" s="46" t="s">
        <v>31</v>
      </c>
      <c r="S202" s="43">
        <v>44147</v>
      </c>
      <c r="T202" s="51">
        <f t="shared" si="12"/>
        <v>3</v>
      </c>
      <c r="U202" s="52" t="str">
        <f t="shared" si="13"/>
        <v>Não Detectável</v>
      </c>
    </row>
    <row r="203" spans="1:21" ht="25.5" customHeight="1" x14ac:dyDescent="0.2">
      <c r="A203" s="51">
        <v>202</v>
      </c>
      <c r="B203" s="50" t="s">
        <v>1100</v>
      </c>
      <c r="C203" s="51">
        <v>29</v>
      </c>
      <c r="D203" s="51" t="s">
        <v>25</v>
      </c>
      <c r="E203" s="43">
        <v>44145</v>
      </c>
      <c r="F203" s="44" t="s">
        <v>60</v>
      </c>
      <c r="G203" s="51">
        <v>109</v>
      </c>
      <c r="H203" s="43">
        <v>44146</v>
      </c>
      <c r="I203" s="44" t="s">
        <v>1079</v>
      </c>
      <c r="J203" s="43">
        <v>44146</v>
      </c>
      <c r="K203" s="42">
        <v>19.5</v>
      </c>
      <c r="L203" s="42">
        <v>27.2</v>
      </c>
      <c r="M203" s="43" t="s">
        <v>29</v>
      </c>
      <c r="N203" s="44" t="s">
        <v>1098</v>
      </c>
      <c r="O203" s="43">
        <v>44147</v>
      </c>
      <c r="P203" s="42" t="s">
        <v>36</v>
      </c>
      <c r="Q203" s="42">
        <v>25.7</v>
      </c>
      <c r="R203" s="46" t="s">
        <v>31</v>
      </c>
      <c r="S203" s="43">
        <v>44147</v>
      </c>
      <c r="T203" s="51">
        <f t="shared" si="12"/>
        <v>3</v>
      </c>
      <c r="U203" s="52" t="str">
        <f t="shared" si="13"/>
        <v>Não Detectável</v>
      </c>
    </row>
    <row r="204" spans="1:21" ht="25.5" customHeight="1" x14ac:dyDescent="0.2">
      <c r="A204" s="51">
        <v>203</v>
      </c>
      <c r="B204" s="50" t="s">
        <v>1101</v>
      </c>
      <c r="C204" s="51">
        <v>48</v>
      </c>
      <c r="D204" s="51" t="s">
        <v>25</v>
      </c>
      <c r="E204" s="43">
        <v>44145</v>
      </c>
      <c r="F204" s="44" t="s">
        <v>60</v>
      </c>
      <c r="G204" s="51">
        <v>110</v>
      </c>
      <c r="H204" s="43">
        <v>44146</v>
      </c>
      <c r="I204" s="44" t="s">
        <v>1079</v>
      </c>
      <c r="J204" s="43">
        <v>44146</v>
      </c>
      <c r="K204" s="42">
        <v>24.3</v>
      </c>
      <c r="L204" s="42">
        <v>27.7</v>
      </c>
      <c r="M204" s="43" t="s">
        <v>29</v>
      </c>
      <c r="N204" s="44" t="s">
        <v>1098</v>
      </c>
      <c r="O204" s="43">
        <v>44147</v>
      </c>
      <c r="P204" s="42" t="s">
        <v>36</v>
      </c>
      <c r="Q204" s="42">
        <v>28.2</v>
      </c>
      <c r="R204" s="46" t="s">
        <v>31</v>
      </c>
      <c r="S204" s="43">
        <v>44147</v>
      </c>
      <c r="T204" s="51">
        <f t="shared" si="12"/>
        <v>3</v>
      </c>
      <c r="U204" s="52" t="str">
        <f t="shared" si="13"/>
        <v>Não Detectável</v>
      </c>
    </row>
    <row r="205" spans="1:21" ht="25.5" customHeight="1" x14ac:dyDescent="0.2">
      <c r="A205" s="51">
        <v>204</v>
      </c>
      <c r="B205" s="50" t="s">
        <v>1102</v>
      </c>
      <c r="C205" s="51">
        <v>47</v>
      </c>
      <c r="D205" s="51" t="s">
        <v>34</v>
      </c>
      <c r="E205" s="43">
        <v>44145</v>
      </c>
      <c r="F205" s="44" t="s">
        <v>60</v>
      </c>
      <c r="G205" s="51">
        <v>110</v>
      </c>
      <c r="H205" s="43">
        <v>44146</v>
      </c>
      <c r="I205" s="44" t="s">
        <v>1079</v>
      </c>
      <c r="J205" s="43">
        <v>44146</v>
      </c>
      <c r="K205" s="42">
        <v>24.3</v>
      </c>
      <c r="L205" s="42">
        <v>27.7</v>
      </c>
      <c r="M205" s="43" t="s">
        <v>29</v>
      </c>
      <c r="N205" s="44" t="s">
        <v>1098</v>
      </c>
      <c r="O205" s="43">
        <v>44147</v>
      </c>
      <c r="P205" s="42" t="s">
        <v>36</v>
      </c>
      <c r="Q205" s="42">
        <v>28.8</v>
      </c>
      <c r="R205" s="46" t="s">
        <v>31</v>
      </c>
      <c r="S205" s="43">
        <v>44147</v>
      </c>
      <c r="T205" s="51">
        <f t="shared" si="12"/>
        <v>3</v>
      </c>
      <c r="U205" s="52" t="str">
        <f t="shared" si="13"/>
        <v>Não Detectável</v>
      </c>
    </row>
    <row r="206" spans="1:21" ht="25.5" customHeight="1" x14ac:dyDescent="0.2">
      <c r="A206" s="51">
        <v>205</v>
      </c>
      <c r="B206" s="50" t="s">
        <v>1103</v>
      </c>
      <c r="C206" s="51">
        <v>33</v>
      </c>
      <c r="D206" s="51" t="s">
        <v>25</v>
      </c>
      <c r="E206" s="43">
        <v>44145</v>
      </c>
      <c r="F206" s="44" t="s">
        <v>60</v>
      </c>
      <c r="G206" s="51">
        <v>110</v>
      </c>
      <c r="H206" s="43">
        <v>44146</v>
      </c>
      <c r="I206" s="44" t="s">
        <v>1079</v>
      </c>
      <c r="J206" s="43">
        <v>44146</v>
      </c>
      <c r="K206" s="42">
        <v>24.3</v>
      </c>
      <c r="L206" s="42">
        <v>27.7</v>
      </c>
      <c r="M206" s="43" t="s">
        <v>29</v>
      </c>
      <c r="N206" s="44" t="s">
        <v>1098</v>
      </c>
      <c r="O206" s="43">
        <v>44147</v>
      </c>
      <c r="P206" s="42">
        <v>22.2</v>
      </c>
      <c r="Q206" s="42">
        <v>26</v>
      </c>
      <c r="R206" s="46" t="s">
        <v>29</v>
      </c>
      <c r="S206" s="43">
        <v>44147</v>
      </c>
      <c r="T206" s="51">
        <f t="shared" si="12"/>
        <v>3</v>
      </c>
      <c r="U206" s="52" t="str">
        <f t="shared" si="13"/>
        <v>Detectável</v>
      </c>
    </row>
    <row r="207" spans="1:21" ht="25.5" customHeight="1" x14ac:dyDescent="0.2">
      <c r="A207" s="51">
        <v>206</v>
      </c>
      <c r="B207" s="50" t="s">
        <v>1104</v>
      </c>
      <c r="C207" s="51">
        <v>48</v>
      </c>
      <c r="D207" s="51" t="s">
        <v>25</v>
      </c>
      <c r="E207" s="43">
        <v>44145</v>
      </c>
      <c r="F207" s="44" t="s">
        <v>60</v>
      </c>
      <c r="G207" s="51">
        <v>111</v>
      </c>
      <c r="H207" s="43">
        <v>44146</v>
      </c>
      <c r="I207" s="44" t="s">
        <v>1079</v>
      </c>
      <c r="J207" s="43">
        <v>44146</v>
      </c>
      <c r="K207" s="42" t="s">
        <v>36</v>
      </c>
      <c r="L207" s="42">
        <v>27.8</v>
      </c>
      <c r="M207" s="45" t="s">
        <v>31</v>
      </c>
      <c r="N207" s="44" t="s">
        <v>60</v>
      </c>
      <c r="O207" s="44" t="s">
        <v>60</v>
      </c>
      <c r="P207" s="42" t="s">
        <v>60</v>
      </c>
      <c r="Q207" s="42" t="s">
        <v>60</v>
      </c>
      <c r="R207" s="46" t="s">
        <v>60</v>
      </c>
      <c r="S207" s="43">
        <v>44146</v>
      </c>
      <c r="T207" s="51">
        <f t="shared" si="12"/>
        <v>3</v>
      </c>
      <c r="U207" s="52" t="str">
        <f t="shared" si="13"/>
        <v>Não Detectável</v>
      </c>
    </row>
    <row r="208" spans="1:21" ht="25.5" customHeight="1" x14ac:dyDescent="0.2">
      <c r="A208" s="51">
        <v>207</v>
      </c>
      <c r="B208" s="50" t="s">
        <v>1105</v>
      </c>
      <c r="C208" s="51">
        <v>24</v>
      </c>
      <c r="D208" s="51" t="s">
        <v>34</v>
      </c>
      <c r="E208" s="43">
        <v>44145</v>
      </c>
      <c r="F208" s="44" t="s">
        <v>60</v>
      </c>
      <c r="G208" s="51">
        <v>111</v>
      </c>
      <c r="H208" s="43">
        <v>44146</v>
      </c>
      <c r="I208" s="44" t="s">
        <v>1079</v>
      </c>
      <c r="J208" s="43">
        <v>44146</v>
      </c>
      <c r="K208" s="42" t="s">
        <v>36</v>
      </c>
      <c r="L208" s="42">
        <v>27.8</v>
      </c>
      <c r="M208" s="45" t="s">
        <v>31</v>
      </c>
      <c r="N208" s="44" t="s">
        <v>60</v>
      </c>
      <c r="O208" s="44" t="s">
        <v>60</v>
      </c>
      <c r="P208" s="42" t="s">
        <v>60</v>
      </c>
      <c r="Q208" s="42" t="s">
        <v>60</v>
      </c>
      <c r="R208" s="46" t="s">
        <v>60</v>
      </c>
      <c r="S208" s="43">
        <v>44146</v>
      </c>
      <c r="T208" s="51">
        <f t="shared" si="12"/>
        <v>3</v>
      </c>
      <c r="U208" s="52" t="str">
        <f t="shared" si="13"/>
        <v>Não Detectável</v>
      </c>
    </row>
    <row r="209" spans="1:21" ht="25.5" customHeight="1" x14ac:dyDescent="0.2">
      <c r="A209" s="51">
        <v>208</v>
      </c>
      <c r="B209" s="50" t="s">
        <v>1106</v>
      </c>
      <c r="C209" s="51">
        <v>20</v>
      </c>
      <c r="D209" s="51" t="s">
        <v>25</v>
      </c>
      <c r="E209" s="43">
        <v>44145</v>
      </c>
      <c r="F209" s="44" t="s">
        <v>60</v>
      </c>
      <c r="G209" s="51">
        <v>111</v>
      </c>
      <c r="H209" s="43">
        <v>44146</v>
      </c>
      <c r="I209" s="44" t="s">
        <v>1079</v>
      </c>
      <c r="J209" s="43">
        <v>44146</v>
      </c>
      <c r="K209" s="42" t="s">
        <v>36</v>
      </c>
      <c r="L209" s="42">
        <v>27.8</v>
      </c>
      <c r="M209" s="45" t="s">
        <v>31</v>
      </c>
      <c r="N209" s="44" t="s">
        <v>60</v>
      </c>
      <c r="O209" s="44" t="s">
        <v>60</v>
      </c>
      <c r="P209" s="42" t="s">
        <v>60</v>
      </c>
      <c r="Q209" s="42" t="s">
        <v>60</v>
      </c>
      <c r="R209" s="46" t="s">
        <v>60</v>
      </c>
      <c r="S209" s="43">
        <v>44146</v>
      </c>
      <c r="T209" s="51">
        <f t="shared" si="12"/>
        <v>3</v>
      </c>
      <c r="U209" s="52" t="str">
        <f t="shared" si="13"/>
        <v>Não Detectável</v>
      </c>
    </row>
    <row r="210" spans="1:21" ht="25.5" customHeight="1" x14ac:dyDescent="0.2">
      <c r="A210" s="51">
        <v>209</v>
      </c>
      <c r="B210" s="50" t="s">
        <v>1107</v>
      </c>
      <c r="C210" s="51">
        <v>28</v>
      </c>
      <c r="D210" s="51" t="s">
        <v>34</v>
      </c>
      <c r="E210" s="43">
        <v>44145</v>
      </c>
      <c r="F210" s="44" t="s">
        <v>60</v>
      </c>
      <c r="G210" s="51">
        <v>112</v>
      </c>
      <c r="H210" s="43">
        <v>44146</v>
      </c>
      <c r="I210" s="44" t="s">
        <v>1098</v>
      </c>
      <c r="J210" s="43">
        <v>44147</v>
      </c>
      <c r="K210" s="42" t="s">
        <v>36</v>
      </c>
      <c r="L210" s="42">
        <v>25.9</v>
      </c>
      <c r="M210" s="45" t="s">
        <v>31</v>
      </c>
      <c r="N210" s="44" t="s">
        <v>60</v>
      </c>
      <c r="O210" s="44" t="s">
        <v>60</v>
      </c>
      <c r="P210" s="42" t="s">
        <v>60</v>
      </c>
      <c r="Q210" s="42" t="s">
        <v>60</v>
      </c>
      <c r="R210" s="46" t="s">
        <v>60</v>
      </c>
      <c r="S210" s="43">
        <v>44147</v>
      </c>
      <c r="T210" s="51">
        <f t="shared" si="12"/>
        <v>3</v>
      </c>
      <c r="U210" s="52" t="str">
        <f t="shared" si="13"/>
        <v>Não Detectável</v>
      </c>
    </row>
    <row r="211" spans="1:21" ht="25.5" customHeight="1" x14ac:dyDescent="0.2">
      <c r="A211" s="51">
        <v>210</v>
      </c>
      <c r="B211" s="50" t="s">
        <v>1108</v>
      </c>
      <c r="C211" s="51">
        <v>23</v>
      </c>
      <c r="D211" s="51" t="s">
        <v>25</v>
      </c>
      <c r="E211" s="43">
        <v>44146</v>
      </c>
      <c r="F211" s="44" t="s">
        <v>60</v>
      </c>
      <c r="G211" s="51">
        <v>112</v>
      </c>
      <c r="H211" s="43">
        <v>44147</v>
      </c>
      <c r="I211" s="44" t="s">
        <v>1098</v>
      </c>
      <c r="J211" s="43">
        <v>44147</v>
      </c>
      <c r="K211" s="42" t="s">
        <v>36</v>
      </c>
      <c r="L211" s="42">
        <v>25.9</v>
      </c>
      <c r="M211" s="45" t="s">
        <v>31</v>
      </c>
      <c r="N211" s="44" t="s">
        <v>60</v>
      </c>
      <c r="O211" s="44" t="s">
        <v>60</v>
      </c>
      <c r="P211" s="42" t="s">
        <v>60</v>
      </c>
      <c r="Q211" s="42" t="s">
        <v>60</v>
      </c>
      <c r="R211" s="46" t="s">
        <v>60</v>
      </c>
      <c r="S211" s="43">
        <v>44147</v>
      </c>
      <c r="T211" s="51">
        <f t="shared" si="12"/>
        <v>3</v>
      </c>
      <c r="U211" s="52" t="str">
        <f t="shared" si="13"/>
        <v>Não Detectável</v>
      </c>
    </row>
    <row r="212" spans="1:21" ht="25.5" customHeight="1" x14ac:dyDescent="0.2">
      <c r="A212" s="51">
        <v>211</v>
      </c>
      <c r="B212" s="50" t="s">
        <v>1109</v>
      </c>
      <c r="C212" s="51">
        <v>58</v>
      </c>
      <c r="D212" s="51" t="s">
        <v>25</v>
      </c>
      <c r="E212" s="43">
        <v>44146</v>
      </c>
      <c r="F212" s="44" t="s">
        <v>60</v>
      </c>
      <c r="G212" s="51">
        <v>113</v>
      </c>
      <c r="H212" s="43">
        <v>44147</v>
      </c>
      <c r="I212" s="44" t="s">
        <v>1098</v>
      </c>
      <c r="J212" s="43">
        <v>44147</v>
      </c>
      <c r="K212" s="42" t="s">
        <v>36</v>
      </c>
      <c r="L212" s="42">
        <v>26</v>
      </c>
      <c r="M212" s="45" t="s">
        <v>31</v>
      </c>
      <c r="N212" s="44" t="s">
        <v>60</v>
      </c>
      <c r="O212" s="44" t="s">
        <v>60</v>
      </c>
      <c r="P212" s="42" t="s">
        <v>60</v>
      </c>
      <c r="Q212" s="42" t="s">
        <v>60</v>
      </c>
      <c r="R212" s="46" t="s">
        <v>60</v>
      </c>
      <c r="S212" s="43">
        <v>44147</v>
      </c>
      <c r="T212" s="51">
        <f t="shared" si="12"/>
        <v>3</v>
      </c>
      <c r="U212" s="52" t="str">
        <f t="shared" si="13"/>
        <v>Não Detectável</v>
      </c>
    </row>
    <row r="213" spans="1:21" ht="25.5" customHeight="1" x14ac:dyDescent="0.2">
      <c r="A213" s="51">
        <v>212</v>
      </c>
      <c r="B213" s="50" t="s">
        <v>1110</v>
      </c>
      <c r="C213" s="51">
        <v>26</v>
      </c>
      <c r="D213" s="51" t="s">
        <v>25</v>
      </c>
      <c r="E213" s="43">
        <v>44146</v>
      </c>
      <c r="F213" s="44" t="s">
        <v>60</v>
      </c>
      <c r="G213" s="51">
        <v>112</v>
      </c>
      <c r="H213" s="43">
        <v>44147</v>
      </c>
      <c r="I213" s="44" t="s">
        <v>1098</v>
      </c>
      <c r="J213" s="43">
        <v>44147</v>
      </c>
      <c r="K213" s="42" t="s">
        <v>36</v>
      </c>
      <c r="L213" s="42">
        <v>25.9</v>
      </c>
      <c r="M213" s="45" t="s">
        <v>31</v>
      </c>
      <c r="N213" s="44" t="s">
        <v>60</v>
      </c>
      <c r="O213" s="44" t="s">
        <v>60</v>
      </c>
      <c r="P213" s="42" t="s">
        <v>60</v>
      </c>
      <c r="Q213" s="42" t="s">
        <v>60</v>
      </c>
      <c r="R213" s="46" t="s">
        <v>60</v>
      </c>
      <c r="S213" s="43">
        <v>44147</v>
      </c>
      <c r="T213" s="51">
        <f t="shared" si="12"/>
        <v>3</v>
      </c>
      <c r="U213" s="52" t="str">
        <f t="shared" si="13"/>
        <v>Não Detectável</v>
      </c>
    </row>
    <row r="214" spans="1:21" ht="25.5" customHeight="1" x14ac:dyDescent="0.2">
      <c r="A214" s="51">
        <v>213</v>
      </c>
      <c r="B214" s="50" t="s">
        <v>1111</v>
      </c>
      <c r="C214" s="51">
        <v>40</v>
      </c>
      <c r="D214" s="51" t="s">
        <v>25</v>
      </c>
      <c r="E214" s="43">
        <v>44146</v>
      </c>
      <c r="F214" s="44" t="s">
        <v>60</v>
      </c>
      <c r="G214" s="51">
        <v>113</v>
      </c>
      <c r="H214" s="43">
        <v>44147</v>
      </c>
      <c r="I214" s="44" t="s">
        <v>1098</v>
      </c>
      <c r="J214" s="43">
        <v>44147</v>
      </c>
      <c r="K214" s="42" t="s">
        <v>36</v>
      </c>
      <c r="L214" s="42">
        <v>26</v>
      </c>
      <c r="M214" s="45" t="s">
        <v>31</v>
      </c>
      <c r="N214" s="44" t="s">
        <v>60</v>
      </c>
      <c r="O214" s="44" t="s">
        <v>60</v>
      </c>
      <c r="P214" s="42" t="s">
        <v>60</v>
      </c>
      <c r="Q214" s="42" t="s">
        <v>60</v>
      </c>
      <c r="R214" s="46" t="s">
        <v>60</v>
      </c>
      <c r="S214" s="43">
        <v>44147</v>
      </c>
      <c r="T214" s="51">
        <f t="shared" si="12"/>
        <v>3</v>
      </c>
      <c r="U214" s="52" t="str">
        <f t="shared" si="13"/>
        <v>Não Detectável</v>
      </c>
    </row>
    <row r="215" spans="1:21" ht="25.5" customHeight="1" x14ac:dyDescent="0.2">
      <c r="A215" s="51">
        <v>214</v>
      </c>
      <c r="B215" s="50" t="s">
        <v>1112</v>
      </c>
      <c r="C215" s="51">
        <v>30</v>
      </c>
      <c r="D215" s="51" t="s">
        <v>34</v>
      </c>
      <c r="E215" s="43">
        <v>44146</v>
      </c>
      <c r="F215" s="44" t="s">
        <v>60</v>
      </c>
      <c r="G215" s="51">
        <v>113</v>
      </c>
      <c r="H215" s="43">
        <v>44147</v>
      </c>
      <c r="I215" s="44" t="s">
        <v>1098</v>
      </c>
      <c r="J215" s="43">
        <v>44147</v>
      </c>
      <c r="K215" s="42" t="s">
        <v>36</v>
      </c>
      <c r="L215" s="42">
        <v>26</v>
      </c>
      <c r="M215" s="45" t="s">
        <v>31</v>
      </c>
      <c r="N215" s="44" t="s">
        <v>60</v>
      </c>
      <c r="O215" s="44" t="s">
        <v>60</v>
      </c>
      <c r="P215" s="42" t="s">
        <v>60</v>
      </c>
      <c r="Q215" s="42" t="s">
        <v>60</v>
      </c>
      <c r="R215" s="46" t="s">
        <v>60</v>
      </c>
      <c r="S215" s="43">
        <v>44147</v>
      </c>
      <c r="T215" s="51">
        <f t="shared" si="12"/>
        <v>3</v>
      </c>
      <c r="U215" s="52" t="str">
        <f t="shared" si="13"/>
        <v>Não Detectável</v>
      </c>
    </row>
    <row r="216" spans="1:21" ht="25.5" customHeight="1" x14ac:dyDescent="0.2">
      <c r="A216" s="51">
        <v>215</v>
      </c>
      <c r="B216" s="50" t="s">
        <v>1113</v>
      </c>
      <c r="C216" s="51">
        <v>39</v>
      </c>
      <c r="D216" s="51" t="s">
        <v>34</v>
      </c>
      <c r="E216" s="43">
        <v>44146</v>
      </c>
      <c r="F216" s="44" t="s">
        <v>60</v>
      </c>
      <c r="G216" s="51">
        <v>114</v>
      </c>
      <c r="H216" s="43">
        <v>44147</v>
      </c>
      <c r="I216" s="44" t="s">
        <v>1098</v>
      </c>
      <c r="J216" s="43">
        <v>44147</v>
      </c>
      <c r="K216" s="42">
        <v>17.100000000000001</v>
      </c>
      <c r="L216" s="42">
        <v>27.6</v>
      </c>
      <c r="M216" s="43" t="s">
        <v>29</v>
      </c>
      <c r="N216" s="44" t="s">
        <v>1114</v>
      </c>
      <c r="O216" s="43">
        <v>44148</v>
      </c>
      <c r="P216" s="42" t="s">
        <v>36</v>
      </c>
      <c r="Q216" s="42">
        <v>28</v>
      </c>
      <c r="R216" s="46" t="s">
        <v>31</v>
      </c>
      <c r="S216" s="43">
        <v>44148</v>
      </c>
      <c r="T216" s="51">
        <f t="shared" si="12"/>
        <v>3</v>
      </c>
      <c r="U216" s="52" t="str">
        <f t="shared" si="13"/>
        <v>Não Detectável</v>
      </c>
    </row>
    <row r="217" spans="1:21" ht="25.5" customHeight="1" x14ac:dyDescent="0.2">
      <c r="A217" s="51">
        <v>216</v>
      </c>
      <c r="B217" s="50" t="s">
        <v>1115</v>
      </c>
      <c r="C217" s="51">
        <v>52</v>
      </c>
      <c r="D217" s="51" t="s">
        <v>25</v>
      </c>
      <c r="E217" s="43">
        <v>44146</v>
      </c>
      <c r="F217" s="44" t="s">
        <v>60</v>
      </c>
      <c r="G217" s="51">
        <v>114</v>
      </c>
      <c r="H217" s="43">
        <v>44147</v>
      </c>
      <c r="I217" s="44" t="s">
        <v>1098</v>
      </c>
      <c r="J217" s="43">
        <v>44147</v>
      </c>
      <c r="K217" s="42">
        <v>17.100000000000001</v>
      </c>
      <c r="L217" s="42">
        <v>27.6</v>
      </c>
      <c r="M217" s="43" t="s">
        <v>29</v>
      </c>
      <c r="N217" s="44" t="s">
        <v>1114</v>
      </c>
      <c r="O217" s="43">
        <v>44148</v>
      </c>
      <c r="P217" s="42" t="s">
        <v>36</v>
      </c>
      <c r="Q217" s="42">
        <v>27.3</v>
      </c>
      <c r="R217" s="46" t="s">
        <v>31</v>
      </c>
      <c r="S217" s="43">
        <v>44148</v>
      </c>
      <c r="T217" s="51">
        <f t="shared" si="12"/>
        <v>3</v>
      </c>
      <c r="U217" s="52" t="str">
        <f t="shared" si="13"/>
        <v>Não Detectável</v>
      </c>
    </row>
    <row r="218" spans="1:21" ht="25.5" customHeight="1" x14ac:dyDescent="0.2">
      <c r="A218" s="51">
        <v>217</v>
      </c>
      <c r="B218" s="50" t="s">
        <v>1116</v>
      </c>
      <c r="C218" s="51">
        <v>68</v>
      </c>
      <c r="D218" s="51" t="s">
        <v>34</v>
      </c>
      <c r="E218" s="43">
        <v>44146</v>
      </c>
      <c r="F218" s="44" t="s">
        <v>60</v>
      </c>
      <c r="G218" s="51">
        <v>114</v>
      </c>
      <c r="H218" s="43">
        <v>44147</v>
      </c>
      <c r="I218" s="44" t="s">
        <v>1098</v>
      </c>
      <c r="J218" s="43">
        <v>44147</v>
      </c>
      <c r="K218" s="42">
        <v>17.100000000000001</v>
      </c>
      <c r="L218" s="42">
        <v>27.6</v>
      </c>
      <c r="M218" s="43" t="s">
        <v>29</v>
      </c>
      <c r="N218" s="44" t="s">
        <v>1114</v>
      </c>
      <c r="O218" s="43">
        <v>44148</v>
      </c>
      <c r="P218" s="42">
        <v>16</v>
      </c>
      <c r="Q218" s="42">
        <v>27.5</v>
      </c>
      <c r="R218" s="46" t="s">
        <v>29</v>
      </c>
      <c r="S218" s="43">
        <v>44148</v>
      </c>
      <c r="T218" s="51">
        <f t="shared" si="12"/>
        <v>3</v>
      </c>
      <c r="U218" s="52" t="str">
        <f t="shared" si="13"/>
        <v>Detectável</v>
      </c>
    </row>
    <row r="219" spans="1:21" ht="25.5" customHeight="1" x14ac:dyDescent="0.2">
      <c r="A219" s="51">
        <v>218</v>
      </c>
      <c r="B219" s="50" t="s">
        <v>1117</v>
      </c>
      <c r="C219" s="51">
        <v>72</v>
      </c>
      <c r="D219" s="51" t="s">
        <v>25</v>
      </c>
      <c r="E219" s="43">
        <v>44146</v>
      </c>
      <c r="F219" s="44" t="s">
        <v>60</v>
      </c>
      <c r="G219" s="51">
        <v>115</v>
      </c>
      <c r="H219" s="43">
        <v>44147</v>
      </c>
      <c r="I219" s="44" t="s">
        <v>1114</v>
      </c>
      <c r="J219" s="43">
        <v>44148</v>
      </c>
      <c r="K219" s="42">
        <v>24.5</v>
      </c>
      <c r="L219" s="42">
        <v>27.3</v>
      </c>
      <c r="M219" s="43" t="s">
        <v>29</v>
      </c>
      <c r="N219" s="44" t="s">
        <v>1118</v>
      </c>
      <c r="O219" s="43">
        <v>44151</v>
      </c>
      <c r="P219" s="42">
        <v>23.3</v>
      </c>
      <c r="Q219" s="42">
        <v>27.9</v>
      </c>
      <c r="R219" s="46" t="s">
        <v>29</v>
      </c>
      <c r="S219" s="43">
        <v>44151</v>
      </c>
      <c r="T219" s="51">
        <f t="shared" si="12"/>
        <v>3</v>
      </c>
      <c r="U219" s="52" t="str">
        <f t="shared" si="13"/>
        <v>Detectável</v>
      </c>
    </row>
    <row r="220" spans="1:21" ht="25.5" customHeight="1" x14ac:dyDescent="0.2">
      <c r="A220" s="51">
        <v>219</v>
      </c>
      <c r="B220" s="50" t="s">
        <v>1119</v>
      </c>
      <c r="C220" s="51">
        <v>33</v>
      </c>
      <c r="D220" s="51" t="s">
        <v>25</v>
      </c>
      <c r="E220" s="43">
        <v>44146</v>
      </c>
      <c r="F220" s="44" t="s">
        <v>60</v>
      </c>
      <c r="G220" s="51">
        <v>115</v>
      </c>
      <c r="H220" s="43">
        <v>44147</v>
      </c>
      <c r="I220" s="44" t="s">
        <v>1114</v>
      </c>
      <c r="J220" s="43">
        <v>44148</v>
      </c>
      <c r="K220" s="42">
        <v>24.5</v>
      </c>
      <c r="L220" s="42">
        <v>27.3</v>
      </c>
      <c r="M220" s="43" t="s">
        <v>29</v>
      </c>
      <c r="N220" s="44" t="s">
        <v>1118</v>
      </c>
      <c r="O220" s="43">
        <v>44151</v>
      </c>
      <c r="P220" s="42" t="s">
        <v>36</v>
      </c>
      <c r="Q220" s="42">
        <v>26</v>
      </c>
      <c r="R220" s="46" t="s">
        <v>31</v>
      </c>
      <c r="S220" s="43">
        <v>44151</v>
      </c>
      <c r="T220" s="51">
        <f t="shared" si="12"/>
        <v>3</v>
      </c>
      <c r="U220" s="52" t="str">
        <f t="shared" si="13"/>
        <v>Não Detectável</v>
      </c>
    </row>
    <row r="221" spans="1:21" ht="25.5" customHeight="1" x14ac:dyDescent="0.2">
      <c r="A221" s="51">
        <v>220</v>
      </c>
      <c r="B221" s="50" t="s">
        <v>1120</v>
      </c>
      <c r="C221" s="51">
        <v>51</v>
      </c>
      <c r="D221" s="51" t="s">
        <v>34</v>
      </c>
      <c r="E221" s="43">
        <v>44147</v>
      </c>
      <c r="F221" s="44" t="s">
        <v>60</v>
      </c>
      <c r="G221" s="51">
        <v>115</v>
      </c>
      <c r="H221" s="43">
        <v>44148</v>
      </c>
      <c r="I221" s="44" t="s">
        <v>1114</v>
      </c>
      <c r="J221" s="43">
        <v>44148</v>
      </c>
      <c r="K221" s="42">
        <v>24.5</v>
      </c>
      <c r="L221" s="42">
        <v>27.3</v>
      </c>
      <c r="M221" s="43" t="s">
        <v>29</v>
      </c>
      <c r="N221" s="44" t="s">
        <v>1118</v>
      </c>
      <c r="O221" s="43">
        <v>44151</v>
      </c>
      <c r="P221" s="42">
        <v>36.200000000000003</v>
      </c>
      <c r="Q221" s="42">
        <v>26.4</v>
      </c>
      <c r="R221" s="46" t="s">
        <v>29</v>
      </c>
      <c r="S221" s="43">
        <v>44151</v>
      </c>
      <c r="T221" s="51">
        <f t="shared" si="12"/>
        <v>3</v>
      </c>
      <c r="U221" s="52" t="str">
        <f t="shared" si="13"/>
        <v>Detectável</v>
      </c>
    </row>
    <row r="222" spans="1:21" ht="25.5" customHeight="1" x14ac:dyDescent="0.2">
      <c r="A222" s="51">
        <v>221</v>
      </c>
      <c r="B222" s="50" t="s">
        <v>1121</v>
      </c>
      <c r="C222" s="51">
        <v>26</v>
      </c>
      <c r="D222" s="51" t="s">
        <v>34</v>
      </c>
      <c r="E222" s="43">
        <v>44147</v>
      </c>
      <c r="F222" s="44" t="s">
        <v>60</v>
      </c>
      <c r="G222" s="51">
        <v>116</v>
      </c>
      <c r="H222" s="43">
        <v>44148</v>
      </c>
      <c r="I222" s="44" t="s">
        <v>1114</v>
      </c>
      <c r="J222" s="43">
        <v>44148</v>
      </c>
      <c r="K222" s="42" t="s">
        <v>36</v>
      </c>
      <c r="L222" s="42">
        <v>26.4</v>
      </c>
      <c r="M222" s="45" t="s">
        <v>31</v>
      </c>
      <c r="N222" s="44" t="s">
        <v>60</v>
      </c>
      <c r="O222" s="44" t="s">
        <v>60</v>
      </c>
      <c r="P222" s="42" t="s">
        <v>60</v>
      </c>
      <c r="Q222" s="42" t="s">
        <v>60</v>
      </c>
      <c r="R222" s="46" t="s">
        <v>60</v>
      </c>
      <c r="S222" s="43">
        <v>44148</v>
      </c>
      <c r="T222" s="51">
        <f t="shared" si="12"/>
        <v>3</v>
      </c>
      <c r="U222" s="52" t="str">
        <f t="shared" si="13"/>
        <v>Não Detectável</v>
      </c>
    </row>
    <row r="223" spans="1:21" ht="25.5" customHeight="1" x14ac:dyDescent="0.2">
      <c r="A223" s="51">
        <v>222</v>
      </c>
      <c r="B223" s="50" t="s">
        <v>1122</v>
      </c>
      <c r="C223" s="51">
        <v>47</v>
      </c>
      <c r="D223" s="51" t="s">
        <v>34</v>
      </c>
      <c r="E223" s="43">
        <v>44147</v>
      </c>
      <c r="F223" s="44" t="s">
        <v>60</v>
      </c>
      <c r="G223" s="51">
        <v>116</v>
      </c>
      <c r="H223" s="43">
        <v>44148</v>
      </c>
      <c r="I223" s="44" t="s">
        <v>1114</v>
      </c>
      <c r="J223" s="43">
        <v>44148</v>
      </c>
      <c r="K223" s="42" t="s">
        <v>36</v>
      </c>
      <c r="L223" s="42">
        <v>26.4</v>
      </c>
      <c r="M223" s="45" t="s">
        <v>31</v>
      </c>
      <c r="N223" s="44" t="s">
        <v>60</v>
      </c>
      <c r="O223" s="44" t="s">
        <v>60</v>
      </c>
      <c r="P223" s="42" t="s">
        <v>60</v>
      </c>
      <c r="Q223" s="42" t="s">
        <v>60</v>
      </c>
      <c r="R223" s="46" t="s">
        <v>60</v>
      </c>
      <c r="S223" s="43">
        <v>44148</v>
      </c>
      <c r="T223" s="51">
        <f t="shared" si="12"/>
        <v>3</v>
      </c>
      <c r="U223" s="52" t="str">
        <f t="shared" si="13"/>
        <v>Não Detectável</v>
      </c>
    </row>
    <row r="224" spans="1:21" ht="25.5" customHeight="1" x14ac:dyDescent="0.2">
      <c r="A224" s="51">
        <v>223</v>
      </c>
      <c r="B224" s="50" t="s">
        <v>1123</v>
      </c>
      <c r="C224" s="51">
        <v>39</v>
      </c>
      <c r="D224" s="51" t="s">
        <v>34</v>
      </c>
      <c r="E224" s="43">
        <v>44147</v>
      </c>
      <c r="F224" s="44" t="s">
        <v>60</v>
      </c>
      <c r="G224" s="51">
        <v>116</v>
      </c>
      <c r="H224" s="43">
        <v>44148</v>
      </c>
      <c r="I224" s="44" t="s">
        <v>1114</v>
      </c>
      <c r="J224" s="43">
        <v>44148</v>
      </c>
      <c r="K224" s="42" t="s">
        <v>36</v>
      </c>
      <c r="L224" s="42">
        <v>26.4</v>
      </c>
      <c r="M224" s="45" t="s">
        <v>31</v>
      </c>
      <c r="N224" s="44" t="s">
        <v>60</v>
      </c>
      <c r="O224" s="44" t="s">
        <v>60</v>
      </c>
      <c r="P224" s="42" t="s">
        <v>60</v>
      </c>
      <c r="Q224" s="42" t="s">
        <v>60</v>
      </c>
      <c r="R224" s="46" t="s">
        <v>60</v>
      </c>
      <c r="S224" s="43">
        <v>44148</v>
      </c>
      <c r="T224" s="51">
        <f t="shared" si="12"/>
        <v>3</v>
      </c>
      <c r="U224" s="52" t="str">
        <f t="shared" si="13"/>
        <v>Não Detectável</v>
      </c>
    </row>
    <row r="225" spans="1:21" ht="25.5" customHeight="1" x14ac:dyDescent="0.2">
      <c r="A225" s="51">
        <v>224</v>
      </c>
      <c r="B225" s="50" t="s">
        <v>1124</v>
      </c>
      <c r="C225" s="51">
        <v>35</v>
      </c>
      <c r="D225" s="51" t="s">
        <v>34</v>
      </c>
      <c r="E225" s="43">
        <v>44147</v>
      </c>
      <c r="F225" s="44" t="s">
        <v>60</v>
      </c>
      <c r="G225" s="51">
        <v>117</v>
      </c>
      <c r="H225" s="43">
        <v>44148</v>
      </c>
      <c r="I225" s="44" t="s">
        <v>1118</v>
      </c>
      <c r="J225" s="43">
        <v>44151</v>
      </c>
      <c r="K225" s="42" t="s">
        <v>36</v>
      </c>
      <c r="L225" s="42">
        <v>27.1</v>
      </c>
      <c r="M225" s="45" t="s">
        <v>31</v>
      </c>
      <c r="N225" s="44" t="s">
        <v>60</v>
      </c>
      <c r="O225" s="44" t="s">
        <v>60</v>
      </c>
      <c r="P225" s="42" t="s">
        <v>60</v>
      </c>
      <c r="Q225" s="42" t="s">
        <v>60</v>
      </c>
      <c r="R225" s="46" t="s">
        <v>60</v>
      </c>
      <c r="S225" s="43">
        <v>44151</v>
      </c>
      <c r="T225" s="51">
        <f t="shared" si="12"/>
        <v>3</v>
      </c>
      <c r="U225" s="52" t="str">
        <f t="shared" si="13"/>
        <v>Não Detectável</v>
      </c>
    </row>
    <row r="226" spans="1:21" ht="25.5" customHeight="1" x14ac:dyDescent="0.2">
      <c r="A226" s="51">
        <v>225</v>
      </c>
      <c r="B226" s="50" t="s">
        <v>1125</v>
      </c>
      <c r="C226" s="51">
        <v>40</v>
      </c>
      <c r="D226" s="51" t="s">
        <v>34</v>
      </c>
      <c r="E226" s="43">
        <v>44147</v>
      </c>
      <c r="F226" s="44" t="s">
        <v>60</v>
      </c>
      <c r="G226" s="51">
        <v>117</v>
      </c>
      <c r="H226" s="43">
        <v>44148</v>
      </c>
      <c r="I226" s="44" t="s">
        <v>1118</v>
      </c>
      <c r="J226" s="43">
        <v>44151</v>
      </c>
      <c r="K226" s="42" t="s">
        <v>36</v>
      </c>
      <c r="L226" s="42">
        <v>27.1</v>
      </c>
      <c r="M226" s="45" t="s">
        <v>31</v>
      </c>
      <c r="N226" s="44" t="s">
        <v>60</v>
      </c>
      <c r="O226" s="44" t="s">
        <v>60</v>
      </c>
      <c r="P226" s="42" t="s">
        <v>60</v>
      </c>
      <c r="Q226" s="42" t="s">
        <v>60</v>
      </c>
      <c r="R226" s="46" t="s">
        <v>60</v>
      </c>
      <c r="S226" s="43">
        <v>44151</v>
      </c>
      <c r="T226" s="51">
        <f t="shared" si="12"/>
        <v>3</v>
      </c>
      <c r="U226" s="52" t="str">
        <f t="shared" si="13"/>
        <v>Não Detectável</v>
      </c>
    </row>
    <row r="227" spans="1:21" ht="25.5" customHeight="1" x14ac:dyDescent="0.2">
      <c r="A227" s="51">
        <v>226</v>
      </c>
      <c r="B227" s="50" t="s">
        <v>1126</v>
      </c>
      <c r="C227" s="51">
        <v>56</v>
      </c>
      <c r="D227" s="51" t="s">
        <v>34</v>
      </c>
      <c r="E227" s="43">
        <v>44148</v>
      </c>
      <c r="F227" s="44" t="s">
        <v>60</v>
      </c>
      <c r="G227" s="51">
        <v>117</v>
      </c>
      <c r="H227" s="43">
        <v>44151</v>
      </c>
      <c r="I227" s="44" t="s">
        <v>1118</v>
      </c>
      <c r="J227" s="43">
        <v>44151</v>
      </c>
      <c r="K227" s="42" t="s">
        <v>36</v>
      </c>
      <c r="L227" s="42">
        <v>27.1</v>
      </c>
      <c r="M227" s="45" t="s">
        <v>31</v>
      </c>
      <c r="N227" s="44" t="s">
        <v>60</v>
      </c>
      <c r="O227" s="44" t="s">
        <v>60</v>
      </c>
      <c r="P227" s="42" t="s">
        <v>60</v>
      </c>
      <c r="Q227" s="42" t="s">
        <v>60</v>
      </c>
      <c r="R227" s="46" t="s">
        <v>60</v>
      </c>
      <c r="S227" s="43">
        <v>44151</v>
      </c>
      <c r="T227" s="51">
        <f t="shared" si="12"/>
        <v>3</v>
      </c>
      <c r="U227" s="52" t="str">
        <f t="shared" si="13"/>
        <v>Não Detectável</v>
      </c>
    </row>
    <row r="228" spans="1:21" ht="25.5" customHeight="1" x14ac:dyDescent="0.2">
      <c r="A228" s="51">
        <v>227</v>
      </c>
      <c r="B228" s="50" t="s">
        <v>1127</v>
      </c>
      <c r="C228" s="51">
        <v>39</v>
      </c>
      <c r="D228" s="51" t="s">
        <v>25</v>
      </c>
      <c r="E228" s="43">
        <v>44148</v>
      </c>
      <c r="F228" s="44" t="s">
        <v>60</v>
      </c>
      <c r="G228" s="51">
        <v>118</v>
      </c>
      <c r="H228" s="43">
        <v>44151</v>
      </c>
      <c r="I228" s="44" t="s">
        <v>1118</v>
      </c>
      <c r="J228" s="43">
        <v>44151</v>
      </c>
      <c r="K228" s="42" t="s">
        <v>36</v>
      </c>
      <c r="L228" s="42">
        <v>25.9</v>
      </c>
      <c r="M228" s="45" t="s">
        <v>31</v>
      </c>
      <c r="N228" s="44" t="s">
        <v>60</v>
      </c>
      <c r="O228" s="44" t="s">
        <v>60</v>
      </c>
      <c r="P228" s="42" t="s">
        <v>60</v>
      </c>
      <c r="Q228" s="42" t="s">
        <v>60</v>
      </c>
      <c r="R228" s="46" t="s">
        <v>60</v>
      </c>
      <c r="S228" s="43">
        <v>44151</v>
      </c>
      <c r="T228" s="51">
        <f t="shared" si="12"/>
        <v>3</v>
      </c>
      <c r="U228" s="52" t="str">
        <f t="shared" si="13"/>
        <v>Não Detectável</v>
      </c>
    </row>
    <row r="229" spans="1:21" ht="25.5" customHeight="1" x14ac:dyDescent="0.2">
      <c r="A229" s="51">
        <v>228</v>
      </c>
      <c r="B229" s="50" t="s">
        <v>1128</v>
      </c>
      <c r="C229" s="51">
        <v>23</v>
      </c>
      <c r="D229" s="51" t="s">
        <v>25</v>
      </c>
      <c r="E229" s="43">
        <v>44148</v>
      </c>
      <c r="F229" s="44" t="s">
        <v>60</v>
      </c>
      <c r="G229" s="51">
        <v>118</v>
      </c>
      <c r="H229" s="43">
        <v>44151</v>
      </c>
      <c r="I229" s="44" t="s">
        <v>1118</v>
      </c>
      <c r="J229" s="43">
        <v>44151</v>
      </c>
      <c r="K229" s="42" t="s">
        <v>36</v>
      </c>
      <c r="L229" s="42">
        <v>25.9</v>
      </c>
      <c r="M229" s="45" t="s">
        <v>31</v>
      </c>
      <c r="N229" s="44" t="s">
        <v>60</v>
      </c>
      <c r="O229" s="44" t="s">
        <v>60</v>
      </c>
      <c r="P229" s="42" t="s">
        <v>60</v>
      </c>
      <c r="Q229" s="42" t="s">
        <v>60</v>
      </c>
      <c r="R229" s="46" t="s">
        <v>60</v>
      </c>
      <c r="S229" s="43">
        <v>44151</v>
      </c>
      <c r="T229" s="51">
        <f t="shared" si="12"/>
        <v>3</v>
      </c>
      <c r="U229" s="52" t="str">
        <f t="shared" si="13"/>
        <v>Não Detectável</v>
      </c>
    </row>
    <row r="230" spans="1:21" ht="25.5" customHeight="1" x14ac:dyDescent="0.2">
      <c r="A230" s="51">
        <v>229</v>
      </c>
      <c r="B230" s="50" t="s">
        <v>1129</v>
      </c>
      <c r="C230" s="51">
        <v>50</v>
      </c>
      <c r="D230" s="51" t="s">
        <v>34</v>
      </c>
      <c r="E230" s="43">
        <v>44148</v>
      </c>
      <c r="F230" s="44" t="s">
        <v>60</v>
      </c>
      <c r="G230" s="51">
        <v>118</v>
      </c>
      <c r="H230" s="43">
        <v>44151</v>
      </c>
      <c r="I230" s="44" t="s">
        <v>1118</v>
      </c>
      <c r="J230" s="43">
        <v>44151</v>
      </c>
      <c r="K230" s="42" t="s">
        <v>36</v>
      </c>
      <c r="L230" s="42">
        <v>25.9</v>
      </c>
      <c r="M230" s="45" t="s">
        <v>31</v>
      </c>
      <c r="N230" s="44" t="s">
        <v>60</v>
      </c>
      <c r="O230" s="44" t="s">
        <v>60</v>
      </c>
      <c r="P230" s="42" t="s">
        <v>60</v>
      </c>
      <c r="Q230" s="42" t="s">
        <v>60</v>
      </c>
      <c r="R230" s="46" t="s">
        <v>60</v>
      </c>
      <c r="S230" s="43">
        <v>44151</v>
      </c>
      <c r="T230" s="51">
        <f t="shared" si="12"/>
        <v>3</v>
      </c>
      <c r="U230" s="52" t="str">
        <f t="shared" si="13"/>
        <v>Não Detectável</v>
      </c>
    </row>
    <row r="231" spans="1:21" ht="25.5" customHeight="1" x14ac:dyDescent="0.2">
      <c r="A231" s="51">
        <v>230</v>
      </c>
      <c r="B231" s="50" t="s">
        <v>1130</v>
      </c>
      <c r="C231" s="51">
        <v>23</v>
      </c>
      <c r="D231" s="51" t="s">
        <v>34</v>
      </c>
      <c r="E231" s="43">
        <v>44148</v>
      </c>
      <c r="F231" s="44" t="s">
        <v>60</v>
      </c>
      <c r="G231" s="51">
        <v>119</v>
      </c>
      <c r="H231" s="43">
        <v>44151</v>
      </c>
      <c r="I231" s="44" t="s">
        <v>1118</v>
      </c>
      <c r="J231" s="43">
        <v>44151</v>
      </c>
      <c r="K231" s="42" t="s">
        <v>36</v>
      </c>
      <c r="L231" s="42">
        <v>26.3</v>
      </c>
      <c r="M231" s="45" t="s">
        <v>31</v>
      </c>
      <c r="N231" s="44" t="s">
        <v>60</v>
      </c>
      <c r="O231" s="44" t="s">
        <v>60</v>
      </c>
      <c r="P231" s="42" t="s">
        <v>60</v>
      </c>
      <c r="Q231" s="42" t="s">
        <v>60</v>
      </c>
      <c r="R231" s="46" t="s">
        <v>60</v>
      </c>
      <c r="S231" s="43">
        <v>44151</v>
      </c>
      <c r="T231" s="51">
        <f t="shared" si="12"/>
        <v>3</v>
      </c>
      <c r="U231" s="52" t="str">
        <f t="shared" si="13"/>
        <v>Não Detectável</v>
      </c>
    </row>
    <row r="232" spans="1:21" ht="25.5" customHeight="1" x14ac:dyDescent="0.2">
      <c r="A232" s="51">
        <v>231</v>
      </c>
      <c r="B232" s="50" t="s">
        <v>1131</v>
      </c>
      <c r="C232" s="51">
        <v>25</v>
      </c>
      <c r="D232" s="51" t="s">
        <v>25</v>
      </c>
      <c r="E232" s="43" t="s">
        <v>1132</v>
      </c>
      <c r="F232" s="44" t="s">
        <v>60</v>
      </c>
      <c r="G232" s="51">
        <v>119</v>
      </c>
      <c r="H232" s="43">
        <v>44151</v>
      </c>
      <c r="I232" s="44" t="s">
        <v>1118</v>
      </c>
      <c r="J232" s="43">
        <v>44151</v>
      </c>
      <c r="K232" s="42" t="s">
        <v>36</v>
      </c>
      <c r="L232" s="42">
        <v>26.3</v>
      </c>
      <c r="M232" s="45" t="s">
        <v>31</v>
      </c>
      <c r="N232" s="44" t="s">
        <v>60</v>
      </c>
      <c r="O232" s="44" t="s">
        <v>60</v>
      </c>
      <c r="P232" s="42" t="s">
        <v>60</v>
      </c>
      <c r="Q232" s="42" t="s">
        <v>60</v>
      </c>
      <c r="R232" s="46" t="s">
        <v>60</v>
      </c>
      <c r="S232" s="43">
        <v>44151</v>
      </c>
      <c r="T232" s="51">
        <f t="shared" si="12"/>
        <v>3</v>
      </c>
      <c r="U232" s="52" t="str">
        <f t="shared" si="13"/>
        <v>Não Detectável</v>
      </c>
    </row>
    <row r="233" spans="1:21" ht="25.5" customHeight="1" x14ac:dyDescent="0.2">
      <c r="A233" s="51">
        <v>232</v>
      </c>
      <c r="B233" s="50" t="s">
        <v>1133</v>
      </c>
      <c r="C233" s="51">
        <v>28</v>
      </c>
      <c r="D233" s="51" t="s">
        <v>25</v>
      </c>
      <c r="E233" s="43" t="s">
        <v>1132</v>
      </c>
      <c r="F233" s="44" t="s">
        <v>60</v>
      </c>
      <c r="G233" s="51">
        <v>119</v>
      </c>
      <c r="H233" s="43">
        <v>44151</v>
      </c>
      <c r="I233" s="44" t="s">
        <v>1118</v>
      </c>
      <c r="J233" s="43">
        <v>44151</v>
      </c>
      <c r="K233" s="42" t="s">
        <v>36</v>
      </c>
      <c r="L233" s="42">
        <v>26.3</v>
      </c>
      <c r="M233" s="45" t="s">
        <v>31</v>
      </c>
      <c r="N233" s="44" t="s">
        <v>60</v>
      </c>
      <c r="O233" s="44" t="s">
        <v>60</v>
      </c>
      <c r="P233" s="42" t="s">
        <v>60</v>
      </c>
      <c r="Q233" s="42" t="s">
        <v>60</v>
      </c>
      <c r="R233" s="46" t="s">
        <v>60</v>
      </c>
      <c r="S233" s="43">
        <v>44151</v>
      </c>
      <c r="T233" s="51">
        <f t="shared" si="12"/>
        <v>3</v>
      </c>
      <c r="U233" s="52" t="str">
        <f t="shared" si="13"/>
        <v>Não Detectável</v>
      </c>
    </row>
    <row r="234" spans="1:21" ht="25.5" customHeight="1" x14ac:dyDescent="0.2">
      <c r="A234" s="51">
        <v>233</v>
      </c>
      <c r="B234" s="50" t="s">
        <v>1134</v>
      </c>
      <c r="C234" s="51">
        <v>21</v>
      </c>
      <c r="D234" s="51" t="s">
        <v>34</v>
      </c>
      <c r="E234" s="43" t="s">
        <v>1132</v>
      </c>
      <c r="F234" s="44" t="s">
        <v>60</v>
      </c>
      <c r="G234" s="51">
        <v>120</v>
      </c>
      <c r="H234" s="43">
        <v>44151</v>
      </c>
      <c r="I234" s="44" t="s">
        <v>1118</v>
      </c>
      <c r="J234" s="43">
        <v>44151</v>
      </c>
      <c r="K234" s="42" t="s">
        <v>36</v>
      </c>
      <c r="L234" s="42">
        <v>26.1</v>
      </c>
      <c r="M234" s="45" t="s">
        <v>31</v>
      </c>
      <c r="N234" s="44" t="s">
        <v>60</v>
      </c>
      <c r="O234" s="44" t="s">
        <v>60</v>
      </c>
      <c r="P234" s="42" t="s">
        <v>60</v>
      </c>
      <c r="Q234" s="42" t="s">
        <v>60</v>
      </c>
      <c r="R234" s="46" t="s">
        <v>60</v>
      </c>
      <c r="S234" s="43">
        <v>44151</v>
      </c>
      <c r="T234" s="51">
        <f t="shared" si="12"/>
        <v>3</v>
      </c>
      <c r="U234" s="52" t="str">
        <f t="shared" si="13"/>
        <v>Não Detectável</v>
      </c>
    </row>
    <row r="235" spans="1:21" ht="25.5" customHeight="1" x14ac:dyDescent="0.2">
      <c r="A235" s="51">
        <v>234</v>
      </c>
      <c r="B235" s="50" t="s">
        <v>1135</v>
      </c>
      <c r="C235" s="51">
        <v>56</v>
      </c>
      <c r="D235" s="51" t="s">
        <v>34</v>
      </c>
      <c r="E235" s="43" t="s">
        <v>1132</v>
      </c>
      <c r="F235" s="44" t="s">
        <v>60</v>
      </c>
      <c r="G235" s="51">
        <v>120</v>
      </c>
      <c r="H235" s="43">
        <v>44151</v>
      </c>
      <c r="I235" s="44" t="s">
        <v>1118</v>
      </c>
      <c r="J235" s="43">
        <v>44151</v>
      </c>
      <c r="K235" s="42" t="s">
        <v>36</v>
      </c>
      <c r="L235" s="42">
        <v>26.1</v>
      </c>
      <c r="M235" s="45" t="s">
        <v>31</v>
      </c>
      <c r="N235" s="44" t="s">
        <v>60</v>
      </c>
      <c r="O235" s="44" t="s">
        <v>60</v>
      </c>
      <c r="P235" s="42" t="s">
        <v>60</v>
      </c>
      <c r="Q235" s="42" t="s">
        <v>60</v>
      </c>
      <c r="R235" s="46" t="s">
        <v>60</v>
      </c>
      <c r="S235" s="43">
        <v>44151</v>
      </c>
      <c r="T235" s="51">
        <f t="shared" si="12"/>
        <v>3</v>
      </c>
      <c r="U235" s="52" t="str">
        <f t="shared" si="13"/>
        <v>Não Detectável</v>
      </c>
    </row>
    <row r="236" spans="1:21" ht="25.5" customHeight="1" x14ac:dyDescent="0.2">
      <c r="A236" s="51">
        <v>235</v>
      </c>
      <c r="B236" s="50" t="s">
        <v>1136</v>
      </c>
      <c r="C236" s="51">
        <v>29</v>
      </c>
      <c r="D236" s="51" t="s">
        <v>25</v>
      </c>
      <c r="E236" s="43" t="s">
        <v>1132</v>
      </c>
      <c r="F236" s="44" t="s">
        <v>60</v>
      </c>
      <c r="G236" s="51">
        <v>120</v>
      </c>
      <c r="H236" s="43">
        <v>44151</v>
      </c>
      <c r="I236" s="44" t="s">
        <v>1118</v>
      </c>
      <c r="J236" s="43">
        <v>44151</v>
      </c>
      <c r="K236" s="42" t="s">
        <v>36</v>
      </c>
      <c r="L236" s="42">
        <v>26.1</v>
      </c>
      <c r="M236" s="45" t="s">
        <v>31</v>
      </c>
      <c r="N236" s="44" t="s">
        <v>60</v>
      </c>
      <c r="O236" s="44" t="s">
        <v>60</v>
      </c>
      <c r="P236" s="42" t="s">
        <v>60</v>
      </c>
      <c r="Q236" s="42" t="s">
        <v>60</v>
      </c>
      <c r="R236" s="46" t="s">
        <v>60</v>
      </c>
      <c r="S236" s="43">
        <v>44151</v>
      </c>
      <c r="T236" s="51">
        <f t="shared" si="12"/>
        <v>3</v>
      </c>
      <c r="U236" s="52" t="str">
        <f t="shared" si="13"/>
        <v>Não Detectável</v>
      </c>
    </row>
    <row r="237" spans="1:21" ht="25.5" customHeight="1" x14ac:dyDescent="0.2">
      <c r="A237" s="51">
        <v>236</v>
      </c>
      <c r="B237" s="50" t="s">
        <v>1137</v>
      </c>
      <c r="C237" s="51">
        <v>37</v>
      </c>
      <c r="D237" s="51" t="s">
        <v>34</v>
      </c>
      <c r="E237" s="43" t="s">
        <v>1132</v>
      </c>
      <c r="F237" s="44" t="s">
        <v>60</v>
      </c>
      <c r="G237" s="51">
        <v>121</v>
      </c>
      <c r="H237" s="43">
        <v>44151</v>
      </c>
      <c r="I237" s="44" t="s">
        <v>1138</v>
      </c>
      <c r="J237" s="43">
        <v>44152</v>
      </c>
      <c r="K237" s="42" t="s">
        <v>36</v>
      </c>
      <c r="L237" s="42">
        <v>27.5</v>
      </c>
      <c r="M237" s="45" t="s">
        <v>31</v>
      </c>
      <c r="N237" s="44" t="s">
        <v>60</v>
      </c>
      <c r="O237" s="44" t="s">
        <v>60</v>
      </c>
      <c r="P237" s="42" t="s">
        <v>60</v>
      </c>
      <c r="Q237" s="42" t="s">
        <v>60</v>
      </c>
      <c r="R237" s="46" t="s">
        <v>60</v>
      </c>
      <c r="S237" s="43">
        <v>44152</v>
      </c>
      <c r="T237" s="51">
        <f t="shared" si="12"/>
        <v>3</v>
      </c>
      <c r="U237" s="52" t="str">
        <f t="shared" si="13"/>
        <v>Não Detectável</v>
      </c>
    </row>
    <row r="238" spans="1:21" ht="25.5" customHeight="1" x14ac:dyDescent="0.2">
      <c r="A238" s="51">
        <v>237</v>
      </c>
      <c r="B238" s="50" t="s">
        <v>1139</v>
      </c>
      <c r="C238" s="51">
        <v>65</v>
      </c>
      <c r="D238" s="51" t="s">
        <v>34</v>
      </c>
      <c r="E238" s="43" t="s">
        <v>1132</v>
      </c>
      <c r="F238" s="44" t="s">
        <v>60</v>
      </c>
      <c r="G238" s="51">
        <v>121</v>
      </c>
      <c r="H238" s="43">
        <v>44151</v>
      </c>
      <c r="I238" s="44" t="s">
        <v>1138</v>
      </c>
      <c r="J238" s="43">
        <v>44152</v>
      </c>
      <c r="K238" s="42" t="s">
        <v>36</v>
      </c>
      <c r="L238" s="42">
        <v>27.5</v>
      </c>
      <c r="M238" s="45" t="s">
        <v>31</v>
      </c>
      <c r="N238" s="44" t="s">
        <v>60</v>
      </c>
      <c r="O238" s="44" t="s">
        <v>60</v>
      </c>
      <c r="P238" s="42" t="s">
        <v>60</v>
      </c>
      <c r="Q238" s="42" t="s">
        <v>60</v>
      </c>
      <c r="R238" s="46" t="s">
        <v>60</v>
      </c>
      <c r="S238" s="43">
        <v>44152</v>
      </c>
      <c r="T238" s="51">
        <f t="shared" si="12"/>
        <v>3</v>
      </c>
      <c r="U238" s="52" t="str">
        <f t="shared" si="13"/>
        <v>Não Detectável</v>
      </c>
    </row>
    <row r="239" spans="1:21" ht="25.5" customHeight="1" x14ac:dyDescent="0.2">
      <c r="A239" s="51">
        <v>238</v>
      </c>
      <c r="B239" s="50" t="s">
        <v>1140</v>
      </c>
      <c r="C239" s="51">
        <v>46</v>
      </c>
      <c r="D239" s="51" t="s">
        <v>34</v>
      </c>
      <c r="E239" s="43" t="s">
        <v>1141</v>
      </c>
      <c r="F239" s="44" t="s">
        <v>60</v>
      </c>
      <c r="G239" s="51">
        <v>121</v>
      </c>
      <c r="H239" s="43">
        <v>44152</v>
      </c>
      <c r="I239" s="44" t="s">
        <v>1138</v>
      </c>
      <c r="J239" s="43">
        <v>44152</v>
      </c>
      <c r="K239" s="42" t="s">
        <v>36</v>
      </c>
      <c r="L239" s="42">
        <v>27.5</v>
      </c>
      <c r="M239" s="45" t="s">
        <v>31</v>
      </c>
      <c r="N239" s="44" t="s">
        <v>60</v>
      </c>
      <c r="O239" s="44" t="s">
        <v>60</v>
      </c>
      <c r="P239" s="42" t="s">
        <v>60</v>
      </c>
      <c r="Q239" s="42" t="s">
        <v>60</v>
      </c>
      <c r="R239" s="46" t="s">
        <v>60</v>
      </c>
      <c r="S239" s="43">
        <v>44152</v>
      </c>
      <c r="T239" s="51">
        <f t="shared" si="12"/>
        <v>3</v>
      </c>
      <c r="U239" s="52" t="str">
        <f t="shared" si="13"/>
        <v>Não Detectável</v>
      </c>
    </row>
    <row r="240" spans="1:21" ht="25.5" customHeight="1" x14ac:dyDescent="0.2">
      <c r="A240" s="51">
        <v>239</v>
      </c>
      <c r="B240" s="50" t="s">
        <v>1142</v>
      </c>
      <c r="C240" s="51">
        <v>32</v>
      </c>
      <c r="D240" s="51" t="s">
        <v>25</v>
      </c>
      <c r="E240" s="43" t="s">
        <v>1141</v>
      </c>
      <c r="F240" s="44" t="s">
        <v>60</v>
      </c>
      <c r="G240" s="51">
        <v>122</v>
      </c>
      <c r="H240" s="43">
        <v>44152</v>
      </c>
      <c r="I240" s="44" t="s">
        <v>1138</v>
      </c>
      <c r="J240" s="43">
        <v>44152</v>
      </c>
      <c r="K240" s="42">
        <v>18.2</v>
      </c>
      <c r="L240" s="42">
        <v>26.6</v>
      </c>
      <c r="M240" s="43" t="s">
        <v>29</v>
      </c>
      <c r="N240" s="44" t="s">
        <v>1143</v>
      </c>
      <c r="O240" s="43">
        <v>44153</v>
      </c>
      <c r="P240" s="42">
        <v>23.7</v>
      </c>
      <c r="Q240" s="42">
        <v>27</v>
      </c>
      <c r="R240" s="46" t="s">
        <v>29</v>
      </c>
      <c r="S240" s="43">
        <v>44153</v>
      </c>
      <c r="T240" s="51">
        <f t="shared" si="12"/>
        <v>3</v>
      </c>
      <c r="U240" s="52" t="str">
        <f t="shared" si="13"/>
        <v>Detectável</v>
      </c>
    </row>
    <row r="241" spans="1:21" ht="25.5" customHeight="1" x14ac:dyDescent="0.2">
      <c r="A241" s="51">
        <v>240</v>
      </c>
      <c r="B241" s="50" t="s">
        <v>1144</v>
      </c>
      <c r="C241" s="51">
        <v>61</v>
      </c>
      <c r="D241" s="51" t="s">
        <v>25</v>
      </c>
      <c r="E241" s="43" t="s">
        <v>1141</v>
      </c>
      <c r="F241" s="44" t="s">
        <v>60</v>
      </c>
      <c r="G241" s="51">
        <v>122</v>
      </c>
      <c r="H241" s="43">
        <v>44152</v>
      </c>
      <c r="I241" s="44" t="s">
        <v>1138</v>
      </c>
      <c r="J241" s="43">
        <v>44152</v>
      </c>
      <c r="K241" s="42">
        <v>18.2</v>
      </c>
      <c r="L241" s="42">
        <v>26.6</v>
      </c>
      <c r="M241" s="43" t="s">
        <v>29</v>
      </c>
      <c r="N241" s="44" t="s">
        <v>1143</v>
      </c>
      <c r="O241" s="43">
        <v>44153</v>
      </c>
      <c r="P241" s="42">
        <v>16.600000000000001</v>
      </c>
      <c r="Q241" s="42">
        <v>27.5</v>
      </c>
      <c r="R241" s="46" t="s">
        <v>29</v>
      </c>
      <c r="S241" s="43">
        <v>44153</v>
      </c>
      <c r="T241" s="51">
        <f t="shared" si="12"/>
        <v>3</v>
      </c>
      <c r="U241" s="52" t="str">
        <f t="shared" si="13"/>
        <v>Detectável</v>
      </c>
    </row>
    <row r="242" spans="1:21" ht="25.5" customHeight="1" x14ac:dyDescent="0.2">
      <c r="A242" s="51">
        <v>241</v>
      </c>
      <c r="B242" s="50" t="s">
        <v>1145</v>
      </c>
      <c r="C242" s="51">
        <v>45</v>
      </c>
      <c r="D242" s="51" t="s">
        <v>25</v>
      </c>
      <c r="E242" s="43" t="s">
        <v>1141</v>
      </c>
      <c r="F242" s="44" t="s">
        <v>60</v>
      </c>
      <c r="G242" s="51">
        <v>122</v>
      </c>
      <c r="H242" s="43">
        <v>44152</v>
      </c>
      <c r="I242" s="44" t="s">
        <v>1138</v>
      </c>
      <c r="J242" s="43">
        <v>44152</v>
      </c>
      <c r="K242" s="42">
        <v>18.2</v>
      </c>
      <c r="L242" s="42">
        <v>26.6</v>
      </c>
      <c r="M242" s="43" t="s">
        <v>29</v>
      </c>
      <c r="N242" s="44" t="s">
        <v>1143</v>
      </c>
      <c r="O242" s="43">
        <v>44153</v>
      </c>
      <c r="P242" s="42" t="s">
        <v>36</v>
      </c>
      <c r="Q242" s="42">
        <v>25.5</v>
      </c>
      <c r="R242" s="46" t="s">
        <v>31</v>
      </c>
      <c r="S242" s="43">
        <v>44153</v>
      </c>
      <c r="T242" s="51">
        <f t="shared" si="12"/>
        <v>3</v>
      </c>
      <c r="U242" s="52" t="str">
        <f t="shared" si="13"/>
        <v>Não Detectável</v>
      </c>
    </row>
    <row r="243" spans="1:21" ht="25.5" customHeight="1" x14ac:dyDescent="0.2">
      <c r="A243" s="51">
        <v>242</v>
      </c>
      <c r="B243" s="50" t="s">
        <v>1146</v>
      </c>
      <c r="C243" s="51">
        <v>34</v>
      </c>
      <c r="D243" s="51" t="s">
        <v>34</v>
      </c>
      <c r="E243" s="43" t="s">
        <v>1141</v>
      </c>
      <c r="F243" s="44" t="s">
        <v>60</v>
      </c>
      <c r="G243" s="51">
        <v>123</v>
      </c>
      <c r="H243" s="43">
        <v>44152</v>
      </c>
      <c r="I243" s="44" t="s">
        <v>1138</v>
      </c>
      <c r="J243" s="43">
        <v>44152</v>
      </c>
      <c r="K243" s="42">
        <v>18.3</v>
      </c>
      <c r="L243" s="42">
        <v>26.6</v>
      </c>
      <c r="M243" s="43" t="s">
        <v>29</v>
      </c>
      <c r="N243" s="44" t="s">
        <v>1143</v>
      </c>
      <c r="O243" s="43">
        <v>44153</v>
      </c>
      <c r="P243" s="42">
        <v>15.7</v>
      </c>
      <c r="Q243" s="42">
        <v>26.8</v>
      </c>
      <c r="R243" s="46" t="s">
        <v>29</v>
      </c>
      <c r="S243" s="43">
        <v>44153</v>
      </c>
      <c r="T243" s="51">
        <f t="shared" si="12"/>
        <v>3</v>
      </c>
      <c r="U243" s="52" t="str">
        <f t="shared" si="13"/>
        <v>Detectável</v>
      </c>
    </row>
    <row r="244" spans="1:21" ht="25.5" customHeight="1" x14ac:dyDescent="0.2">
      <c r="A244" s="51">
        <v>243</v>
      </c>
      <c r="B244" s="50" t="s">
        <v>1147</v>
      </c>
      <c r="C244" s="51">
        <v>25</v>
      </c>
      <c r="D244" s="51" t="s">
        <v>34</v>
      </c>
      <c r="E244" s="43" t="s">
        <v>1141</v>
      </c>
      <c r="F244" s="44" t="s">
        <v>60</v>
      </c>
      <c r="G244" s="51">
        <v>123</v>
      </c>
      <c r="H244" s="43">
        <v>44152</v>
      </c>
      <c r="I244" s="44" t="s">
        <v>1138</v>
      </c>
      <c r="J244" s="43">
        <v>44152</v>
      </c>
      <c r="K244" s="42">
        <v>18.3</v>
      </c>
      <c r="L244" s="42">
        <v>26.6</v>
      </c>
      <c r="M244" s="43" t="s">
        <v>29</v>
      </c>
      <c r="N244" s="44" t="s">
        <v>1143</v>
      </c>
      <c r="O244" s="43">
        <v>44153</v>
      </c>
      <c r="P244" s="42" t="s">
        <v>36</v>
      </c>
      <c r="Q244" s="42">
        <v>25.6</v>
      </c>
      <c r="R244" s="46" t="s">
        <v>31</v>
      </c>
      <c r="S244" s="43">
        <v>44153</v>
      </c>
      <c r="T244" s="51">
        <f t="shared" si="12"/>
        <v>3</v>
      </c>
      <c r="U244" s="52" t="str">
        <f t="shared" si="13"/>
        <v>Não Detectável</v>
      </c>
    </row>
    <row r="245" spans="1:21" ht="25.5" customHeight="1" x14ac:dyDescent="0.2">
      <c r="A245" s="51">
        <v>244</v>
      </c>
      <c r="B245" s="50" t="s">
        <v>1148</v>
      </c>
      <c r="C245" s="51">
        <v>31</v>
      </c>
      <c r="D245" s="51" t="s">
        <v>34</v>
      </c>
      <c r="E245" s="43" t="s">
        <v>1141</v>
      </c>
      <c r="F245" s="44" t="s">
        <v>60</v>
      </c>
      <c r="G245" s="51">
        <v>123</v>
      </c>
      <c r="H245" s="43">
        <v>44152</v>
      </c>
      <c r="I245" s="44" t="s">
        <v>1138</v>
      </c>
      <c r="J245" s="43">
        <v>44152</v>
      </c>
      <c r="K245" s="42">
        <v>18.3</v>
      </c>
      <c r="L245" s="42">
        <v>26.6</v>
      </c>
      <c r="M245" s="43" t="s">
        <v>29</v>
      </c>
      <c r="N245" s="44" t="s">
        <v>1143</v>
      </c>
      <c r="O245" s="43">
        <v>44153</v>
      </c>
      <c r="P245" s="42" t="s">
        <v>36</v>
      </c>
      <c r="Q245" s="42">
        <v>27.5</v>
      </c>
      <c r="R245" s="46" t="s">
        <v>31</v>
      </c>
      <c r="S245" s="43">
        <v>44153</v>
      </c>
      <c r="T245" s="51">
        <f t="shared" si="12"/>
        <v>3</v>
      </c>
      <c r="U245" s="52" t="str">
        <f t="shared" si="13"/>
        <v>Não Detectável</v>
      </c>
    </row>
    <row r="246" spans="1:21" ht="25.5" customHeight="1" x14ac:dyDescent="0.2">
      <c r="A246" s="51">
        <v>245</v>
      </c>
      <c r="B246" s="50" t="s">
        <v>1149</v>
      </c>
      <c r="C246" s="51">
        <v>21</v>
      </c>
      <c r="D246" s="51" t="s">
        <v>34</v>
      </c>
      <c r="E246" s="43" t="s">
        <v>1141</v>
      </c>
      <c r="F246" s="44" t="s">
        <v>60</v>
      </c>
      <c r="G246" s="51">
        <v>124</v>
      </c>
      <c r="H246" s="43">
        <v>44152</v>
      </c>
      <c r="I246" s="44" t="s">
        <v>1138</v>
      </c>
      <c r="J246" s="43">
        <v>44152</v>
      </c>
      <c r="K246" s="42" t="s">
        <v>36</v>
      </c>
      <c r="L246" s="42">
        <v>27.2</v>
      </c>
      <c r="M246" s="45" t="s">
        <v>31</v>
      </c>
      <c r="N246" s="44" t="s">
        <v>60</v>
      </c>
      <c r="O246" s="44" t="s">
        <v>60</v>
      </c>
      <c r="P246" s="42" t="s">
        <v>60</v>
      </c>
      <c r="Q246" s="42" t="s">
        <v>60</v>
      </c>
      <c r="R246" s="46" t="s">
        <v>60</v>
      </c>
      <c r="S246" s="43">
        <v>44152</v>
      </c>
      <c r="T246" s="51">
        <f t="shared" si="12"/>
        <v>3</v>
      </c>
      <c r="U246" s="52" t="str">
        <f t="shared" si="13"/>
        <v>Não Detectável</v>
      </c>
    </row>
    <row r="247" spans="1:21" ht="25.5" customHeight="1" x14ac:dyDescent="0.2">
      <c r="A247" s="51">
        <v>246</v>
      </c>
      <c r="B247" s="50" t="s">
        <v>1150</v>
      </c>
      <c r="C247" s="51">
        <v>37</v>
      </c>
      <c r="D247" s="51" t="s">
        <v>34</v>
      </c>
      <c r="E247" s="43" t="s">
        <v>1141</v>
      </c>
      <c r="F247" s="44" t="s">
        <v>60</v>
      </c>
      <c r="G247" s="51">
        <v>124</v>
      </c>
      <c r="H247" s="43">
        <v>44152</v>
      </c>
      <c r="I247" s="44" t="s">
        <v>1138</v>
      </c>
      <c r="J247" s="43">
        <v>44152</v>
      </c>
      <c r="K247" s="42" t="s">
        <v>36</v>
      </c>
      <c r="L247" s="42">
        <v>27.2</v>
      </c>
      <c r="M247" s="45" t="s">
        <v>31</v>
      </c>
      <c r="N247" s="44" t="s">
        <v>60</v>
      </c>
      <c r="O247" s="44" t="s">
        <v>60</v>
      </c>
      <c r="P247" s="42" t="s">
        <v>60</v>
      </c>
      <c r="Q247" s="42" t="s">
        <v>60</v>
      </c>
      <c r="R247" s="46" t="s">
        <v>60</v>
      </c>
      <c r="S247" s="43">
        <v>44152</v>
      </c>
      <c r="T247" s="51">
        <f t="shared" si="12"/>
        <v>3</v>
      </c>
      <c r="U247" s="52" t="str">
        <f t="shared" si="13"/>
        <v>Não Detectável</v>
      </c>
    </row>
    <row r="248" spans="1:21" ht="25.5" customHeight="1" x14ac:dyDescent="0.2">
      <c r="A248" s="51">
        <v>247</v>
      </c>
      <c r="B248" s="50" t="s">
        <v>1151</v>
      </c>
      <c r="C248" s="51">
        <v>35</v>
      </c>
      <c r="D248" s="51" t="s">
        <v>34</v>
      </c>
      <c r="E248" s="43" t="s">
        <v>1141</v>
      </c>
      <c r="F248" s="44" t="s">
        <v>60</v>
      </c>
      <c r="G248" s="51">
        <v>124</v>
      </c>
      <c r="H248" s="43">
        <v>44152</v>
      </c>
      <c r="I248" s="44" t="s">
        <v>1138</v>
      </c>
      <c r="J248" s="43">
        <v>44152</v>
      </c>
      <c r="K248" s="42" t="s">
        <v>36</v>
      </c>
      <c r="L248" s="42">
        <v>27.2</v>
      </c>
      <c r="M248" s="45" t="s">
        <v>31</v>
      </c>
      <c r="N248" s="44" t="s">
        <v>60</v>
      </c>
      <c r="O248" s="44" t="s">
        <v>60</v>
      </c>
      <c r="P248" s="42" t="s">
        <v>60</v>
      </c>
      <c r="Q248" s="42" t="s">
        <v>60</v>
      </c>
      <c r="R248" s="46" t="s">
        <v>60</v>
      </c>
      <c r="S248" s="43">
        <v>44152</v>
      </c>
      <c r="T248" s="51">
        <f t="shared" si="12"/>
        <v>3</v>
      </c>
      <c r="U248" s="52" t="str">
        <f t="shared" si="13"/>
        <v>Não Detectável</v>
      </c>
    </row>
    <row r="249" spans="1:21" ht="25.5" customHeight="1" x14ac:dyDescent="0.2">
      <c r="A249" s="51">
        <v>248</v>
      </c>
      <c r="B249" s="50" t="s">
        <v>1152</v>
      </c>
      <c r="C249" s="51">
        <v>41</v>
      </c>
      <c r="D249" s="51" t="s">
        <v>34</v>
      </c>
      <c r="E249" s="43" t="s">
        <v>1141</v>
      </c>
      <c r="F249" s="44" t="s">
        <v>60</v>
      </c>
      <c r="G249" s="51">
        <v>125</v>
      </c>
      <c r="H249" s="43">
        <v>44152</v>
      </c>
      <c r="I249" s="44" t="s">
        <v>1138</v>
      </c>
      <c r="J249" s="43">
        <v>44152</v>
      </c>
      <c r="K249" s="42" t="s">
        <v>36</v>
      </c>
      <c r="L249" s="42">
        <v>27.9</v>
      </c>
      <c r="M249" s="45" t="s">
        <v>31</v>
      </c>
      <c r="N249" s="44" t="s">
        <v>60</v>
      </c>
      <c r="O249" s="44" t="s">
        <v>60</v>
      </c>
      <c r="P249" s="42" t="s">
        <v>60</v>
      </c>
      <c r="Q249" s="42" t="s">
        <v>60</v>
      </c>
      <c r="R249" s="46" t="s">
        <v>60</v>
      </c>
      <c r="S249" s="43">
        <v>44152</v>
      </c>
      <c r="T249" s="51">
        <f t="shared" si="12"/>
        <v>3</v>
      </c>
      <c r="U249" s="52" t="str">
        <f t="shared" si="13"/>
        <v>Não Detectável</v>
      </c>
    </row>
    <row r="250" spans="1:21" ht="25.5" customHeight="1" x14ac:dyDescent="0.2">
      <c r="A250" s="51">
        <v>249</v>
      </c>
      <c r="B250" s="50" t="s">
        <v>1153</v>
      </c>
      <c r="C250" s="51">
        <v>42</v>
      </c>
      <c r="D250" s="51" t="s">
        <v>25</v>
      </c>
      <c r="E250" s="43" t="s">
        <v>1141</v>
      </c>
      <c r="F250" s="44" t="s">
        <v>60</v>
      </c>
      <c r="G250" s="51">
        <v>125</v>
      </c>
      <c r="H250" s="43">
        <v>44152</v>
      </c>
      <c r="I250" s="44" t="s">
        <v>1138</v>
      </c>
      <c r="J250" s="43">
        <v>44152</v>
      </c>
      <c r="K250" s="42" t="s">
        <v>36</v>
      </c>
      <c r="L250" s="42">
        <v>27.9</v>
      </c>
      <c r="M250" s="45" t="s">
        <v>31</v>
      </c>
      <c r="N250" s="44" t="s">
        <v>60</v>
      </c>
      <c r="O250" s="44" t="s">
        <v>60</v>
      </c>
      <c r="P250" s="42" t="s">
        <v>60</v>
      </c>
      <c r="Q250" s="42" t="s">
        <v>60</v>
      </c>
      <c r="R250" s="46" t="s">
        <v>60</v>
      </c>
      <c r="S250" s="43">
        <v>44152</v>
      </c>
      <c r="T250" s="51">
        <f t="shared" si="12"/>
        <v>3</v>
      </c>
      <c r="U250" s="52" t="str">
        <f t="shared" si="13"/>
        <v>Não Detectável</v>
      </c>
    </row>
    <row r="251" spans="1:21" ht="25.5" customHeight="1" x14ac:dyDescent="0.2">
      <c r="A251" s="51">
        <v>250</v>
      </c>
      <c r="B251" s="50" t="s">
        <v>1154</v>
      </c>
      <c r="C251" s="51">
        <v>29</v>
      </c>
      <c r="D251" s="51" t="s">
        <v>34</v>
      </c>
      <c r="E251" s="43" t="s">
        <v>1141</v>
      </c>
      <c r="F251" s="44" t="s">
        <v>60</v>
      </c>
      <c r="G251" s="51">
        <v>125</v>
      </c>
      <c r="H251" s="43">
        <v>44152</v>
      </c>
      <c r="I251" s="44" t="s">
        <v>1138</v>
      </c>
      <c r="J251" s="43">
        <v>44152</v>
      </c>
      <c r="K251" s="42" t="s">
        <v>36</v>
      </c>
      <c r="L251" s="42">
        <v>27.9</v>
      </c>
      <c r="M251" s="45" t="s">
        <v>31</v>
      </c>
      <c r="N251" s="44" t="s">
        <v>60</v>
      </c>
      <c r="O251" s="44" t="s">
        <v>60</v>
      </c>
      <c r="P251" s="42" t="s">
        <v>60</v>
      </c>
      <c r="Q251" s="42" t="s">
        <v>60</v>
      </c>
      <c r="R251" s="46" t="s">
        <v>60</v>
      </c>
      <c r="S251" s="43">
        <v>44152</v>
      </c>
      <c r="T251" s="51">
        <f t="shared" si="12"/>
        <v>3</v>
      </c>
      <c r="U251" s="52" t="str">
        <f t="shared" si="13"/>
        <v>Não Detectável</v>
      </c>
    </row>
    <row r="252" spans="1:21" ht="25.5" customHeight="1" x14ac:dyDescent="0.2">
      <c r="A252" s="51">
        <v>251</v>
      </c>
      <c r="B252" s="50" t="s">
        <v>1155</v>
      </c>
      <c r="C252" s="51">
        <v>27</v>
      </c>
      <c r="D252" s="51" t="s">
        <v>34</v>
      </c>
      <c r="E252" s="43" t="s">
        <v>1141</v>
      </c>
      <c r="F252" s="44" t="s">
        <v>60</v>
      </c>
      <c r="G252" s="51">
        <v>126</v>
      </c>
      <c r="H252" s="43">
        <v>44152</v>
      </c>
      <c r="I252" s="44" t="s">
        <v>1138</v>
      </c>
      <c r="J252" s="43">
        <v>44152</v>
      </c>
      <c r="K252" s="42">
        <v>21</v>
      </c>
      <c r="L252" s="42">
        <v>26.8</v>
      </c>
      <c r="M252" s="43" t="s">
        <v>29</v>
      </c>
      <c r="N252" s="44" t="s">
        <v>1143</v>
      </c>
      <c r="O252" s="43">
        <v>44153</v>
      </c>
      <c r="P252" s="42">
        <v>18.600000000000001</v>
      </c>
      <c r="Q252" s="42">
        <v>26.7</v>
      </c>
      <c r="R252" s="46" t="s">
        <v>29</v>
      </c>
      <c r="S252" s="43">
        <v>44153</v>
      </c>
      <c r="T252" s="51">
        <f t="shared" si="12"/>
        <v>3</v>
      </c>
      <c r="U252" s="52" t="str">
        <f t="shared" si="13"/>
        <v>Detectável</v>
      </c>
    </row>
    <row r="253" spans="1:21" ht="25.5" customHeight="1" x14ac:dyDescent="0.2">
      <c r="A253" s="51">
        <v>252</v>
      </c>
      <c r="B253" s="50" t="s">
        <v>1156</v>
      </c>
      <c r="C253" s="51">
        <v>24</v>
      </c>
      <c r="D253" s="51" t="s">
        <v>34</v>
      </c>
      <c r="E253" s="43" t="s">
        <v>1141</v>
      </c>
      <c r="F253" s="44" t="s">
        <v>60</v>
      </c>
      <c r="G253" s="51">
        <v>126</v>
      </c>
      <c r="H253" s="43">
        <v>44152</v>
      </c>
      <c r="I253" s="44" t="s">
        <v>1138</v>
      </c>
      <c r="J253" s="43">
        <v>44152</v>
      </c>
      <c r="K253" s="42">
        <v>21</v>
      </c>
      <c r="L253" s="42">
        <v>26.8</v>
      </c>
      <c r="M253" s="43" t="s">
        <v>29</v>
      </c>
      <c r="N253" s="44" t="s">
        <v>1143</v>
      </c>
      <c r="O253" s="43">
        <v>44153</v>
      </c>
      <c r="P253" s="42" t="s">
        <v>36</v>
      </c>
      <c r="Q253" s="42">
        <v>25.3</v>
      </c>
      <c r="R253" s="46" t="s">
        <v>31</v>
      </c>
      <c r="S253" s="43">
        <v>44153</v>
      </c>
      <c r="T253" s="51">
        <f t="shared" si="12"/>
        <v>3</v>
      </c>
      <c r="U253" s="52" t="str">
        <f t="shared" si="13"/>
        <v>Não Detectável</v>
      </c>
    </row>
    <row r="254" spans="1:21" ht="25.5" customHeight="1" x14ac:dyDescent="0.2">
      <c r="A254" s="51">
        <v>253</v>
      </c>
      <c r="B254" s="50" t="s">
        <v>1157</v>
      </c>
      <c r="C254" s="51">
        <v>53</v>
      </c>
      <c r="D254" s="51" t="s">
        <v>34</v>
      </c>
      <c r="E254" s="43" t="s">
        <v>1141</v>
      </c>
      <c r="F254" s="44" t="s">
        <v>60</v>
      </c>
      <c r="G254" s="51">
        <v>126</v>
      </c>
      <c r="H254" s="43">
        <v>44152</v>
      </c>
      <c r="I254" s="44" t="s">
        <v>1138</v>
      </c>
      <c r="J254" s="43">
        <v>44152</v>
      </c>
      <c r="K254" s="42">
        <v>21</v>
      </c>
      <c r="L254" s="42">
        <v>26.8</v>
      </c>
      <c r="M254" s="43" t="s">
        <v>29</v>
      </c>
      <c r="N254" s="44" t="s">
        <v>1143</v>
      </c>
      <c r="O254" s="43">
        <v>44153</v>
      </c>
      <c r="P254" s="42" t="s">
        <v>36</v>
      </c>
      <c r="Q254" s="42">
        <v>28</v>
      </c>
      <c r="R254" s="46" t="s">
        <v>31</v>
      </c>
      <c r="S254" s="43">
        <v>44153</v>
      </c>
      <c r="T254" s="51">
        <f t="shared" si="12"/>
        <v>3</v>
      </c>
      <c r="U254" s="52" t="str">
        <f t="shared" si="13"/>
        <v>Não Detectável</v>
      </c>
    </row>
    <row r="255" spans="1:21" ht="25.5" customHeight="1" x14ac:dyDescent="0.2">
      <c r="A255" s="51">
        <v>254</v>
      </c>
      <c r="B255" s="50" t="s">
        <v>1158</v>
      </c>
      <c r="C255" s="51">
        <v>22</v>
      </c>
      <c r="D255" s="51" t="s">
        <v>34</v>
      </c>
      <c r="E255" s="43" t="s">
        <v>1141</v>
      </c>
      <c r="F255" s="44" t="s">
        <v>60</v>
      </c>
      <c r="G255" s="51">
        <v>127</v>
      </c>
      <c r="H255" s="43">
        <v>44152</v>
      </c>
      <c r="I255" s="44" t="s">
        <v>1138</v>
      </c>
      <c r="J255" s="43">
        <v>44152</v>
      </c>
      <c r="K255" s="42" t="s">
        <v>36</v>
      </c>
      <c r="L255" s="42">
        <v>27.2</v>
      </c>
      <c r="M255" s="45" t="s">
        <v>31</v>
      </c>
      <c r="N255" s="44" t="s">
        <v>60</v>
      </c>
      <c r="O255" s="44" t="s">
        <v>60</v>
      </c>
      <c r="P255" s="42" t="s">
        <v>60</v>
      </c>
      <c r="Q255" s="42" t="s">
        <v>60</v>
      </c>
      <c r="R255" s="46" t="s">
        <v>60</v>
      </c>
      <c r="S255" s="43">
        <v>44152</v>
      </c>
      <c r="T255" s="51">
        <f t="shared" si="12"/>
        <v>3</v>
      </c>
      <c r="U255" s="52" t="str">
        <f t="shared" si="13"/>
        <v>Não Detectável</v>
      </c>
    </row>
    <row r="256" spans="1:21" ht="25.5" customHeight="1" x14ac:dyDescent="0.2">
      <c r="A256" s="51">
        <v>255</v>
      </c>
      <c r="B256" s="50" t="s">
        <v>1159</v>
      </c>
      <c r="C256" s="51">
        <v>33</v>
      </c>
      <c r="D256" s="51" t="s">
        <v>25</v>
      </c>
      <c r="E256" s="43" t="s">
        <v>1141</v>
      </c>
      <c r="F256" s="44" t="s">
        <v>60</v>
      </c>
      <c r="G256" s="51">
        <v>127</v>
      </c>
      <c r="H256" s="43">
        <v>44152</v>
      </c>
      <c r="I256" s="44" t="s">
        <v>1138</v>
      </c>
      <c r="J256" s="43">
        <v>44152</v>
      </c>
      <c r="K256" s="42" t="s">
        <v>36</v>
      </c>
      <c r="L256" s="42">
        <v>27.2</v>
      </c>
      <c r="M256" s="45" t="s">
        <v>31</v>
      </c>
      <c r="N256" s="44" t="s">
        <v>60</v>
      </c>
      <c r="O256" s="44" t="s">
        <v>60</v>
      </c>
      <c r="P256" s="42" t="s">
        <v>60</v>
      </c>
      <c r="Q256" s="42" t="s">
        <v>60</v>
      </c>
      <c r="R256" s="46" t="s">
        <v>60</v>
      </c>
      <c r="S256" s="43">
        <v>44152</v>
      </c>
      <c r="T256" s="51">
        <f t="shared" si="12"/>
        <v>3</v>
      </c>
      <c r="U256" s="52" t="str">
        <f t="shared" si="13"/>
        <v>Não Detectável</v>
      </c>
    </row>
    <row r="257" spans="1:21" ht="25.5" customHeight="1" x14ac:dyDescent="0.2">
      <c r="A257" s="51">
        <v>256</v>
      </c>
      <c r="B257" s="50" t="s">
        <v>1160</v>
      </c>
      <c r="C257" s="51">
        <v>28</v>
      </c>
      <c r="D257" s="51" t="s">
        <v>25</v>
      </c>
      <c r="E257" s="43" t="s">
        <v>1141</v>
      </c>
      <c r="F257" s="44" t="s">
        <v>60</v>
      </c>
      <c r="G257" s="51">
        <v>127</v>
      </c>
      <c r="H257" s="43">
        <v>44152</v>
      </c>
      <c r="I257" s="44" t="s">
        <v>1138</v>
      </c>
      <c r="J257" s="43">
        <v>44152</v>
      </c>
      <c r="K257" s="42" t="s">
        <v>36</v>
      </c>
      <c r="L257" s="42">
        <v>27.2</v>
      </c>
      <c r="M257" s="45" t="s">
        <v>31</v>
      </c>
      <c r="N257" s="44" t="s">
        <v>60</v>
      </c>
      <c r="O257" s="44" t="s">
        <v>60</v>
      </c>
      <c r="P257" s="42" t="s">
        <v>60</v>
      </c>
      <c r="Q257" s="42" t="s">
        <v>60</v>
      </c>
      <c r="R257" s="46" t="s">
        <v>60</v>
      </c>
      <c r="S257" s="43">
        <v>44152</v>
      </c>
      <c r="T257" s="51">
        <f t="shared" si="12"/>
        <v>3</v>
      </c>
      <c r="U257" s="52" t="str">
        <f t="shared" si="13"/>
        <v>Não Detectável</v>
      </c>
    </row>
    <row r="258" spans="1:21" ht="25.5" customHeight="1" x14ac:dyDescent="0.2">
      <c r="A258" s="51">
        <v>257</v>
      </c>
      <c r="B258" s="50" t="s">
        <v>1161</v>
      </c>
      <c r="C258" s="51">
        <v>63</v>
      </c>
      <c r="D258" s="51" t="s">
        <v>25</v>
      </c>
      <c r="E258" s="43" t="s">
        <v>1141</v>
      </c>
      <c r="F258" s="44" t="s">
        <v>60</v>
      </c>
      <c r="G258" s="51">
        <v>128</v>
      </c>
      <c r="H258" s="43">
        <v>44152</v>
      </c>
      <c r="I258" s="44" t="s">
        <v>1138</v>
      </c>
      <c r="J258" s="43">
        <v>44152</v>
      </c>
      <c r="K258" s="42">
        <v>20.8</v>
      </c>
      <c r="L258" s="42">
        <v>25.6</v>
      </c>
      <c r="M258" s="43" t="s">
        <v>29</v>
      </c>
      <c r="N258" s="44" t="s">
        <v>1143</v>
      </c>
      <c r="O258" s="43">
        <v>44153</v>
      </c>
      <c r="P258" s="42">
        <v>19.5</v>
      </c>
      <c r="Q258" s="42">
        <v>26.8</v>
      </c>
      <c r="R258" s="46" t="s">
        <v>29</v>
      </c>
      <c r="S258" s="43">
        <v>44153</v>
      </c>
      <c r="T258" s="51">
        <f t="shared" si="12"/>
        <v>3</v>
      </c>
      <c r="U258" s="52" t="str">
        <f t="shared" si="13"/>
        <v>Detectável</v>
      </c>
    </row>
    <row r="259" spans="1:21" ht="25.5" customHeight="1" x14ac:dyDescent="0.2">
      <c r="A259" s="51">
        <v>258</v>
      </c>
      <c r="B259" s="50" t="s">
        <v>1162</v>
      </c>
      <c r="C259" s="51">
        <v>61</v>
      </c>
      <c r="D259" s="51" t="s">
        <v>34</v>
      </c>
      <c r="E259" s="43" t="s">
        <v>1141</v>
      </c>
      <c r="F259" s="44" t="s">
        <v>60</v>
      </c>
      <c r="G259" s="51">
        <v>128</v>
      </c>
      <c r="H259" s="43">
        <v>44152</v>
      </c>
      <c r="I259" s="44" t="s">
        <v>1138</v>
      </c>
      <c r="J259" s="43">
        <v>44152</v>
      </c>
      <c r="K259" s="42">
        <v>20.8</v>
      </c>
      <c r="L259" s="42">
        <v>25.6</v>
      </c>
      <c r="M259" s="43" t="s">
        <v>29</v>
      </c>
      <c r="N259" s="44" t="s">
        <v>1143</v>
      </c>
      <c r="O259" s="43">
        <v>44153</v>
      </c>
      <c r="P259" s="42" t="s">
        <v>36</v>
      </c>
      <c r="Q259" s="42">
        <v>25.5</v>
      </c>
      <c r="R259" s="46" t="s">
        <v>31</v>
      </c>
      <c r="S259" s="43">
        <v>44153</v>
      </c>
      <c r="T259" s="51">
        <f t="shared" si="12"/>
        <v>3</v>
      </c>
      <c r="U259" s="52" t="str">
        <f t="shared" si="13"/>
        <v>Não Detectável</v>
      </c>
    </row>
    <row r="260" spans="1:21" ht="25.5" customHeight="1" x14ac:dyDescent="0.2">
      <c r="A260" s="51">
        <v>259</v>
      </c>
      <c r="B260" s="50" t="s">
        <v>1163</v>
      </c>
      <c r="C260" s="51">
        <v>30</v>
      </c>
      <c r="D260" s="51" t="s">
        <v>25</v>
      </c>
      <c r="E260" s="43" t="s">
        <v>1141</v>
      </c>
      <c r="F260" s="44" t="s">
        <v>60</v>
      </c>
      <c r="G260" s="51">
        <v>128</v>
      </c>
      <c r="H260" s="43">
        <v>44152</v>
      </c>
      <c r="I260" s="44" t="s">
        <v>1138</v>
      </c>
      <c r="J260" s="43">
        <v>44152</v>
      </c>
      <c r="K260" s="42">
        <v>20.8</v>
      </c>
      <c r="L260" s="42">
        <v>25.6</v>
      </c>
      <c r="M260" s="43" t="s">
        <v>29</v>
      </c>
      <c r="N260" s="44" t="s">
        <v>1143</v>
      </c>
      <c r="O260" s="43">
        <v>44153</v>
      </c>
      <c r="P260" s="42">
        <v>21.5</v>
      </c>
      <c r="Q260" s="42">
        <v>27</v>
      </c>
      <c r="R260" s="46" t="s">
        <v>29</v>
      </c>
      <c r="S260" s="43">
        <v>44153</v>
      </c>
      <c r="T260" s="51">
        <f t="shared" si="12"/>
        <v>3</v>
      </c>
      <c r="U260" s="52" t="str">
        <f t="shared" si="13"/>
        <v>Detectável</v>
      </c>
    </row>
    <row r="261" spans="1:21" ht="25.5" customHeight="1" x14ac:dyDescent="0.2">
      <c r="A261" s="51">
        <v>260</v>
      </c>
      <c r="B261" s="50" t="s">
        <v>1164</v>
      </c>
      <c r="C261" s="51">
        <v>43</v>
      </c>
      <c r="D261" s="51" t="s">
        <v>34</v>
      </c>
      <c r="E261" s="43" t="s">
        <v>1165</v>
      </c>
      <c r="F261" s="44" t="s">
        <v>60</v>
      </c>
      <c r="G261" s="51">
        <v>129</v>
      </c>
      <c r="H261" s="43">
        <v>44153</v>
      </c>
      <c r="I261" s="44" t="s">
        <v>1143</v>
      </c>
      <c r="J261" s="43">
        <v>44153</v>
      </c>
      <c r="K261" s="42" t="s">
        <v>36</v>
      </c>
      <c r="L261" s="42">
        <v>26.2</v>
      </c>
      <c r="M261" s="45" t="s">
        <v>31</v>
      </c>
      <c r="N261" s="44" t="s">
        <v>60</v>
      </c>
      <c r="O261" s="44" t="s">
        <v>60</v>
      </c>
      <c r="P261" s="42" t="s">
        <v>60</v>
      </c>
      <c r="Q261" s="42" t="s">
        <v>60</v>
      </c>
      <c r="R261" s="46" t="s">
        <v>60</v>
      </c>
      <c r="S261" s="43">
        <v>44153</v>
      </c>
      <c r="T261" s="51">
        <f t="shared" si="12"/>
        <v>3</v>
      </c>
      <c r="U261" s="52" t="str">
        <f t="shared" si="13"/>
        <v>Não Detectável</v>
      </c>
    </row>
    <row r="262" spans="1:21" ht="25.5" customHeight="1" x14ac:dyDescent="0.2">
      <c r="A262" s="51">
        <v>261</v>
      </c>
      <c r="B262" s="50" t="s">
        <v>1166</v>
      </c>
      <c r="C262" s="51">
        <v>20</v>
      </c>
      <c r="D262" s="51" t="s">
        <v>25</v>
      </c>
      <c r="E262" s="43" t="s">
        <v>1165</v>
      </c>
      <c r="F262" s="44" t="s">
        <v>60</v>
      </c>
      <c r="G262" s="51">
        <v>129</v>
      </c>
      <c r="H262" s="43">
        <v>44153</v>
      </c>
      <c r="I262" s="44" t="s">
        <v>1143</v>
      </c>
      <c r="J262" s="43">
        <v>44153</v>
      </c>
      <c r="K262" s="42" t="s">
        <v>36</v>
      </c>
      <c r="L262" s="42">
        <v>26.2</v>
      </c>
      <c r="M262" s="45" t="s">
        <v>31</v>
      </c>
      <c r="N262" s="44" t="s">
        <v>60</v>
      </c>
      <c r="O262" s="44" t="s">
        <v>60</v>
      </c>
      <c r="P262" s="42" t="s">
        <v>60</v>
      </c>
      <c r="Q262" s="42" t="s">
        <v>60</v>
      </c>
      <c r="R262" s="46" t="s">
        <v>60</v>
      </c>
      <c r="S262" s="43">
        <v>44153</v>
      </c>
      <c r="T262" s="51">
        <f t="shared" si="12"/>
        <v>3</v>
      </c>
      <c r="U262" s="52" t="str">
        <f t="shared" si="13"/>
        <v>Não Detectável</v>
      </c>
    </row>
    <row r="263" spans="1:21" ht="25.5" customHeight="1" x14ac:dyDescent="0.2">
      <c r="A263" s="51">
        <v>262</v>
      </c>
      <c r="B263" s="50" t="s">
        <v>1167</v>
      </c>
      <c r="C263" s="51">
        <v>47</v>
      </c>
      <c r="D263" s="51" t="s">
        <v>25</v>
      </c>
      <c r="E263" s="43" t="s">
        <v>1165</v>
      </c>
      <c r="F263" s="44" t="s">
        <v>60</v>
      </c>
      <c r="G263" s="51">
        <v>129</v>
      </c>
      <c r="H263" s="43">
        <v>44153</v>
      </c>
      <c r="I263" s="44" t="s">
        <v>1143</v>
      </c>
      <c r="J263" s="43">
        <v>44153</v>
      </c>
      <c r="K263" s="42" t="s">
        <v>36</v>
      </c>
      <c r="L263" s="42">
        <v>26.2</v>
      </c>
      <c r="M263" s="45" t="s">
        <v>31</v>
      </c>
      <c r="N263" s="44" t="s">
        <v>60</v>
      </c>
      <c r="O263" s="44" t="s">
        <v>60</v>
      </c>
      <c r="P263" s="42" t="s">
        <v>60</v>
      </c>
      <c r="Q263" s="42" t="s">
        <v>60</v>
      </c>
      <c r="R263" s="46" t="s">
        <v>60</v>
      </c>
      <c r="S263" s="43">
        <v>44153</v>
      </c>
      <c r="T263" s="51">
        <f t="shared" si="12"/>
        <v>3</v>
      </c>
      <c r="U263" s="52" t="str">
        <f t="shared" si="13"/>
        <v>Não Detectável</v>
      </c>
    </row>
    <row r="264" spans="1:21" ht="25.5" customHeight="1" x14ac:dyDescent="0.2">
      <c r="A264" s="51">
        <v>263</v>
      </c>
      <c r="B264" s="50" t="s">
        <v>1168</v>
      </c>
      <c r="C264" s="51">
        <v>30</v>
      </c>
      <c r="D264" s="51" t="s">
        <v>34</v>
      </c>
      <c r="E264" s="43" t="s">
        <v>1165</v>
      </c>
      <c r="F264" s="44" t="s">
        <v>60</v>
      </c>
      <c r="G264" s="51">
        <v>130</v>
      </c>
      <c r="H264" s="43">
        <v>44153</v>
      </c>
      <c r="I264" s="44" t="s">
        <v>1143</v>
      </c>
      <c r="J264" s="43">
        <v>44153</v>
      </c>
      <c r="K264" s="42">
        <v>24.4</v>
      </c>
      <c r="L264" s="42">
        <v>27</v>
      </c>
      <c r="M264" s="43" t="s">
        <v>29</v>
      </c>
      <c r="N264" s="44" t="s">
        <v>1169</v>
      </c>
      <c r="O264" s="43">
        <v>44154</v>
      </c>
      <c r="P264" s="42" t="s">
        <v>36</v>
      </c>
      <c r="Q264" s="42">
        <v>30.3</v>
      </c>
      <c r="R264" s="46" t="s">
        <v>31</v>
      </c>
      <c r="S264" s="43">
        <v>44154</v>
      </c>
      <c r="T264" s="51">
        <f t="shared" ref="T264:T327" si="14">COUNTIF(G:G,G264)</f>
        <v>3</v>
      </c>
      <c r="U264" s="52" t="str">
        <f t="shared" ref="U264:U327" si="15">IF(M264="Não Detectável","Não Detectável",IF(R264="","",R264))</f>
        <v>Não Detectável</v>
      </c>
    </row>
    <row r="265" spans="1:21" ht="25.5" customHeight="1" x14ac:dyDescent="0.2">
      <c r="A265" s="51">
        <v>264</v>
      </c>
      <c r="B265" s="50" t="s">
        <v>1170</v>
      </c>
      <c r="C265" s="51">
        <v>33</v>
      </c>
      <c r="D265" s="51" t="s">
        <v>25</v>
      </c>
      <c r="E265" s="43" t="s">
        <v>1165</v>
      </c>
      <c r="F265" s="44" t="s">
        <v>60</v>
      </c>
      <c r="G265" s="51">
        <v>130</v>
      </c>
      <c r="H265" s="43">
        <v>44153</v>
      </c>
      <c r="I265" s="44" t="s">
        <v>1143</v>
      </c>
      <c r="J265" s="43">
        <v>44153</v>
      </c>
      <c r="K265" s="42">
        <v>24.4</v>
      </c>
      <c r="L265" s="42">
        <v>27</v>
      </c>
      <c r="M265" s="43" t="s">
        <v>29</v>
      </c>
      <c r="N265" s="44" t="s">
        <v>1169</v>
      </c>
      <c r="O265" s="43">
        <v>44154</v>
      </c>
      <c r="P265" s="42" t="s">
        <v>36</v>
      </c>
      <c r="Q265" s="42">
        <v>26.3</v>
      </c>
      <c r="R265" s="46" t="s">
        <v>31</v>
      </c>
      <c r="S265" s="43">
        <v>44154</v>
      </c>
      <c r="T265" s="51">
        <f t="shared" si="14"/>
        <v>3</v>
      </c>
      <c r="U265" s="52" t="str">
        <f t="shared" si="15"/>
        <v>Não Detectável</v>
      </c>
    </row>
    <row r="266" spans="1:21" ht="25.5" customHeight="1" x14ac:dyDescent="0.2">
      <c r="A266" s="51">
        <v>265</v>
      </c>
      <c r="B266" s="50" t="s">
        <v>1171</v>
      </c>
      <c r="C266" s="51">
        <v>23</v>
      </c>
      <c r="D266" s="51" t="s">
        <v>34</v>
      </c>
      <c r="E266" s="43" t="s">
        <v>1165</v>
      </c>
      <c r="F266" s="44" t="s">
        <v>60</v>
      </c>
      <c r="G266" s="51">
        <v>130</v>
      </c>
      <c r="H266" s="43">
        <v>44153</v>
      </c>
      <c r="I266" s="44" t="s">
        <v>1143</v>
      </c>
      <c r="J266" s="43">
        <v>44153</v>
      </c>
      <c r="K266" s="42">
        <v>24.4</v>
      </c>
      <c r="L266" s="42">
        <v>27</v>
      </c>
      <c r="M266" s="43" t="s">
        <v>29</v>
      </c>
      <c r="N266" s="44" t="s">
        <v>1169</v>
      </c>
      <c r="O266" s="43">
        <v>44154</v>
      </c>
      <c r="P266" s="42">
        <v>23</v>
      </c>
      <c r="Q266" s="42">
        <v>26.5</v>
      </c>
      <c r="R266" s="46" t="s">
        <v>29</v>
      </c>
      <c r="S266" s="43">
        <v>44154</v>
      </c>
      <c r="T266" s="51">
        <f t="shared" si="14"/>
        <v>3</v>
      </c>
      <c r="U266" s="52" t="str">
        <f t="shared" si="15"/>
        <v>Detectável</v>
      </c>
    </row>
    <row r="267" spans="1:21" ht="25.5" customHeight="1" x14ac:dyDescent="0.2">
      <c r="A267" s="51">
        <v>266</v>
      </c>
      <c r="B267" s="50" t="s">
        <v>1172</v>
      </c>
      <c r="C267" s="51">
        <v>25</v>
      </c>
      <c r="D267" s="51" t="s">
        <v>25</v>
      </c>
      <c r="E267" s="43" t="s">
        <v>1165</v>
      </c>
      <c r="F267" s="44" t="s">
        <v>60</v>
      </c>
      <c r="G267" s="51">
        <v>131</v>
      </c>
      <c r="H267" s="43">
        <v>44153</v>
      </c>
      <c r="I267" s="44" t="s">
        <v>1143</v>
      </c>
      <c r="J267" s="43">
        <v>44153</v>
      </c>
      <c r="K267" s="42">
        <v>20</v>
      </c>
      <c r="L267" s="42">
        <v>27.2</v>
      </c>
      <c r="M267" s="43" t="s">
        <v>29</v>
      </c>
      <c r="N267" s="44" t="s">
        <v>1169</v>
      </c>
      <c r="O267" s="43">
        <v>44154</v>
      </c>
      <c r="P267" s="42">
        <v>18</v>
      </c>
      <c r="Q267" s="42">
        <v>27.6</v>
      </c>
      <c r="R267" s="46" t="s">
        <v>29</v>
      </c>
      <c r="S267" s="43">
        <v>44154</v>
      </c>
      <c r="T267" s="51">
        <f t="shared" si="14"/>
        <v>3</v>
      </c>
      <c r="U267" s="52" t="str">
        <f t="shared" si="15"/>
        <v>Detectável</v>
      </c>
    </row>
    <row r="268" spans="1:21" ht="25.5" customHeight="1" x14ac:dyDescent="0.2">
      <c r="A268" s="51">
        <v>267</v>
      </c>
      <c r="B268" s="50" t="s">
        <v>1173</v>
      </c>
      <c r="C268" s="51">
        <v>28</v>
      </c>
      <c r="D268" s="51" t="s">
        <v>25</v>
      </c>
      <c r="E268" s="43" t="s">
        <v>1165</v>
      </c>
      <c r="F268" s="44" t="s">
        <v>60</v>
      </c>
      <c r="G268" s="51">
        <v>131</v>
      </c>
      <c r="H268" s="43">
        <v>44153</v>
      </c>
      <c r="I268" s="44" t="s">
        <v>1143</v>
      </c>
      <c r="J268" s="43">
        <v>44153</v>
      </c>
      <c r="K268" s="42">
        <v>20</v>
      </c>
      <c r="L268" s="42">
        <v>27.2</v>
      </c>
      <c r="M268" s="43" t="s">
        <v>29</v>
      </c>
      <c r="N268" s="44" t="s">
        <v>1169</v>
      </c>
      <c r="O268" s="43">
        <v>44154</v>
      </c>
      <c r="P268" s="42" t="s">
        <v>36</v>
      </c>
      <c r="Q268" s="42">
        <v>27.7</v>
      </c>
      <c r="R268" s="46" t="s">
        <v>31</v>
      </c>
      <c r="S268" s="43">
        <v>44154</v>
      </c>
      <c r="T268" s="51">
        <f t="shared" si="14"/>
        <v>3</v>
      </c>
      <c r="U268" s="52" t="str">
        <f t="shared" si="15"/>
        <v>Não Detectável</v>
      </c>
    </row>
    <row r="269" spans="1:21" ht="25.5" customHeight="1" x14ac:dyDescent="0.2">
      <c r="A269" s="51">
        <v>268</v>
      </c>
      <c r="B269" s="50" t="s">
        <v>1174</v>
      </c>
      <c r="C269" s="51">
        <v>42</v>
      </c>
      <c r="D269" s="51" t="s">
        <v>25</v>
      </c>
      <c r="E269" s="43" t="s">
        <v>1165</v>
      </c>
      <c r="F269" s="44" t="s">
        <v>60</v>
      </c>
      <c r="G269" s="51">
        <v>131</v>
      </c>
      <c r="H269" s="43">
        <v>44153</v>
      </c>
      <c r="I269" s="44" t="s">
        <v>1143</v>
      </c>
      <c r="J269" s="43">
        <v>44153</v>
      </c>
      <c r="K269" s="42">
        <v>20</v>
      </c>
      <c r="L269" s="42">
        <v>27.2</v>
      </c>
      <c r="M269" s="43" t="s">
        <v>29</v>
      </c>
      <c r="N269" s="44" t="s">
        <v>1169</v>
      </c>
      <c r="O269" s="43">
        <v>44154</v>
      </c>
      <c r="P269" s="42" t="s">
        <v>36</v>
      </c>
      <c r="Q269" s="42">
        <v>27.4</v>
      </c>
      <c r="R269" s="46" t="s">
        <v>31</v>
      </c>
      <c r="S269" s="43">
        <v>44154</v>
      </c>
      <c r="T269" s="51">
        <f t="shared" si="14"/>
        <v>3</v>
      </c>
      <c r="U269" s="52" t="str">
        <f t="shared" si="15"/>
        <v>Não Detectável</v>
      </c>
    </row>
    <row r="270" spans="1:21" ht="25.5" customHeight="1" x14ac:dyDescent="0.2">
      <c r="A270" s="51">
        <v>269</v>
      </c>
      <c r="B270" s="50" t="s">
        <v>1175</v>
      </c>
      <c r="C270" s="51">
        <v>50</v>
      </c>
      <c r="D270" s="51" t="s">
        <v>34</v>
      </c>
      <c r="E270" s="43" t="s">
        <v>1165</v>
      </c>
      <c r="F270" s="44" t="s">
        <v>60</v>
      </c>
      <c r="G270" s="51">
        <v>132</v>
      </c>
      <c r="H270" s="43">
        <v>44153</v>
      </c>
      <c r="I270" s="44" t="s">
        <v>1143</v>
      </c>
      <c r="J270" s="43">
        <v>44153</v>
      </c>
      <c r="K270" s="42" t="s">
        <v>36</v>
      </c>
      <c r="L270" s="42">
        <v>27.7</v>
      </c>
      <c r="M270" s="45" t="s">
        <v>31</v>
      </c>
      <c r="N270" s="44" t="s">
        <v>60</v>
      </c>
      <c r="O270" s="44" t="s">
        <v>60</v>
      </c>
      <c r="P270" s="42" t="s">
        <v>60</v>
      </c>
      <c r="Q270" s="42" t="s">
        <v>60</v>
      </c>
      <c r="R270" s="46" t="s">
        <v>60</v>
      </c>
      <c r="S270" s="43">
        <v>44153</v>
      </c>
      <c r="T270" s="51">
        <f t="shared" si="14"/>
        <v>3</v>
      </c>
      <c r="U270" s="52" t="str">
        <f t="shared" si="15"/>
        <v>Não Detectável</v>
      </c>
    </row>
    <row r="271" spans="1:21" ht="25.5" customHeight="1" x14ac:dyDescent="0.2">
      <c r="A271" s="51">
        <v>270</v>
      </c>
      <c r="B271" s="50" t="s">
        <v>1176</v>
      </c>
      <c r="C271" s="51">
        <v>34</v>
      </c>
      <c r="D271" s="51" t="s">
        <v>25</v>
      </c>
      <c r="E271" s="43" t="s">
        <v>1165</v>
      </c>
      <c r="F271" s="44" t="s">
        <v>60</v>
      </c>
      <c r="G271" s="51">
        <v>132</v>
      </c>
      <c r="H271" s="43">
        <v>44153</v>
      </c>
      <c r="I271" s="44" t="s">
        <v>1143</v>
      </c>
      <c r="J271" s="43">
        <v>44153</v>
      </c>
      <c r="K271" s="42" t="s">
        <v>36</v>
      </c>
      <c r="L271" s="42">
        <v>27.7</v>
      </c>
      <c r="M271" s="45" t="s">
        <v>31</v>
      </c>
      <c r="N271" s="44" t="s">
        <v>60</v>
      </c>
      <c r="O271" s="44" t="s">
        <v>60</v>
      </c>
      <c r="P271" s="42" t="s">
        <v>60</v>
      </c>
      <c r="Q271" s="42" t="s">
        <v>60</v>
      </c>
      <c r="R271" s="46" t="s">
        <v>60</v>
      </c>
      <c r="S271" s="43">
        <v>44153</v>
      </c>
      <c r="T271" s="51">
        <f t="shared" si="14"/>
        <v>3</v>
      </c>
      <c r="U271" s="52" t="str">
        <f t="shared" si="15"/>
        <v>Não Detectável</v>
      </c>
    </row>
    <row r="272" spans="1:21" ht="25.5" customHeight="1" x14ac:dyDescent="0.2">
      <c r="A272" s="51">
        <v>271</v>
      </c>
      <c r="B272" s="50" t="s">
        <v>1177</v>
      </c>
      <c r="C272" s="51">
        <v>21</v>
      </c>
      <c r="D272" s="51" t="s">
        <v>34</v>
      </c>
      <c r="E272" s="43" t="s">
        <v>1165</v>
      </c>
      <c r="F272" s="44" t="s">
        <v>60</v>
      </c>
      <c r="G272" s="51">
        <v>132</v>
      </c>
      <c r="H272" s="43">
        <v>44153</v>
      </c>
      <c r="I272" s="44" t="s">
        <v>1143</v>
      </c>
      <c r="J272" s="43">
        <v>44153</v>
      </c>
      <c r="K272" s="42" t="s">
        <v>36</v>
      </c>
      <c r="L272" s="42">
        <v>27.7</v>
      </c>
      <c r="M272" s="45" t="s">
        <v>31</v>
      </c>
      <c r="N272" s="44" t="s">
        <v>60</v>
      </c>
      <c r="O272" s="44" t="s">
        <v>60</v>
      </c>
      <c r="P272" s="42" t="s">
        <v>60</v>
      </c>
      <c r="Q272" s="42" t="s">
        <v>60</v>
      </c>
      <c r="R272" s="46" t="s">
        <v>60</v>
      </c>
      <c r="S272" s="43">
        <v>44153</v>
      </c>
      <c r="T272" s="51">
        <f t="shared" si="14"/>
        <v>3</v>
      </c>
      <c r="U272" s="52" t="str">
        <f t="shared" si="15"/>
        <v>Não Detectável</v>
      </c>
    </row>
    <row r="273" spans="1:21" ht="25.5" customHeight="1" x14ac:dyDescent="0.2">
      <c r="A273" s="51">
        <v>272</v>
      </c>
      <c r="B273" s="50" t="s">
        <v>1178</v>
      </c>
      <c r="C273" s="51">
        <v>37</v>
      </c>
      <c r="D273" s="51" t="s">
        <v>25</v>
      </c>
      <c r="E273" s="43" t="s">
        <v>1165</v>
      </c>
      <c r="F273" s="44" t="s">
        <v>60</v>
      </c>
      <c r="G273" s="51">
        <v>133</v>
      </c>
      <c r="H273" s="43">
        <v>44153</v>
      </c>
      <c r="I273" s="44" t="s">
        <v>1169</v>
      </c>
      <c r="J273" s="43">
        <v>44154</v>
      </c>
      <c r="K273" s="42">
        <v>13</v>
      </c>
      <c r="L273" s="42">
        <v>26.8</v>
      </c>
      <c r="M273" s="43" t="s">
        <v>29</v>
      </c>
      <c r="N273" s="44" t="s">
        <v>1179</v>
      </c>
      <c r="O273" s="43">
        <v>44158</v>
      </c>
      <c r="P273" s="42" t="s">
        <v>36</v>
      </c>
      <c r="Q273" s="42">
        <v>27.3</v>
      </c>
      <c r="R273" s="46" t="s">
        <v>31</v>
      </c>
      <c r="S273" s="43">
        <v>44158</v>
      </c>
      <c r="T273" s="51">
        <f t="shared" si="14"/>
        <v>3</v>
      </c>
      <c r="U273" s="52" t="str">
        <f t="shared" si="15"/>
        <v>Não Detectável</v>
      </c>
    </row>
    <row r="274" spans="1:21" ht="25.5" customHeight="1" x14ac:dyDescent="0.2">
      <c r="A274" s="51">
        <v>273</v>
      </c>
      <c r="B274" s="50" t="s">
        <v>1180</v>
      </c>
      <c r="C274" s="51">
        <v>63</v>
      </c>
      <c r="D274" s="51" t="s">
        <v>34</v>
      </c>
      <c r="E274" s="43" t="s">
        <v>1165</v>
      </c>
      <c r="F274" s="44" t="s">
        <v>60</v>
      </c>
      <c r="G274" s="51">
        <v>133</v>
      </c>
      <c r="H274" s="43">
        <v>44153</v>
      </c>
      <c r="I274" s="44" t="s">
        <v>1169</v>
      </c>
      <c r="J274" s="43">
        <v>44154</v>
      </c>
      <c r="K274" s="42">
        <v>13</v>
      </c>
      <c r="L274" s="42">
        <v>26.8</v>
      </c>
      <c r="M274" s="43" t="s">
        <v>29</v>
      </c>
      <c r="N274" s="44" t="s">
        <v>1179</v>
      </c>
      <c r="O274" s="43">
        <v>44158</v>
      </c>
      <c r="P274" s="42">
        <v>12</v>
      </c>
      <c r="Q274" s="42">
        <v>25.5</v>
      </c>
      <c r="R274" s="46" t="s">
        <v>29</v>
      </c>
      <c r="S274" s="43">
        <v>44158</v>
      </c>
      <c r="T274" s="51">
        <f t="shared" si="14"/>
        <v>3</v>
      </c>
      <c r="U274" s="52" t="str">
        <f t="shared" si="15"/>
        <v>Detectável</v>
      </c>
    </row>
    <row r="275" spans="1:21" ht="25.5" customHeight="1" x14ac:dyDescent="0.2">
      <c r="A275" s="51">
        <v>274</v>
      </c>
      <c r="B275" s="50" t="s">
        <v>1181</v>
      </c>
      <c r="C275" s="51">
        <v>46</v>
      </c>
      <c r="D275" s="51" t="s">
        <v>25</v>
      </c>
      <c r="E275" s="43" t="s">
        <v>1182</v>
      </c>
      <c r="F275" s="44" t="s">
        <v>60</v>
      </c>
      <c r="G275" s="51">
        <v>133</v>
      </c>
      <c r="H275" s="43">
        <v>44154</v>
      </c>
      <c r="I275" s="44" t="s">
        <v>1169</v>
      </c>
      <c r="J275" s="43">
        <v>44154</v>
      </c>
      <c r="K275" s="42">
        <v>13</v>
      </c>
      <c r="L275" s="42">
        <v>26.8</v>
      </c>
      <c r="M275" s="43" t="s">
        <v>29</v>
      </c>
      <c r="N275" s="44" t="s">
        <v>1179</v>
      </c>
      <c r="O275" s="43">
        <v>44158</v>
      </c>
      <c r="P275" s="42" t="s">
        <v>36</v>
      </c>
      <c r="Q275" s="42">
        <v>26.4</v>
      </c>
      <c r="R275" s="46" t="s">
        <v>31</v>
      </c>
      <c r="S275" s="43">
        <v>44158</v>
      </c>
      <c r="T275" s="51">
        <f t="shared" si="14"/>
        <v>3</v>
      </c>
      <c r="U275" s="52" t="str">
        <f t="shared" si="15"/>
        <v>Não Detectável</v>
      </c>
    </row>
    <row r="276" spans="1:21" ht="25.5" customHeight="1" x14ac:dyDescent="0.2">
      <c r="A276" s="51">
        <v>275</v>
      </c>
      <c r="B276" s="50" t="s">
        <v>1183</v>
      </c>
      <c r="C276" s="51">
        <v>53</v>
      </c>
      <c r="D276" s="51" t="s">
        <v>25</v>
      </c>
      <c r="E276" s="43" t="s">
        <v>1182</v>
      </c>
      <c r="F276" s="44" t="s">
        <v>60</v>
      </c>
      <c r="G276" s="51">
        <v>134</v>
      </c>
      <c r="H276" s="43">
        <v>44154</v>
      </c>
      <c r="I276" s="44" t="s">
        <v>1169</v>
      </c>
      <c r="J276" s="43">
        <v>44154</v>
      </c>
      <c r="K276" s="42">
        <v>15.2</v>
      </c>
      <c r="L276" s="42">
        <v>27.7</v>
      </c>
      <c r="M276" s="43" t="s">
        <v>29</v>
      </c>
      <c r="N276" s="44" t="s">
        <v>1179</v>
      </c>
      <c r="O276" s="43">
        <v>44158</v>
      </c>
      <c r="P276" s="42">
        <v>36</v>
      </c>
      <c r="Q276" s="42">
        <v>24.6</v>
      </c>
      <c r="R276" s="46" t="s">
        <v>29</v>
      </c>
      <c r="S276" s="43">
        <v>44158</v>
      </c>
      <c r="T276" s="51">
        <f t="shared" si="14"/>
        <v>3</v>
      </c>
      <c r="U276" s="52" t="str">
        <f t="shared" si="15"/>
        <v>Detectável</v>
      </c>
    </row>
    <row r="277" spans="1:21" ht="25.5" customHeight="1" x14ac:dyDescent="0.2">
      <c r="A277" s="51">
        <v>276</v>
      </c>
      <c r="B277" s="50" t="s">
        <v>1184</v>
      </c>
      <c r="C277" s="51">
        <v>25</v>
      </c>
      <c r="D277" s="51" t="s">
        <v>34</v>
      </c>
      <c r="E277" s="43" t="s">
        <v>1182</v>
      </c>
      <c r="F277" s="44" t="s">
        <v>60</v>
      </c>
      <c r="G277" s="51">
        <v>134</v>
      </c>
      <c r="H277" s="43">
        <v>44154</v>
      </c>
      <c r="I277" s="44" t="s">
        <v>1169</v>
      </c>
      <c r="J277" s="43">
        <v>44154</v>
      </c>
      <c r="K277" s="42">
        <v>15.2</v>
      </c>
      <c r="L277" s="42">
        <v>27.7</v>
      </c>
      <c r="M277" s="43" t="s">
        <v>29</v>
      </c>
      <c r="N277" s="44" t="s">
        <v>1179</v>
      </c>
      <c r="O277" s="43">
        <v>44158</v>
      </c>
      <c r="P277" s="42" t="s">
        <v>36</v>
      </c>
      <c r="Q277" s="42">
        <v>25.9</v>
      </c>
      <c r="R277" s="46" t="s">
        <v>31</v>
      </c>
      <c r="S277" s="43">
        <v>44158</v>
      </c>
      <c r="T277" s="51">
        <f t="shared" si="14"/>
        <v>3</v>
      </c>
      <c r="U277" s="52" t="str">
        <f t="shared" si="15"/>
        <v>Não Detectável</v>
      </c>
    </row>
    <row r="278" spans="1:21" ht="25.5" customHeight="1" x14ac:dyDescent="0.2">
      <c r="A278" s="51">
        <v>277</v>
      </c>
      <c r="B278" s="50" t="s">
        <v>1185</v>
      </c>
      <c r="C278" s="51">
        <v>30</v>
      </c>
      <c r="D278" s="51" t="s">
        <v>25</v>
      </c>
      <c r="E278" s="43" t="s">
        <v>1182</v>
      </c>
      <c r="F278" s="44" t="s">
        <v>60</v>
      </c>
      <c r="G278" s="51">
        <v>134</v>
      </c>
      <c r="H278" s="43">
        <v>44154</v>
      </c>
      <c r="I278" s="44" t="s">
        <v>1169</v>
      </c>
      <c r="J278" s="43">
        <v>44154</v>
      </c>
      <c r="K278" s="42">
        <v>15.2</v>
      </c>
      <c r="L278" s="42">
        <v>27.7</v>
      </c>
      <c r="M278" s="43" t="s">
        <v>29</v>
      </c>
      <c r="N278" s="44" t="s">
        <v>1179</v>
      </c>
      <c r="O278" s="43">
        <v>44158</v>
      </c>
      <c r="P278" s="42">
        <v>14.4</v>
      </c>
      <c r="Q278" s="42">
        <v>26.8</v>
      </c>
      <c r="R278" s="46" t="s">
        <v>29</v>
      </c>
      <c r="S278" s="43">
        <v>44158</v>
      </c>
      <c r="T278" s="51">
        <f t="shared" si="14"/>
        <v>3</v>
      </c>
      <c r="U278" s="52" t="str">
        <f t="shared" si="15"/>
        <v>Detectável</v>
      </c>
    </row>
    <row r="279" spans="1:21" ht="25.5" customHeight="1" x14ac:dyDescent="0.2">
      <c r="A279" s="51">
        <v>278</v>
      </c>
      <c r="B279" s="50" t="s">
        <v>1186</v>
      </c>
      <c r="C279" s="51">
        <v>52</v>
      </c>
      <c r="D279" s="51" t="s">
        <v>25</v>
      </c>
      <c r="E279" s="43" t="s">
        <v>1182</v>
      </c>
      <c r="F279" s="44" t="s">
        <v>60</v>
      </c>
      <c r="G279" s="51">
        <v>135</v>
      </c>
      <c r="H279" s="43">
        <v>44154</v>
      </c>
      <c r="I279" s="44" t="s">
        <v>1169</v>
      </c>
      <c r="J279" s="43">
        <v>44154</v>
      </c>
      <c r="K279" s="42" t="s">
        <v>36</v>
      </c>
      <c r="L279" s="42">
        <v>27.3</v>
      </c>
      <c r="M279" s="45" t="s">
        <v>31</v>
      </c>
      <c r="N279" s="44" t="s">
        <v>60</v>
      </c>
      <c r="O279" s="44" t="s">
        <v>60</v>
      </c>
      <c r="P279" s="42" t="s">
        <v>60</v>
      </c>
      <c r="Q279" s="42" t="s">
        <v>60</v>
      </c>
      <c r="R279" s="46" t="s">
        <v>60</v>
      </c>
      <c r="S279" s="43">
        <v>44154</v>
      </c>
      <c r="T279" s="51">
        <f t="shared" si="14"/>
        <v>3</v>
      </c>
      <c r="U279" s="52" t="str">
        <f t="shared" si="15"/>
        <v>Não Detectável</v>
      </c>
    </row>
    <row r="280" spans="1:21" ht="25.5" customHeight="1" x14ac:dyDescent="0.2">
      <c r="A280" s="51">
        <v>279</v>
      </c>
      <c r="B280" s="50" t="s">
        <v>1187</v>
      </c>
      <c r="C280" s="51">
        <v>44</v>
      </c>
      <c r="D280" s="51" t="s">
        <v>25</v>
      </c>
      <c r="E280" s="43" t="s">
        <v>1182</v>
      </c>
      <c r="F280" s="44" t="s">
        <v>60</v>
      </c>
      <c r="G280" s="51">
        <v>135</v>
      </c>
      <c r="H280" s="43">
        <v>44154</v>
      </c>
      <c r="I280" s="44" t="s">
        <v>1169</v>
      </c>
      <c r="J280" s="43">
        <v>44154</v>
      </c>
      <c r="K280" s="42" t="s">
        <v>36</v>
      </c>
      <c r="L280" s="42">
        <v>27.3</v>
      </c>
      <c r="M280" s="45" t="s">
        <v>31</v>
      </c>
      <c r="N280" s="44" t="s">
        <v>60</v>
      </c>
      <c r="O280" s="44" t="s">
        <v>60</v>
      </c>
      <c r="P280" s="42" t="s">
        <v>60</v>
      </c>
      <c r="Q280" s="42" t="s">
        <v>60</v>
      </c>
      <c r="R280" s="46" t="s">
        <v>60</v>
      </c>
      <c r="S280" s="43">
        <v>44154</v>
      </c>
      <c r="T280" s="51">
        <f t="shared" si="14"/>
        <v>3</v>
      </c>
      <c r="U280" s="52" t="str">
        <f t="shared" si="15"/>
        <v>Não Detectável</v>
      </c>
    </row>
    <row r="281" spans="1:21" ht="25.5" customHeight="1" x14ac:dyDescent="0.2">
      <c r="A281" s="51">
        <v>280</v>
      </c>
      <c r="B281" s="50" t="s">
        <v>1188</v>
      </c>
      <c r="C281" s="51">
        <v>62</v>
      </c>
      <c r="D281" s="51" t="s">
        <v>34</v>
      </c>
      <c r="E281" s="43" t="s">
        <v>1182</v>
      </c>
      <c r="F281" s="44" t="s">
        <v>60</v>
      </c>
      <c r="G281" s="51">
        <v>135</v>
      </c>
      <c r="H281" s="43">
        <v>44154</v>
      </c>
      <c r="I281" s="44" t="s">
        <v>1169</v>
      </c>
      <c r="J281" s="43">
        <v>44154</v>
      </c>
      <c r="K281" s="42" t="s">
        <v>36</v>
      </c>
      <c r="L281" s="42">
        <v>27.3</v>
      </c>
      <c r="M281" s="45" t="s">
        <v>31</v>
      </c>
      <c r="N281" s="44" t="s">
        <v>60</v>
      </c>
      <c r="O281" s="44" t="s">
        <v>60</v>
      </c>
      <c r="P281" s="42" t="s">
        <v>60</v>
      </c>
      <c r="Q281" s="42" t="s">
        <v>60</v>
      </c>
      <c r="R281" s="46" t="s">
        <v>60</v>
      </c>
      <c r="S281" s="43">
        <v>44154</v>
      </c>
      <c r="T281" s="51">
        <f t="shared" si="14"/>
        <v>3</v>
      </c>
      <c r="U281" s="52" t="str">
        <f t="shared" si="15"/>
        <v>Não Detectável</v>
      </c>
    </row>
    <row r="282" spans="1:21" ht="25.5" customHeight="1" x14ac:dyDescent="0.2">
      <c r="A282" s="51">
        <v>281</v>
      </c>
      <c r="B282" s="50" t="s">
        <v>1189</v>
      </c>
      <c r="C282" s="51">
        <v>55</v>
      </c>
      <c r="D282" s="51" t="s">
        <v>25</v>
      </c>
      <c r="E282" s="43" t="s">
        <v>1182</v>
      </c>
      <c r="F282" s="44" t="s">
        <v>60</v>
      </c>
      <c r="G282" s="51">
        <v>136</v>
      </c>
      <c r="H282" s="43">
        <v>44154</v>
      </c>
      <c r="I282" s="44" t="s">
        <v>1169</v>
      </c>
      <c r="J282" s="43">
        <v>44154</v>
      </c>
      <c r="K282" s="42">
        <v>21.7</v>
      </c>
      <c r="L282" s="42">
        <v>26.9</v>
      </c>
      <c r="M282" s="43" t="s">
        <v>29</v>
      </c>
      <c r="N282" s="44" t="s">
        <v>1179</v>
      </c>
      <c r="O282" s="43">
        <v>44158</v>
      </c>
      <c r="P282" s="42">
        <v>20.3</v>
      </c>
      <c r="Q282" s="42">
        <v>27.1</v>
      </c>
      <c r="R282" s="46" t="s">
        <v>29</v>
      </c>
      <c r="S282" s="43">
        <v>44158</v>
      </c>
      <c r="T282" s="51">
        <f t="shared" si="14"/>
        <v>3</v>
      </c>
      <c r="U282" s="52" t="str">
        <f t="shared" si="15"/>
        <v>Detectável</v>
      </c>
    </row>
    <row r="283" spans="1:21" ht="25.5" customHeight="1" x14ac:dyDescent="0.2">
      <c r="A283" s="51">
        <v>282</v>
      </c>
      <c r="B283" s="50" t="s">
        <v>1190</v>
      </c>
      <c r="C283" s="51">
        <v>20</v>
      </c>
      <c r="D283" s="51" t="s">
        <v>25</v>
      </c>
      <c r="E283" s="43" t="s">
        <v>1182</v>
      </c>
      <c r="F283" s="44" t="s">
        <v>60</v>
      </c>
      <c r="G283" s="51">
        <v>136</v>
      </c>
      <c r="H283" s="43">
        <v>44154</v>
      </c>
      <c r="I283" s="44" t="s">
        <v>1169</v>
      </c>
      <c r="J283" s="43">
        <v>44154</v>
      </c>
      <c r="K283" s="42">
        <v>21.7</v>
      </c>
      <c r="L283" s="42">
        <v>26.9</v>
      </c>
      <c r="M283" s="43" t="s">
        <v>29</v>
      </c>
      <c r="N283" s="44" t="s">
        <v>1179</v>
      </c>
      <c r="O283" s="43">
        <v>44158</v>
      </c>
      <c r="P283" s="42">
        <v>35.6</v>
      </c>
      <c r="Q283" s="42">
        <v>26.5</v>
      </c>
      <c r="R283" s="46" t="s">
        <v>29</v>
      </c>
      <c r="S283" s="43">
        <v>44158</v>
      </c>
      <c r="T283" s="51">
        <f t="shared" si="14"/>
        <v>3</v>
      </c>
      <c r="U283" s="52" t="str">
        <f t="shared" si="15"/>
        <v>Detectável</v>
      </c>
    </row>
    <row r="284" spans="1:21" ht="25.5" customHeight="1" x14ac:dyDescent="0.2">
      <c r="A284" s="51">
        <v>283</v>
      </c>
      <c r="B284" s="50" t="s">
        <v>1191</v>
      </c>
      <c r="C284" s="51">
        <v>10</v>
      </c>
      <c r="D284" s="51" t="s">
        <v>34</v>
      </c>
      <c r="E284" s="43" t="s">
        <v>1182</v>
      </c>
      <c r="F284" s="44" t="s">
        <v>60</v>
      </c>
      <c r="G284" s="51">
        <v>136</v>
      </c>
      <c r="H284" s="43">
        <v>44154</v>
      </c>
      <c r="I284" s="44" t="s">
        <v>1169</v>
      </c>
      <c r="J284" s="43">
        <v>44154</v>
      </c>
      <c r="K284" s="42">
        <v>21.7</v>
      </c>
      <c r="L284" s="42">
        <v>26.9</v>
      </c>
      <c r="M284" s="43" t="s">
        <v>29</v>
      </c>
      <c r="N284" s="44" t="s">
        <v>1179</v>
      </c>
      <c r="O284" s="43">
        <v>44158</v>
      </c>
      <c r="P284" s="42">
        <v>35.9</v>
      </c>
      <c r="Q284" s="42">
        <v>26.3</v>
      </c>
      <c r="R284" s="46" t="s">
        <v>29</v>
      </c>
      <c r="S284" s="43">
        <v>44158</v>
      </c>
      <c r="T284" s="51">
        <f t="shared" si="14"/>
        <v>3</v>
      </c>
      <c r="U284" s="52" t="str">
        <f t="shared" si="15"/>
        <v>Detectável</v>
      </c>
    </row>
    <row r="285" spans="1:21" ht="25.5" customHeight="1" x14ac:dyDescent="0.2">
      <c r="A285" s="51">
        <v>284</v>
      </c>
      <c r="B285" s="50" t="s">
        <v>1192</v>
      </c>
      <c r="C285" s="51">
        <v>55</v>
      </c>
      <c r="D285" s="51" t="s">
        <v>25</v>
      </c>
      <c r="E285" s="43" t="s">
        <v>1182</v>
      </c>
      <c r="F285" s="44" t="s">
        <v>60</v>
      </c>
      <c r="G285" s="51">
        <v>137</v>
      </c>
      <c r="H285" s="43">
        <v>44154</v>
      </c>
      <c r="I285" s="44" t="s">
        <v>1169</v>
      </c>
      <c r="J285" s="43">
        <v>44154</v>
      </c>
      <c r="K285" s="42">
        <v>17.899999999999999</v>
      </c>
      <c r="L285" s="42">
        <v>26.4</v>
      </c>
      <c r="M285" s="43" t="s">
        <v>29</v>
      </c>
      <c r="N285" s="44" t="s">
        <v>1179</v>
      </c>
      <c r="O285" s="43">
        <v>44158</v>
      </c>
      <c r="P285" s="42">
        <v>26.7</v>
      </c>
      <c r="Q285" s="42">
        <v>26.2</v>
      </c>
      <c r="R285" s="46" t="s">
        <v>29</v>
      </c>
      <c r="S285" s="43">
        <v>44158</v>
      </c>
      <c r="T285" s="51">
        <f t="shared" si="14"/>
        <v>3</v>
      </c>
      <c r="U285" s="52" t="str">
        <f t="shared" si="15"/>
        <v>Detectável</v>
      </c>
    </row>
    <row r="286" spans="1:21" ht="25.5" customHeight="1" x14ac:dyDescent="0.2">
      <c r="A286" s="51">
        <v>285</v>
      </c>
      <c r="B286" s="50" t="s">
        <v>1193</v>
      </c>
      <c r="C286" s="51">
        <v>33</v>
      </c>
      <c r="D286" s="51" t="s">
        <v>25</v>
      </c>
      <c r="E286" s="43" t="s">
        <v>1182</v>
      </c>
      <c r="F286" s="44" t="s">
        <v>60</v>
      </c>
      <c r="G286" s="51">
        <v>137</v>
      </c>
      <c r="H286" s="43">
        <v>44154</v>
      </c>
      <c r="I286" s="44" t="s">
        <v>1169</v>
      </c>
      <c r="J286" s="43">
        <v>44154</v>
      </c>
      <c r="K286" s="42">
        <v>17.899999999999999</v>
      </c>
      <c r="L286" s="42">
        <v>26.4</v>
      </c>
      <c r="M286" s="43" t="s">
        <v>29</v>
      </c>
      <c r="N286" s="44" t="s">
        <v>1179</v>
      </c>
      <c r="O286" s="43">
        <v>44158</v>
      </c>
      <c r="P286" s="42">
        <v>36</v>
      </c>
      <c r="Q286" s="42">
        <v>25.8</v>
      </c>
      <c r="R286" s="46" t="s">
        <v>29</v>
      </c>
      <c r="S286" s="43">
        <v>44158</v>
      </c>
      <c r="T286" s="51">
        <f t="shared" si="14"/>
        <v>3</v>
      </c>
      <c r="U286" s="52" t="str">
        <f t="shared" si="15"/>
        <v>Detectável</v>
      </c>
    </row>
    <row r="287" spans="1:21" ht="25.5" customHeight="1" x14ac:dyDescent="0.2">
      <c r="A287" s="51">
        <v>286</v>
      </c>
      <c r="B287" s="50" t="s">
        <v>1194</v>
      </c>
      <c r="C287" s="51">
        <v>25</v>
      </c>
      <c r="D287" s="51" t="s">
        <v>25</v>
      </c>
      <c r="E287" s="43" t="s">
        <v>1182</v>
      </c>
      <c r="F287" s="44" t="s">
        <v>60</v>
      </c>
      <c r="G287" s="51">
        <v>137</v>
      </c>
      <c r="H287" s="43">
        <v>44154</v>
      </c>
      <c r="I287" s="44" t="s">
        <v>1169</v>
      </c>
      <c r="J287" s="43">
        <v>44154</v>
      </c>
      <c r="K287" s="42">
        <v>17.899999999999999</v>
      </c>
      <c r="L287" s="42">
        <v>26.4</v>
      </c>
      <c r="M287" s="43" t="s">
        <v>29</v>
      </c>
      <c r="N287" s="44" t="s">
        <v>1179</v>
      </c>
      <c r="O287" s="43">
        <v>44158</v>
      </c>
      <c r="P287" s="42">
        <v>16.100000000000001</v>
      </c>
      <c r="Q287" s="42">
        <v>26.4</v>
      </c>
      <c r="R287" s="46" t="s">
        <v>29</v>
      </c>
      <c r="S287" s="43">
        <v>44158</v>
      </c>
      <c r="T287" s="51">
        <f t="shared" si="14"/>
        <v>3</v>
      </c>
      <c r="U287" s="52" t="str">
        <f t="shared" si="15"/>
        <v>Detectável</v>
      </c>
    </row>
    <row r="288" spans="1:21" ht="25.5" customHeight="1" x14ac:dyDescent="0.2">
      <c r="A288" s="51">
        <v>287</v>
      </c>
      <c r="B288" s="50" t="s">
        <v>1195</v>
      </c>
      <c r="C288" s="51">
        <v>25</v>
      </c>
      <c r="D288" s="51" t="s">
        <v>34</v>
      </c>
      <c r="E288" s="43" t="s">
        <v>1182</v>
      </c>
      <c r="F288" s="44" t="s">
        <v>60</v>
      </c>
      <c r="G288" s="51">
        <v>138</v>
      </c>
      <c r="H288" s="43">
        <v>44154</v>
      </c>
      <c r="I288" s="44" t="s">
        <v>1179</v>
      </c>
      <c r="J288" s="43">
        <v>44158</v>
      </c>
      <c r="K288" s="42">
        <v>16.600000000000001</v>
      </c>
      <c r="L288" s="42">
        <v>26.2</v>
      </c>
      <c r="M288" s="43" t="s">
        <v>29</v>
      </c>
      <c r="N288" s="44" t="s">
        <v>1196</v>
      </c>
      <c r="O288" s="43">
        <v>44158</v>
      </c>
      <c r="P288" s="42">
        <v>15.3</v>
      </c>
      <c r="Q288" s="42">
        <v>27.9</v>
      </c>
      <c r="R288" s="46" t="s">
        <v>29</v>
      </c>
      <c r="S288" s="43">
        <v>44158</v>
      </c>
      <c r="T288" s="51">
        <f t="shared" si="14"/>
        <v>3</v>
      </c>
      <c r="U288" s="52" t="str">
        <f t="shared" si="15"/>
        <v>Detectável</v>
      </c>
    </row>
    <row r="289" spans="1:21" ht="25.5" customHeight="1" x14ac:dyDescent="0.2">
      <c r="A289" s="51">
        <v>288</v>
      </c>
      <c r="B289" s="50" t="s">
        <v>1197</v>
      </c>
      <c r="C289" s="51">
        <v>57</v>
      </c>
      <c r="D289" s="51" t="s">
        <v>25</v>
      </c>
      <c r="E289" s="43" t="s">
        <v>1182</v>
      </c>
      <c r="F289" s="44" t="s">
        <v>60</v>
      </c>
      <c r="G289" s="51">
        <v>138</v>
      </c>
      <c r="H289" s="43">
        <v>44154</v>
      </c>
      <c r="I289" s="44" t="s">
        <v>1179</v>
      </c>
      <c r="J289" s="43">
        <v>44158</v>
      </c>
      <c r="K289" s="42">
        <v>16.600000000000001</v>
      </c>
      <c r="L289" s="42">
        <v>26.2</v>
      </c>
      <c r="M289" s="43" t="s">
        <v>29</v>
      </c>
      <c r="N289" s="44" t="s">
        <v>1196</v>
      </c>
      <c r="O289" s="43">
        <v>44158</v>
      </c>
      <c r="P289" s="42">
        <v>19.8</v>
      </c>
      <c r="Q289" s="42">
        <v>27.1</v>
      </c>
      <c r="R289" s="46" t="s">
        <v>29</v>
      </c>
      <c r="S289" s="43">
        <v>44158</v>
      </c>
      <c r="T289" s="51">
        <f t="shared" si="14"/>
        <v>3</v>
      </c>
      <c r="U289" s="52" t="str">
        <f t="shared" si="15"/>
        <v>Detectável</v>
      </c>
    </row>
    <row r="290" spans="1:21" ht="25.5" customHeight="1" x14ac:dyDescent="0.2">
      <c r="A290" s="51">
        <v>289</v>
      </c>
      <c r="B290" s="50" t="s">
        <v>1198</v>
      </c>
      <c r="C290" s="51">
        <v>24</v>
      </c>
      <c r="D290" s="51" t="s">
        <v>25</v>
      </c>
      <c r="E290" s="43" t="s">
        <v>1199</v>
      </c>
      <c r="F290" s="44" t="s">
        <v>60</v>
      </c>
      <c r="G290" s="51">
        <v>138</v>
      </c>
      <c r="H290" s="43">
        <v>44155</v>
      </c>
      <c r="I290" s="44" t="s">
        <v>1179</v>
      </c>
      <c r="J290" s="43">
        <v>44158</v>
      </c>
      <c r="K290" s="42">
        <v>16.600000000000001</v>
      </c>
      <c r="L290" s="42">
        <v>26.2</v>
      </c>
      <c r="M290" s="43" t="s">
        <v>29</v>
      </c>
      <c r="N290" s="44" t="s">
        <v>1196</v>
      </c>
      <c r="O290" s="43">
        <v>44158</v>
      </c>
      <c r="P290" s="42" t="s">
        <v>36</v>
      </c>
      <c r="Q290" s="42">
        <v>23.8</v>
      </c>
      <c r="R290" s="46" t="s">
        <v>31</v>
      </c>
      <c r="S290" s="43">
        <v>44158</v>
      </c>
      <c r="T290" s="51">
        <f t="shared" si="14"/>
        <v>3</v>
      </c>
      <c r="U290" s="52" t="str">
        <f t="shared" si="15"/>
        <v>Não Detectável</v>
      </c>
    </row>
    <row r="291" spans="1:21" ht="25.5" customHeight="1" x14ac:dyDescent="0.2">
      <c r="A291" s="51">
        <v>290</v>
      </c>
      <c r="B291" s="50" t="s">
        <v>1200</v>
      </c>
      <c r="C291" s="51">
        <v>36</v>
      </c>
      <c r="D291" s="51" t="s">
        <v>25</v>
      </c>
      <c r="E291" s="43" t="s">
        <v>1199</v>
      </c>
      <c r="F291" s="44" t="s">
        <v>60</v>
      </c>
      <c r="G291" s="51">
        <v>139</v>
      </c>
      <c r="H291" s="43">
        <v>44155</v>
      </c>
      <c r="I291" s="44" t="s">
        <v>1179</v>
      </c>
      <c r="J291" s="43">
        <v>44158</v>
      </c>
      <c r="K291" s="42">
        <v>26.8</v>
      </c>
      <c r="L291" s="42">
        <v>25.5</v>
      </c>
      <c r="M291" s="43" t="s">
        <v>29</v>
      </c>
      <c r="N291" s="44" t="s">
        <v>1196</v>
      </c>
      <c r="O291" s="43">
        <v>44158</v>
      </c>
      <c r="P291" s="42" t="s">
        <v>36</v>
      </c>
      <c r="Q291" s="42">
        <v>26.1</v>
      </c>
      <c r="R291" s="46" t="s">
        <v>31</v>
      </c>
      <c r="S291" s="43">
        <v>44158</v>
      </c>
      <c r="T291" s="51">
        <f t="shared" si="14"/>
        <v>3</v>
      </c>
      <c r="U291" s="52" t="str">
        <f t="shared" si="15"/>
        <v>Não Detectável</v>
      </c>
    </row>
    <row r="292" spans="1:21" ht="25.5" customHeight="1" x14ac:dyDescent="0.2">
      <c r="A292" s="51">
        <v>291</v>
      </c>
      <c r="B292" s="50" t="s">
        <v>1201</v>
      </c>
      <c r="C292" s="51">
        <v>27</v>
      </c>
      <c r="D292" s="51" t="s">
        <v>25</v>
      </c>
      <c r="E292" s="43" t="s">
        <v>1199</v>
      </c>
      <c r="F292" s="44" t="s">
        <v>60</v>
      </c>
      <c r="G292" s="51">
        <v>139</v>
      </c>
      <c r="H292" s="43">
        <v>44155</v>
      </c>
      <c r="I292" s="44" t="s">
        <v>1179</v>
      </c>
      <c r="J292" s="43">
        <v>44158</v>
      </c>
      <c r="K292" s="42">
        <v>26.8</v>
      </c>
      <c r="L292" s="42">
        <v>25.5</v>
      </c>
      <c r="M292" s="43" t="s">
        <v>29</v>
      </c>
      <c r="N292" s="44" t="s">
        <v>1196</v>
      </c>
      <c r="O292" s="43">
        <v>44158</v>
      </c>
      <c r="P292" s="42">
        <v>25.2</v>
      </c>
      <c r="Q292" s="42">
        <v>24.6</v>
      </c>
      <c r="R292" s="46" t="s">
        <v>29</v>
      </c>
      <c r="S292" s="43">
        <v>44158</v>
      </c>
      <c r="T292" s="51">
        <f t="shared" si="14"/>
        <v>3</v>
      </c>
      <c r="U292" s="52" t="str">
        <f t="shared" si="15"/>
        <v>Detectável</v>
      </c>
    </row>
    <row r="293" spans="1:21" ht="25.5" customHeight="1" x14ac:dyDescent="0.2">
      <c r="A293" s="51">
        <v>292</v>
      </c>
      <c r="B293" s="50" t="s">
        <v>1202</v>
      </c>
      <c r="C293" s="51">
        <v>76</v>
      </c>
      <c r="D293" s="51" t="s">
        <v>34</v>
      </c>
      <c r="E293" s="43" t="s">
        <v>1199</v>
      </c>
      <c r="F293" s="44" t="s">
        <v>60</v>
      </c>
      <c r="G293" s="51">
        <v>139</v>
      </c>
      <c r="H293" s="43">
        <v>44155</v>
      </c>
      <c r="I293" s="44" t="s">
        <v>1179</v>
      </c>
      <c r="J293" s="43">
        <v>44158</v>
      </c>
      <c r="K293" s="42">
        <v>26.8</v>
      </c>
      <c r="L293" s="42">
        <v>25.5</v>
      </c>
      <c r="M293" s="43" t="s">
        <v>29</v>
      </c>
      <c r="N293" s="44" t="s">
        <v>1196</v>
      </c>
      <c r="O293" s="43">
        <v>44158</v>
      </c>
      <c r="P293" s="42">
        <v>25.3</v>
      </c>
      <c r="Q293" s="42">
        <v>26.8</v>
      </c>
      <c r="R293" s="46" t="s">
        <v>29</v>
      </c>
      <c r="S293" s="43">
        <v>44158</v>
      </c>
      <c r="T293" s="51">
        <f t="shared" si="14"/>
        <v>3</v>
      </c>
      <c r="U293" s="52" t="str">
        <f t="shared" si="15"/>
        <v>Detectável</v>
      </c>
    </row>
    <row r="294" spans="1:21" ht="25.5" customHeight="1" x14ac:dyDescent="0.2">
      <c r="A294" s="51">
        <v>293</v>
      </c>
      <c r="B294" s="50" t="s">
        <v>1203</v>
      </c>
      <c r="C294" s="51">
        <v>53</v>
      </c>
      <c r="D294" s="51" t="s">
        <v>25</v>
      </c>
      <c r="E294" s="43" t="s">
        <v>1199</v>
      </c>
      <c r="F294" s="44" t="s">
        <v>60</v>
      </c>
      <c r="G294" s="51">
        <v>140</v>
      </c>
      <c r="H294" s="43">
        <v>44155</v>
      </c>
      <c r="I294" s="44" t="s">
        <v>1179</v>
      </c>
      <c r="J294" s="43">
        <v>44158</v>
      </c>
      <c r="K294" s="42" t="s">
        <v>383</v>
      </c>
      <c r="L294" s="42">
        <v>26.9</v>
      </c>
      <c r="M294" s="45" t="s">
        <v>31</v>
      </c>
      <c r="N294" s="44" t="s">
        <v>60</v>
      </c>
      <c r="O294" s="43" t="s">
        <v>60</v>
      </c>
      <c r="P294" s="42" t="s">
        <v>60</v>
      </c>
      <c r="Q294" s="42" t="s">
        <v>60</v>
      </c>
      <c r="R294" s="46" t="s">
        <v>60</v>
      </c>
      <c r="S294" s="43">
        <v>44158</v>
      </c>
      <c r="T294" s="51">
        <f t="shared" si="14"/>
        <v>3</v>
      </c>
      <c r="U294" s="52" t="str">
        <f t="shared" si="15"/>
        <v>Não Detectável</v>
      </c>
    </row>
    <row r="295" spans="1:21" ht="25.5" customHeight="1" x14ac:dyDescent="0.2">
      <c r="A295" s="51">
        <v>294</v>
      </c>
      <c r="B295" s="50" t="s">
        <v>1204</v>
      </c>
      <c r="C295" s="51">
        <v>30</v>
      </c>
      <c r="D295" s="51" t="s">
        <v>25</v>
      </c>
      <c r="E295" s="43" t="s">
        <v>1199</v>
      </c>
      <c r="F295" s="44" t="s">
        <v>60</v>
      </c>
      <c r="G295" s="51">
        <v>140</v>
      </c>
      <c r="H295" s="43">
        <v>44155</v>
      </c>
      <c r="I295" s="44" t="s">
        <v>1179</v>
      </c>
      <c r="J295" s="43">
        <v>44158</v>
      </c>
      <c r="K295" s="42" t="s">
        <v>383</v>
      </c>
      <c r="L295" s="42">
        <v>26.9</v>
      </c>
      <c r="M295" s="45" t="s">
        <v>31</v>
      </c>
      <c r="N295" s="44" t="s">
        <v>60</v>
      </c>
      <c r="O295" s="43" t="s">
        <v>60</v>
      </c>
      <c r="P295" s="42" t="s">
        <v>60</v>
      </c>
      <c r="Q295" s="42" t="s">
        <v>60</v>
      </c>
      <c r="R295" s="46" t="s">
        <v>60</v>
      </c>
      <c r="S295" s="43">
        <v>44158</v>
      </c>
      <c r="T295" s="51">
        <f t="shared" si="14"/>
        <v>3</v>
      </c>
      <c r="U295" s="52" t="str">
        <f t="shared" si="15"/>
        <v>Não Detectável</v>
      </c>
    </row>
    <row r="296" spans="1:21" ht="25.5" customHeight="1" x14ac:dyDescent="0.2">
      <c r="A296" s="51">
        <v>295</v>
      </c>
      <c r="B296" s="50" t="s">
        <v>1205</v>
      </c>
      <c r="C296" s="51">
        <v>82</v>
      </c>
      <c r="D296" s="51" t="s">
        <v>34</v>
      </c>
      <c r="E296" s="43" t="s">
        <v>1199</v>
      </c>
      <c r="F296" s="44" t="s">
        <v>60</v>
      </c>
      <c r="G296" s="51">
        <v>140</v>
      </c>
      <c r="H296" s="43">
        <v>44155</v>
      </c>
      <c r="I296" s="44" t="s">
        <v>1179</v>
      </c>
      <c r="J296" s="43">
        <v>44158</v>
      </c>
      <c r="K296" s="42" t="s">
        <v>383</v>
      </c>
      <c r="L296" s="42">
        <v>26.9</v>
      </c>
      <c r="M296" s="45" t="s">
        <v>31</v>
      </c>
      <c r="N296" s="44" t="s">
        <v>60</v>
      </c>
      <c r="O296" s="43" t="s">
        <v>60</v>
      </c>
      <c r="P296" s="42" t="s">
        <v>60</v>
      </c>
      <c r="Q296" s="42" t="s">
        <v>60</v>
      </c>
      <c r="R296" s="46" t="s">
        <v>60</v>
      </c>
      <c r="S296" s="43">
        <v>44158</v>
      </c>
      <c r="T296" s="51">
        <f t="shared" si="14"/>
        <v>3</v>
      </c>
      <c r="U296" s="52" t="str">
        <f t="shared" si="15"/>
        <v>Não Detectável</v>
      </c>
    </row>
    <row r="297" spans="1:21" ht="25.5" customHeight="1" x14ac:dyDescent="0.2">
      <c r="A297" s="51">
        <v>296</v>
      </c>
      <c r="B297" s="50" t="s">
        <v>1206</v>
      </c>
      <c r="C297" s="51">
        <v>35</v>
      </c>
      <c r="D297" s="51" t="s">
        <v>25</v>
      </c>
      <c r="E297" s="43" t="s">
        <v>1199</v>
      </c>
      <c r="F297" s="44" t="s">
        <v>60</v>
      </c>
      <c r="G297" s="51">
        <v>141</v>
      </c>
      <c r="H297" s="43">
        <v>44155</v>
      </c>
      <c r="I297" s="44" t="s">
        <v>1179</v>
      </c>
      <c r="J297" s="43">
        <v>44158</v>
      </c>
      <c r="K297" s="42">
        <v>38.700000000000003</v>
      </c>
      <c r="L297" s="42">
        <v>26.6</v>
      </c>
      <c r="M297" s="45" t="s">
        <v>31</v>
      </c>
      <c r="N297" s="44" t="s">
        <v>60</v>
      </c>
      <c r="O297" s="43" t="s">
        <v>60</v>
      </c>
      <c r="P297" s="42" t="s">
        <v>60</v>
      </c>
      <c r="Q297" s="42" t="s">
        <v>60</v>
      </c>
      <c r="R297" s="46" t="s">
        <v>60</v>
      </c>
      <c r="S297" s="43">
        <v>44158</v>
      </c>
      <c r="T297" s="51">
        <f t="shared" si="14"/>
        <v>3</v>
      </c>
      <c r="U297" s="52" t="str">
        <f t="shared" si="15"/>
        <v>Não Detectável</v>
      </c>
    </row>
    <row r="298" spans="1:21" ht="25.5" customHeight="1" x14ac:dyDescent="0.2">
      <c r="A298" s="51">
        <v>297</v>
      </c>
      <c r="B298" s="50" t="s">
        <v>1207</v>
      </c>
      <c r="C298" s="51">
        <v>26</v>
      </c>
      <c r="D298" s="51" t="s">
        <v>25</v>
      </c>
      <c r="E298" s="43" t="s">
        <v>1199</v>
      </c>
      <c r="F298" s="44" t="s">
        <v>60</v>
      </c>
      <c r="G298" s="51">
        <v>141</v>
      </c>
      <c r="H298" s="43">
        <v>44155</v>
      </c>
      <c r="I298" s="44" t="s">
        <v>1179</v>
      </c>
      <c r="J298" s="43">
        <v>44158</v>
      </c>
      <c r="K298" s="42">
        <v>38.700000000000003</v>
      </c>
      <c r="L298" s="42">
        <v>26.6</v>
      </c>
      <c r="M298" s="45" t="s">
        <v>31</v>
      </c>
      <c r="N298" s="44" t="s">
        <v>60</v>
      </c>
      <c r="O298" s="43" t="s">
        <v>60</v>
      </c>
      <c r="P298" s="42" t="s">
        <v>60</v>
      </c>
      <c r="Q298" s="42" t="s">
        <v>60</v>
      </c>
      <c r="R298" s="46" t="s">
        <v>60</v>
      </c>
      <c r="S298" s="43">
        <v>44158</v>
      </c>
      <c r="T298" s="51">
        <f t="shared" si="14"/>
        <v>3</v>
      </c>
      <c r="U298" s="52" t="str">
        <f t="shared" si="15"/>
        <v>Não Detectável</v>
      </c>
    </row>
    <row r="299" spans="1:21" ht="25.5" customHeight="1" x14ac:dyDescent="0.2">
      <c r="A299" s="51">
        <v>298</v>
      </c>
      <c r="B299" s="50" t="s">
        <v>1208</v>
      </c>
      <c r="C299" s="51">
        <v>24</v>
      </c>
      <c r="D299" s="51" t="s">
        <v>34</v>
      </c>
      <c r="E299" s="43" t="s">
        <v>1199</v>
      </c>
      <c r="F299" s="44" t="s">
        <v>60</v>
      </c>
      <c r="G299" s="51">
        <v>141</v>
      </c>
      <c r="H299" s="43">
        <v>44155</v>
      </c>
      <c r="I299" s="44" t="s">
        <v>1179</v>
      </c>
      <c r="J299" s="43">
        <v>44158</v>
      </c>
      <c r="K299" s="42">
        <v>38.700000000000003</v>
      </c>
      <c r="L299" s="42">
        <v>26.6</v>
      </c>
      <c r="M299" s="45" t="s">
        <v>31</v>
      </c>
      <c r="N299" s="44" t="s">
        <v>60</v>
      </c>
      <c r="O299" s="43" t="s">
        <v>60</v>
      </c>
      <c r="P299" s="42" t="s">
        <v>60</v>
      </c>
      <c r="Q299" s="42" t="s">
        <v>60</v>
      </c>
      <c r="R299" s="46" t="s">
        <v>60</v>
      </c>
      <c r="S299" s="43">
        <v>44158</v>
      </c>
      <c r="T299" s="51">
        <f t="shared" si="14"/>
        <v>3</v>
      </c>
      <c r="U299" s="52" t="str">
        <f t="shared" si="15"/>
        <v>Não Detectável</v>
      </c>
    </row>
    <row r="300" spans="1:21" ht="25.5" customHeight="1" x14ac:dyDescent="0.2">
      <c r="A300" s="51">
        <v>299</v>
      </c>
      <c r="B300" s="50" t="s">
        <v>1209</v>
      </c>
      <c r="C300" s="51">
        <v>22</v>
      </c>
      <c r="D300" s="51" t="s">
        <v>25</v>
      </c>
      <c r="E300" s="43" t="s">
        <v>1199</v>
      </c>
      <c r="F300" s="44" t="s">
        <v>60</v>
      </c>
      <c r="G300" s="51">
        <v>142</v>
      </c>
      <c r="H300" s="43">
        <v>44155</v>
      </c>
      <c r="I300" s="44" t="s">
        <v>1179</v>
      </c>
      <c r="J300" s="43">
        <v>44158</v>
      </c>
      <c r="K300" s="42">
        <v>19.7</v>
      </c>
      <c r="L300" s="42">
        <v>26.5</v>
      </c>
      <c r="M300" s="43" t="s">
        <v>29</v>
      </c>
      <c r="N300" s="44" t="s">
        <v>1210</v>
      </c>
      <c r="O300" s="43">
        <v>44159</v>
      </c>
      <c r="P300" s="42" t="s">
        <v>36</v>
      </c>
      <c r="Q300" s="42">
        <v>27</v>
      </c>
      <c r="R300" s="46" t="s">
        <v>31</v>
      </c>
      <c r="S300" s="43">
        <v>44160</v>
      </c>
      <c r="T300" s="51">
        <f t="shared" si="14"/>
        <v>3</v>
      </c>
      <c r="U300" s="52" t="str">
        <f t="shared" si="15"/>
        <v>Não Detectável</v>
      </c>
    </row>
    <row r="301" spans="1:21" ht="25.5" customHeight="1" x14ac:dyDescent="0.2">
      <c r="A301" s="51">
        <v>300</v>
      </c>
      <c r="B301" s="50" t="s">
        <v>1211</v>
      </c>
      <c r="C301" s="51">
        <v>26</v>
      </c>
      <c r="D301" s="51" t="s">
        <v>34</v>
      </c>
      <c r="E301" s="43" t="s">
        <v>1199</v>
      </c>
      <c r="F301" s="44" t="s">
        <v>60</v>
      </c>
      <c r="G301" s="51">
        <v>142</v>
      </c>
      <c r="H301" s="43">
        <v>44155</v>
      </c>
      <c r="I301" s="44" t="s">
        <v>1179</v>
      </c>
      <c r="J301" s="43">
        <v>44158</v>
      </c>
      <c r="K301" s="42">
        <v>19.7</v>
      </c>
      <c r="L301" s="42">
        <v>26.5</v>
      </c>
      <c r="M301" s="43" t="s">
        <v>29</v>
      </c>
      <c r="N301" s="44" t="s">
        <v>1210</v>
      </c>
      <c r="O301" s="43">
        <v>44159</v>
      </c>
      <c r="P301" s="42">
        <v>17.399999999999999</v>
      </c>
      <c r="Q301" s="42">
        <v>26.8</v>
      </c>
      <c r="R301" s="46" t="s">
        <v>29</v>
      </c>
      <c r="S301" s="43">
        <v>44160</v>
      </c>
      <c r="T301" s="51">
        <f t="shared" si="14"/>
        <v>3</v>
      </c>
      <c r="U301" s="52" t="str">
        <f t="shared" si="15"/>
        <v>Detectável</v>
      </c>
    </row>
    <row r="302" spans="1:21" ht="25.5" customHeight="1" x14ac:dyDescent="0.2">
      <c r="A302" s="51">
        <v>301</v>
      </c>
      <c r="B302" s="50" t="s">
        <v>1212</v>
      </c>
      <c r="C302" s="51">
        <v>22</v>
      </c>
      <c r="D302" s="51" t="s">
        <v>25</v>
      </c>
      <c r="E302" s="43" t="s">
        <v>1199</v>
      </c>
      <c r="F302" s="44" t="s">
        <v>60</v>
      </c>
      <c r="G302" s="51">
        <v>142</v>
      </c>
      <c r="H302" s="43">
        <v>44155</v>
      </c>
      <c r="I302" s="44" t="s">
        <v>1179</v>
      </c>
      <c r="J302" s="43">
        <v>44158</v>
      </c>
      <c r="K302" s="42">
        <v>19.7</v>
      </c>
      <c r="L302" s="42">
        <v>26.5</v>
      </c>
      <c r="M302" s="43" t="s">
        <v>29</v>
      </c>
      <c r="N302" s="44" t="s">
        <v>1210</v>
      </c>
      <c r="O302" s="43">
        <v>44159</v>
      </c>
      <c r="P302" s="42" t="s">
        <v>36</v>
      </c>
      <c r="Q302" s="42">
        <v>27</v>
      </c>
      <c r="R302" s="46" t="s">
        <v>31</v>
      </c>
      <c r="S302" s="43">
        <v>44160</v>
      </c>
      <c r="T302" s="51">
        <f t="shared" si="14"/>
        <v>3</v>
      </c>
      <c r="U302" s="52" t="str">
        <f t="shared" si="15"/>
        <v>Não Detectável</v>
      </c>
    </row>
    <row r="303" spans="1:21" ht="25.5" customHeight="1" x14ac:dyDescent="0.2">
      <c r="A303" s="51">
        <v>302</v>
      </c>
      <c r="B303" s="50" t="s">
        <v>1213</v>
      </c>
      <c r="C303" s="51">
        <v>34</v>
      </c>
      <c r="D303" s="51" t="s">
        <v>34</v>
      </c>
      <c r="E303" s="43" t="s">
        <v>1199</v>
      </c>
      <c r="F303" s="44" t="s">
        <v>60</v>
      </c>
      <c r="G303" s="51">
        <v>143</v>
      </c>
      <c r="H303" s="43">
        <v>44155</v>
      </c>
      <c r="I303" s="44" t="s">
        <v>1179</v>
      </c>
      <c r="J303" s="43">
        <v>44158</v>
      </c>
      <c r="K303" s="42">
        <v>14.6</v>
      </c>
      <c r="L303" s="42">
        <v>25.9</v>
      </c>
      <c r="M303" s="43" t="s">
        <v>29</v>
      </c>
      <c r="N303" s="44" t="s">
        <v>1196</v>
      </c>
      <c r="O303" s="43">
        <v>44158</v>
      </c>
      <c r="P303" s="42">
        <v>26.3</v>
      </c>
      <c r="Q303" s="42">
        <v>25.8</v>
      </c>
      <c r="R303" s="46" t="s">
        <v>29</v>
      </c>
      <c r="S303" s="43">
        <v>44158</v>
      </c>
      <c r="T303" s="51">
        <f t="shared" si="14"/>
        <v>3</v>
      </c>
      <c r="U303" s="52" t="str">
        <f t="shared" si="15"/>
        <v>Detectável</v>
      </c>
    </row>
    <row r="304" spans="1:21" ht="25.5" customHeight="1" x14ac:dyDescent="0.2">
      <c r="A304" s="51">
        <v>303</v>
      </c>
      <c r="B304" s="50" t="s">
        <v>1214</v>
      </c>
      <c r="C304" s="51">
        <v>23</v>
      </c>
      <c r="D304" s="51" t="s">
        <v>34</v>
      </c>
      <c r="E304" s="43" t="s">
        <v>1199</v>
      </c>
      <c r="F304" s="44" t="s">
        <v>60</v>
      </c>
      <c r="G304" s="51">
        <v>143</v>
      </c>
      <c r="H304" s="43">
        <v>44155</v>
      </c>
      <c r="I304" s="44" t="s">
        <v>1179</v>
      </c>
      <c r="J304" s="43">
        <v>44158</v>
      </c>
      <c r="K304" s="42">
        <v>14.6</v>
      </c>
      <c r="L304" s="42">
        <v>25.9</v>
      </c>
      <c r="M304" s="43" t="s">
        <v>29</v>
      </c>
      <c r="N304" s="44" t="s">
        <v>1196</v>
      </c>
      <c r="O304" s="43">
        <v>44158</v>
      </c>
      <c r="P304" s="42">
        <v>12.1</v>
      </c>
      <c r="Q304" s="42">
        <v>25.7</v>
      </c>
      <c r="R304" s="46" t="s">
        <v>29</v>
      </c>
      <c r="S304" s="43">
        <v>44158</v>
      </c>
      <c r="T304" s="51">
        <f t="shared" si="14"/>
        <v>3</v>
      </c>
      <c r="U304" s="52" t="str">
        <f t="shared" si="15"/>
        <v>Detectável</v>
      </c>
    </row>
    <row r="305" spans="1:23" ht="25.5" customHeight="1" x14ac:dyDescent="0.2">
      <c r="A305" s="51">
        <v>304</v>
      </c>
      <c r="B305" s="50" t="s">
        <v>1215</v>
      </c>
      <c r="C305" s="51">
        <v>22</v>
      </c>
      <c r="D305" s="51" t="s">
        <v>34</v>
      </c>
      <c r="E305" s="43" t="s">
        <v>1199</v>
      </c>
      <c r="F305" s="44" t="s">
        <v>60</v>
      </c>
      <c r="G305" s="51">
        <v>143</v>
      </c>
      <c r="H305" s="43">
        <v>44155</v>
      </c>
      <c r="I305" s="44" t="s">
        <v>1179</v>
      </c>
      <c r="J305" s="43">
        <v>44158</v>
      </c>
      <c r="K305" s="42">
        <v>14.6</v>
      </c>
      <c r="L305" s="42">
        <v>25.9</v>
      </c>
      <c r="M305" s="43" t="s">
        <v>29</v>
      </c>
      <c r="N305" s="44" t="s">
        <v>1196</v>
      </c>
      <c r="O305" s="43">
        <v>44158</v>
      </c>
      <c r="P305" s="42" t="s">
        <v>36</v>
      </c>
      <c r="Q305" s="42">
        <v>26.3</v>
      </c>
      <c r="R305" s="46" t="s">
        <v>31</v>
      </c>
      <c r="S305" s="43">
        <v>44158</v>
      </c>
      <c r="T305" s="51">
        <f t="shared" si="14"/>
        <v>3</v>
      </c>
      <c r="U305" s="52" t="str">
        <f t="shared" si="15"/>
        <v>Não Detectável</v>
      </c>
    </row>
    <row r="306" spans="1:23" ht="25.5" customHeight="1" x14ac:dyDescent="0.2">
      <c r="A306" s="51">
        <v>305</v>
      </c>
      <c r="B306" s="50" t="s">
        <v>1216</v>
      </c>
      <c r="C306" s="51">
        <v>25</v>
      </c>
      <c r="D306" s="51" t="s">
        <v>25</v>
      </c>
      <c r="E306" s="43" t="s">
        <v>1199</v>
      </c>
      <c r="F306" s="44" t="s">
        <v>60</v>
      </c>
      <c r="G306" s="51">
        <v>144</v>
      </c>
      <c r="H306" s="43">
        <v>44155</v>
      </c>
      <c r="I306" s="44" t="s">
        <v>1179</v>
      </c>
      <c r="J306" s="43">
        <v>44158</v>
      </c>
      <c r="K306" s="42">
        <v>20.8</v>
      </c>
      <c r="L306" s="42">
        <v>25.6</v>
      </c>
      <c r="M306" s="43" t="s">
        <v>29</v>
      </c>
      <c r="N306" s="44" t="s">
        <v>1196</v>
      </c>
      <c r="O306" s="43">
        <v>44158</v>
      </c>
      <c r="P306" s="42" t="s">
        <v>36</v>
      </c>
      <c r="Q306" s="42">
        <v>28.2</v>
      </c>
      <c r="R306" s="46" t="s">
        <v>31</v>
      </c>
      <c r="S306" s="43">
        <v>44158</v>
      </c>
      <c r="T306" s="51">
        <f t="shared" si="14"/>
        <v>3</v>
      </c>
      <c r="U306" s="52" t="str">
        <f t="shared" si="15"/>
        <v>Não Detectável</v>
      </c>
    </row>
    <row r="307" spans="1:23" ht="25.5" customHeight="1" x14ac:dyDescent="0.2">
      <c r="A307" s="51">
        <v>306</v>
      </c>
      <c r="B307" s="50" t="s">
        <v>1217</v>
      </c>
      <c r="C307" s="51">
        <v>24</v>
      </c>
      <c r="D307" s="51" t="s">
        <v>25</v>
      </c>
      <c r="E307" s="43" t="s">
        <v>1199</v>
      </c>
      <c r="F307" s="44" t="s">
        <v>60</v>
      </c>
      <c r="G307" s="51">
        <v>144</v>
      </c>
      <c r="H307" s="43">
        <v>44155</v>
      </c>
      <c r="I307" s="44" t="s">
        <v>1179</v>
      </c>
      <c r="J307" s="43">
        <v>44158</v>
      </c>
      <c r="K307" s="42">
        <v>20.8</v>
      </c>
      <c r="L307" s="42">
        <v>25.6</v>
      </c>
      <c r="M307" s="43" t="s">
        <v>29</v>
      </c>
      <c r="N307" s="44" t="s">
        <v>1196</v>
      </c>
      <c r="O307" s="43">
        <v>44158</v>
      </c>
      <c r="P307" s="42" t="s">
        <v>36</v>
      </c>
      <c r="Q307" s="42">
        <v>26.1</v>
      </c>
      <c r="R307" s="46" t="s">
        <v>31</v>
      </c>
      <c r="S307" s="43">
        <v>44158</v>
      </c>
      <c r="T307" s="51">
        <f t="shared" si="14"/>
        <v>3</v>
      </c>
      <c r="U307" s="52" t="str">
        <f t="shared" si="15"/>
        <v>Não Detectável</v>
      </c>
    </row>
    <row r="308" spans="1:23" ht="25.5" customHeight="1" x14ac:dyDescent="0.2">
      <c r="A308" s="51">
        <v>307</v>
      </c>
      <c r="B308" s="50" t="s">
        <v>1218</v>
      </c>
      <c r="C308" s="51">
        <v>30</v>
      </c>
      <c r="D308" s="51" t="s">
        <v>34</v>
      </c>
      <c r="E308" s="43" t="s">
        <v>1199</v>
      </c>
      <c r="F308" s="44" t="s">
        <v>60</v>
      </c>
      <c r="G308" s="51">
        <v>144</v>
      </c>
      <c r="H308" s="43">
        <v>44155</v>
      </c>
      <c r="I308" s="44" t="s">
        <v>1179</v>
      </c>
      <c r="J308" s="43">
        <v>44158</v>
      </c>
      <c r="K308" s="42">
        <v>20.8</v>
      </c>
      <c r="L308" s="42">
        <v>25.6</v>
      </c>
      <c r="M308" s="43" t="s">
        <v>29</v>
      </c>
      <c r="N308" s="44" t="s">
        <v>1196</v>
      </c>
      <c r="O308" s="43">
        <v>44158</v>
      </c>
      <c r="P308" s="42">
        <v>19.3</v>
      </c>
      <c r="Q308" s="42">
        <v>25</v>
      </c>
      <c r="R308" s="46" t="s">
        <v>29</v>
      </c>
      <c r="S308" s="43">
        <v>44158</v>
      </c>
      <c r="T308" s="51">
        <f t="shared" si="14"/>
        <v>3</v>
      </c>
      <c r="U308" s="52" t="str">
        <f t="shared" si="15"/>
        <v>Detectável</v>
      </c>
    </row>
    <row r="309" spans="1:23" ht="25.5" customHeight="1" x14ac:dyDescent="0.2">
      <c r="A309" s="51">
        <v>308</v>
      </c>
      <c r="B309" s="50" t="s">
        <v>1219</v>
      </c>
      <c r="C309" s="51">
        <v>48</v>
      </c>
      <c r="D309" s="51" t="s">
        <v>25</v>
      </c>
      <c r="E309" s="43" t="s">
        <v>1199</v>
      </c>
      <c r="F309" s="44" t="s">
        <v>60</v>
      </c>
      <c r="G309" s="51">
        <v>145</v>
      </c>
      <c r="H309" s="43">
        <v>44155</v>
      </c>
      <c r="I309" s="44" t="s">
        <v>1196</v>
      </c>
      <c r="J309" s="43">
        <v>44158</v>
      </c>
      <c r="K309" s="42" t="s">
        <v>383</v>
      </c>
      <c r="L309" s="42">
        <v>27.5</v>
      </c>
      <c r="M309" s="45" t="s">
        <v>31</v>
      </c>
      <c r="N309" s="44" t="s">
        <v>60</v>
      </c>
      <c r="O309" s="43" t="s">
        <v>60</v>
      </c>
      <c r="P309" s="42" t="s">
        <v>60</v>
      </c>
      <c r="Q309" s="42" t="s">
        <v>60</v>
      </c>
      <c r="R309" s="46" t="s">
        <v>60</v>
      </c>
      <c r="S309" s="43">
        <v>44158</v>
      </c>
      <c r="T309" s="51">
        <f t="shared" si="14"/>
        <v>3</v>
      </c>
      <c r="U309" s="52" t="str">
        <f t="shared" si="15"/>
        <v>Não Detectável</v>
      </c>
      <c r="V309" s="40"/>
      <c r="W309" s="40"/>
    </row>
    <row r="310" spans="1:23" ht="25.5" customHeight="1" x14ac:dyDescent="0.2">
      <c r="A310" s="51">
        <v>309</v>
      </c>
      <c r="B310" s="50" t="s">
        <v>1220</v>
      </c>
      <c r="C310" s="51">
        <v>39</v>
      </c>
      <c r="D310" s="51" t="s">
        <v>25</v>
      </c>
      <c r="E310" s="43" t="s">
        <v>1199</v>
      </c>
      <c r="F310" s="44" t="s">
        <v>60</v>
      </c>
      <c r="G310" s="51">
        <v>145</v>
      </c>
      <c r="H310" s="43">
        <v>44155</v>
      </c>
      <c r="I310" s="44" t="s">
        <v>1196</v>
      </c>
      <c r="J310" s="43">
        <v>44158</v>
      </c>
      <c r="K310" s="42" t="s">
        <v>383</v>
      </c>
      <c r="L310" s="42">
        <v>27.5</v>
      </c>
      <c r="M310" s="45" t="s">
        <v>31</v>
      </c>
      <c r="N310" s="44" t="s">
        <v>60</v>
      </c>
      <c r="O310" s="43" t="s">
        <v>60</v>
      </c>
      <c r="P310" s="42" t="s">
        <v>60</v>
      </c>
      <c r="Q310" s="42" t="s">
        <v>60</v>
      </c>
      <c r="R310" s="46" t="s">
        <v>60</v>
      </c>
      <c r="S310" s="43">
        <v>44158</v>
      </c>
      <c r="T310" s="51">
        <f t="shared" si="14"/>
        <v>3</v>
      </c>
      <c r="U310" s="52" t="str">
        <f t="shared" si="15"/>
        <v>Não Detectável</v>
      </c>
      <c r="V310" s="40"/>
      <c r="W310" s="40"/>
    </row>
    <row r="311" spans="1:23" ht="25.5" customHeight="1" x14ac:dyDescent="0.2">
      <c r="A311" s="51">
        <v>310</v>
      </c>
      <c r="B311" s="50" t="s">
        <v>1221</v>
      </c>
      <c r="C311" s="51">
        <v>30</v>
      </c>
      <c r="D311" s="51" t="s">
        <v>25</v>
      </c>
      <c r="E311" s="43" t="s">
        <v>1222</v>
      </c>
      <c r="F311" s="44" t="s">
        <v>60</v>
      </c>
      <c r="G311" s="51">
        <v>145</v>
      </c>
      <c r="H311" s="43">
        <v>44158</v>
      </c>
      <c r="I311" s="44" t="s">
        <v>1196</v>
      </c>
      <c r="J311" s="43">
        <v>44158</v>
      </c>
      <c r="K311" s="42" t="s">
        <v>383</v>
      </c>
      <c r="L311" s="42">
        <v>27.5</v>
      </c>
      <c r="M311" s="45" t="s">
        <v>31</v>
      </c>
      <c r="N311" s="44" t="s">
        <v>60</v>
      </c>
      <c r="O311" s="43" t="s">
        <v>60</v>
      </c>
      <c r="P311" s="42" t="s">
        <v>60</v>
      </c>
      <c r="Q311" s="42" t="s">
        <v>60</v>
      </c>
      <c r="R311" s="46" t="s">
        <v>60</v>
      </c>
      <c r="S311" s="43">
        <v>44158</v>
      </c>
      <c r="T311" s="51">
        <f t="shared" si="14"/>
        <v>3</v>
      </c>
      <c r="U311" s="52" t="str">
        <f t="shared" si="15"/>
        <v>Não Detectável</v>
      </c>
      <c r="V311" s="40"/>
      <c r="W311" s="40"/>
    </row>
    <row r="312" spans="1:23" ht="25.5" customHeight="1" x14ac:dyDescent="0.2">
      <c r="A312" s="51">
        <v>311</v>
      </c>
      <c r="B312" s="50" t="s">
        <v>1223</v>
      </c>
      <c r="C312" s="51">
        <v>30</v>
      </c>
      <c r="D312" s="51" t="s">
        <v>34</v>
      </c>
      <c r="E312" s="43" t="s">
        <v>1222</v>
      </c>
      <c r="F312" s="44" t="s">
        <v>60</v>
      </c>
      <c r="G312" s="51">
        <v>146</v>
      </c>
      <c r="H312" s="43">
        <v>44158</v>
      </c>
      <c r="I312" s="44" t="s">
        <v>1196</v>
      </c>
      <c r="J312" s="43">
        <v>44158</v>
      </c>
      <c r="K312" s="42">
        <v>19.2</v>
      </c>
      <c r="L312" s="42">
        <v>26.6</v>
      </c>
      <c r="M312" s="43" t="s">
        <v>29</v>
      </c>
      <c r="N312" s="44" t="s">
        <v>1210</v>
      </c>
      <c r="O312" s="43">
        <v>44159</v>
      </c>
      <c r="P312" s="42" t="s">
        <v>36</v>
      </c>
      <c r="Q312" s="42">
        <v>29</v>
      </c>
      <c r="R312" s="46" t="s">
        <v>31</v>
      </c>
      <c r="S312" s="43">
        <v>44160</v>
      </c>
      <c r="T312" s="51">
        <f t="shared" si="14"/>
        <v>3</v>
      </c>
      <c r="U312" s="52" t="str">
        <f t="shared" si="15"/>
        <v>Não Detectável</v>
      </c>
      <c r="V312" s="40"/>
      <c r="W312" s="40"/>
    </row>
    <row r="313" spans="1:23" ht="25.5" customHeight="1" x14ac:dyDescent="0.2">
      <c r="A313" s="51">
        <v>312</v>
      </c>
      <c r="B313" s="50" t="s">
        <v>1224</v>
      </c>
      <c r="C313" s="51">
        <v>60</v>
      </c>
      <c r="D313" s="51" t="s">
        <v>25</v>
      </c>
      <c r="E313" s="43" t="s">
        <v>1222</v>
      </c>
      <c r="F313" s="44" t="s">
        <v>60</v>
      </c>
      <c r="G313" s="51">
        <v>146</v>
      </c>
      <c r="H313" s="43">
        <v>44158</v>
      </c>
      <c r="I313" s="44" t="s">
        <v>1196</v>
      </c>
      <c r="J313" s="43">
        <v>44158</v>
      </c>
      <c r="K313" s="42">
        <v>19.2</v>
      </c>
      <c r="L313" s="42">
        <v>26.6</v>
      </c>
      <c r="M313" s="43" t="s">
        <v>29</v>
      </c>
      <c r="N313" s="44" t="s">
        <v>1210</v>
      </c>
      <c r="O313" s="43">
        <v>44159</v>
      </c>
      <c r="P313" s="42" t="s">
        <v>36</v>
      </c>
      <c r="Q313" s="42">
        <v>26.8</v>
      </c>
      <c r="R313" s="46" t="s">
        <v>31</v>
      </c>
      <c r="S313" s="43">
        <v>44160</v>
      </c>
      <c r="T313" s="51">
        <f t="shared" si="14"/>
        <v>3</v>
      </c>
      <c r="U313" s="52" t="str">
        <f t="shared" si="15"/>
        <v>Não Detectável</v>
      </c>
      <c r="V313" s="40"/>
      <c r="W313" s="40"/>
    </row>
    <row r="314" spans="1:23" ht="25.5" customHeight="1" x14ac:dyDescent="0.2">
      <c r="A314" s="51">
        <v>313</v>
      </c>
      <c r="B314" s="50" t="s">
        <v>1225</v>
      </c>
      <c r="C314" s="51">
        <v>23</v>
      </c>
      <c r="D314" s="51" t="s">
        <v>25</v>
      </c>
      <c r="E314" s="43" t="s">
        <v>1222</v>
      </c>
      <c r="F314" s="44" t="s">
        <v>60</v>
      </c>
      <c r="G314" s="51">
        <v>146</v>
      </c>
      <c r="H314" s="43">
        <v>44158</v>
      </c>
      <c r="I314" s="44" t="s">
        <v>1196</v>
      </c>
      <c r="J314" s="43">
        <v>44158</v>
      </c>
      <c r="K314" s="42">
        <v>19.2</v>
      </c>
      <c r="L314" s="42">
        <v>26.6</v>
      </c>
      <c r="M314" s="43" t="s">
        <v>29</v>
      </c>
      <c r="N314" s="44" t="s">
        <v>1210</v>
      </c>
      <c r="O314" s="43">
        <v>44159</v>
      </c>
      <c r="P314" s="42">
        <v>18.3</v>
      </c>
      <c r="Q314" s="42">
        <v>26.6</v>
      </c>
      <c r="R314" s="46" t="s">
        <v>29</v>
      </c>
      <c r="S314" s="43">
        <v>44160</v>
      </c>
      <c r="T314" s="51">
        <f t="shared" si="14"/>
        <v>3</v>
      </c>
      <c r="U314" s="52" t="str">
        <f t="shared" si="15"/>
        <v>Detectável</v>
      </c>
      <c r="V314" s="40"/>
      <c r="W314" s="40"/>
    </row>
    <row r="315" spans="1:23" ht="25.5" customHeight="1" x14ac:dyDescent="0.2">
      <c r="A315" s="51">
        <v>314</v>
      </c>
      <c r="B315" s="50" t="s">
        <v>1226</v>
      </c>
      <c r="C315" s="51">
        <v>61</v>
      </c>
      <c r="D315" s="51" t="s">
        <v>25</v>
      </c>
      <c r="E315" s="43" t="s">
        <v>1222</v>
      </c>
      <c r="F315" s="44" t="s">
        <v>60</v>
      </c>
      <c r="G315" s="51">
        <v>147</v>
      </c>
      <c r="H315" s="43">
        <v>44158</v>
      </c>
      <c r="I315" s="44" t="s">
        <v>1196</v>
      </c>
      <c r="J315" s="43">
        <v>44158</v>
      </c>
      <c r="K315" s="42">
        <v>15.7</v>
      </c>
      <c r="L315" s="42">
        <v>25.7</v>
      </c>
      <c r="M315" s="43" t="s">
        <v>29</v>
      </c>
      <c r="N315" s="44" t="s">
        <v>1210</v>
      </c>
      <c r="O315" s="43">
        <v>44159</v>
      </c>
      <c r="P315" s="42">
        <v>14.5</v>
      </c>
      <c r="Q315" s="42">
        <v>24.9</v>
      </c>
      <c r="R315" s="46" t="s">
        <v>29</v>
      </c>
      <c r="S315" s="43">
        <v>44160</v>
      </c>
      <c r="T315" s="51">
        <f t="shared" si="14"/>
        <v>3</v>
      </c>
      <c r="U315" s="52" t="str">
        <f t="shared" si="15"/>
        <v>Detectável</v>
      </c>
      <c r="V315" s="40"/>
      <c r="W315" s="40"/>
    </row>
    <row r="316" spans="1:23" ht="25.5" customHeight="1" x14ac:dyDescent="0.2">
      <c r="A316" s="51">
        <v>315</v>
      </c>
      <c r="B316" s="50" t="s">
        <v>1227</v>
      </c>
      <c r="C316" s="51">
        <v>34</v>
      </c>
      <c r="D316" s="51" t="s">
        <v>34</v>
      </c>
      <c r="E316" s="43" t="s">
        <v>1222</v>
      </c>
      <c r="F316" s="44" t="s">
        <v>60</v>
      </c>
      <c r="G316" s="51">
        <v>147</v>
      </c>
      <c r="H316" s="43">
        <v>44158</v>
      </c>
      <c r="I316" s="44" t="s">
        <v>1196</v>
      </c>
      <c r="J316" s="43">
        <v>44158</v>
      </c>
      <c r="K316" s="42">
        <v>15.7</v>
      </c>
      <c r="L316" s="42">
        <v>25.7</v>
      </c>
      <c r="M316" s="43" t="s">
        <v>29</v>
      </c>
      <c r="N316" s="44" t="s">
        <v>1210</v>
      </c>
      <c r="O316" s="43">
        <v>44159</v>
      </c>
      <c r="P316" s="42" t="s">
        <v>36</v>
      </c>
      <c r="Q316" s="42">
        <v>27.1</v>
      </c>
      <c r="R316" s="46" t="s">
        <v>31</v>
      </c>
      <c r="S316" s="43">
        <v>44160</v>
      </c>
      <c r="T316" s="51">
        <f t="shared" si="14"/>
        <v>3</v>
      </c>
      <c r="U316" s="52" t="str">
        <f t="shared" si="15"/>
        <v>Não Detectável</v>
      </c>
      <c r="V316" s="40"/>
      <c r="W316" s="40"/>
    </row>
    <row r="317" spans="1:23" ht="25.5" customHeight="1" x14ac:dyDescent="0.2">
      <c r="A317" s="51">
        <v>316</v>
      </c>
      <c r="B317" s="50" t="s">
        <v>1228</v>
      </c>
      <c r="C317" s="51">
        <v>33</v>
      </c>
      <c r="D317" s="51" t="s">
        <v>25</v>
      </c>
      <c r="E317" s="43" t="s">
        <v>1222</v>
      </c>
      <c r="F317" s="44" t="s">
        <v>60</v>
      </c>
      <c r="G317" s="51">
        <v>147</v>
      </c>
      <c r="H317" s="43">
        <v>44158</v>
      </c>
      <c r="I317" s="44" t="s">
        <v>1196</v>
      </c>
      <c r="J317" s="43">
        <v>44158</v>
      </c>
      <c r="K317" s="42">
        <v>15.7</v>
      </c>
      <c r="L317" s="42">
        <v>25.7</v>
      </c>
      <c r="M317" s="43" t="s">
        <v>29</v>
      </c>
      <c r="N317" s="44" t="s">
        <v>1210</v>
      </c>
      <c r="O317" s="43">
        <v>44159</v>
      </c>
      <c r="P317" s="42" t="s">
        <v>36</v>
      </c>
      <c r="Q317" s="42">
        <v>26.4</v>
      </c>
      <c r="R317" s="46" t="s">
        <v>31</v>
      </c>
      <c r="S317" s="43">
        <v>44160</v>
      </c>
      <c r="T317" s="51">
        <f t="shared" si="14"/>
        <v>3</v>
      </c>
      <c r="U317" s="52" t="str">
        <f t="shared" si="15"/>
        <v>Não Detectável</v>
      </c>
      <c r="V317" s="40"/>
      <c r="W317" s="40"/>
    </row>
    <row r="318" spans="1:23" ht="25.5" customHeight="1" x14ac:dyDescent="0.2">
      <c r="A318" s="51">
        <v>317</v>
      </c>
      <c r="B318" s="50" t="s">
        <v>1229</v>
      </c>
      <c r="C318" s="51">
        <v>25</v>
      </c>
      <c r="D318" s="51" t="s">
        <v>25</v>
      </c>
      <c r="E318" s="43" t="s">
        <v>1222</v>
      </c>
      <c r="F318" s="44" t="s">
        <v>60</v>
      </c>
      <c r="G318" s="51">
        <v>148</v>
      </c>
      <c r="H318" s="43">
        <v>44158</v>
      </c>
      <c r="I318" s="44" t="s">
        <v>1196</v>
      </c>
      <c r="J318" s="43">
        <v>44158</v>
      </c>
      <c r="K318" s="42">
        <v>26.9</v>
      </c>
      <c r="L318" s="42">
        <v>27.5</v>
      </c>
      <c r="M318" s="43" t="s">
        <v>29</v>
      </c>
      <c r="N318" s="44" t="s">
        <v>1210</v>
      </c>
      <c r="O318" s="43">
        <v>44159</v>
      </c>
      <c r="P318" s="42">
        <v>36</v>
      </c>
      <c r="Q318" s="42">
        <v>26.6</v>
      </c>
      <c r="R318" s="46" t="s">
        <v>29</v>
      </c>
      <c r="S318" s="43">
        <v>44160</v>
      </c>
      <c r="T318" s="51">
        <f t="shared" si="14"/>
        <v>3</v>
      </c>
      <c r="U318" s="52" t="str">
        <f t="shared" si="15"/>
        <v>Detectável</v>
      </c>
      <c r="V318" s="40"/>
      <c r="W318" s="40"/>
    </row>
    <row r="319" spans="1:23" ht="25.5" customHeight="1" x14ac:dyDescent="0.2">
      <c r="A319" s="51">
        <v>318</v>
      </c>
      <c r="B319" s="50" t="s">
        <v>1230</v>
      </c>
      <c r="C319" s="51">
        <v>39</v>
      </c>
      <c r="D319" s="51" t="s">
        <v>25</v>
      </c>
      <c r="E319" s="43" t="s">
        <v>1222</v>
      </c>
      <c r="F319" s="44" t="s">
        <v>60</v>
      </c>
      <c r="G319" s="51">
        <v>148</v>
      </c>
      <c r="H319" s="43">
        <v>44158</v>
      </c>
      <c r="I319" s="44" t="s">
        <v>1196</v>
      </c>
      <c r="J319" s="43">
        <v>44158</v>
      </c>
      <c r="K319" s="42">
        <v>26.9</v>
      </c>
      <c r="L319" s="42">
        <v>27.5</v>
      </c>
      <c r="M319" s="43" t="s">
        <v>29</v>
      </c>
      <c r="N319" s="44" t="s">
        <v>1210</v>
      </c>
      <c r="O319" s="43">
        <v>44159</v>
      </c>
      <c r="P319" s="42">
        <v>25.8</v>
      </c>
      <c r="Q319" s="42">
        <v>28.7</v>
      </c>
      <c r="R319" s="46" t="s">
        <v>29</v>
      </c>
      <c r="S319" s="43">
        <v>44160</v>
      </c>
      <c r="T319" s="51">
        <f t="shared" si="14"/>
        <v>3</v>
      </c>
      <c r="U319" s="52" t="str">
        <f t="shared" si="15"/>
        <v>Detectável</v>
      </c>
      <c r="V319" s="40"/>
      <c r="W319" s="40"/>
    </row>
    <row r="320" spans="1:23" ht="25.5" customHeight="1" x14ac:dyDescent="0.2">
      <c r="A320" s="51">
        <v>319</v>
      </c>
      <c r="B320" s="50" t="s">
        <v>1231</v>
      </c>
      <c r="C320" s="51">
        <v>49</v>
      </c>
      <c r="D320" s="51" t="s">
        <v>34</v>
      </c>
      <c r="E320" s="43" t="s">
        <v>1222</v>
      </c>
      <c r="F320" s="44" t="s">
        <v>60</v>
      </c>
      <c r="G320" s="51">
        <v>148</v>
      </c>
      <c r="H320" s="43">
        <v>44158</v>
      </c>
      <c r="I320" s="44" t="s">
        <v>1196</v>
      </c>
      <c r="J320" s="43">
        <v>44158</v>
      </c>
      <c r="K320" s="42">
        <v>26.9</v>
      </c>
      <c r="L320" s="42">
        <v>27.5</v>
      </c>
      <c r="M320" s="43" t="s">
        <v>29</v>
      </c>
      <c r="N320" s="44" t="s">
        <v>1210</v>
      </c>
      <c r="O320" s="43">
        <v>44159</v>
      </c>
      <c r="P320" s="42" t="s">
        <v>36</v>
      </c>
      <c r="Q320" s="42">
        <v>27.8</v>
      </c>
      <c r="R320" s="46" t="s">
        <v>31</v>
      </c>
      <c r="S320" s="43">
        <v>44160</v>
      </c>
      <c r="T320" s="51">
        <f t="shared" si="14"/>
        <v>3</v>
      </c>
      <c r="U320" s="52" t="str">
        <f t="shared" si="15"/>
        <v>Não Detectável</v>
      </c>
      <c r="V320" s="40"/>
      <c r="W320" s="40"/>
    </row>
    <row r="321" spans="1:23" ht="25.5" customHeight="1" x14ac:dyDescent="0.2">
      <c r="A321" s="51">
        <v>320</v>
      </c>
      <c r="B321" s="50" t="s">
        <v>1232</v>
      </c>
      <c r="C321" s="51">
        <v>42</v>
      </c>
      <c r="D321" s="51" t="s">
        <v>25</v>
      </c>
      <c r="E321" s="43" t="s">
        <v>1222</v>
      </c>
      <c r="F321" s="44" t="s">
        <v>60</v>
      </c>
      <c r="G321" s="51">
        <v>149</v>
      </c>
      <c r="H321" s="43">
        <v>44158</v>
      </c>
      <c r="I321" s="44" t="s">
        <v>1196</v>
      </c>
      <c r="J321" s="43">
        <v>44158</v>
      </c>
      <c r="K321" s="42">
        <v>17.600000000000001</v>
      </c>
      <c r="L321" s="42">
        <v>26.7</v>
      </c>
      <c r="M321" s="43" t="s">
        <v>29</v>
      </c>
      <c r="N321" s="44" t="s">
        <v>1210</v>
      </c>
      <c r="O321" s="43">
        <v>44159</v>
      </c>
      <c r="P321" s="42" t="s">
        <v>36</v>
      </c>
      <c r="Q321" s="42">
        <v>28.5</v>
      </c>
      <c r="R321" s="46" t="s">
        <v>31</v>
      </c>
      <c r="S321" s="43">
        <v>44160</v>
      </c>
      <c r="T321" s="51">
        <f t="shared" si="14"/>
        <v>3</v>
      </c>
      <c r="U321" s="52" t="str">
        <f t="shared" si="15"/>
        <v>Não Detectável</v>
      </c>
      <c r="V321" s="40"/>
      <c r="W321" s="40"/>
    </row>
    <row r="322" spans="1:23" ht="25.5" customHeight="1" x14ac:dyDescent="0.2">
      <c r="A322" s="51">
        <v>321</v>
      </c>
      <c r="B322" s="50" t="s">
        <v>1233</v>
      </c>
      <c r="C322" s="51">
        <v>29</v>
      </c>
      <c r="D322" s="51" t="s">
        <v>25</v>
      </c>
      <c r="E322" s="43" t="s">
        <v>1222</v>
      </c>
      <c r="F322" s="44" t="s">
        <v>60</v>
      </c>
      <c r="G322" s="51">
        <v>149</v>
      </c>
      <c r="H322" s="43">
        <v>44158</v>
      </c>
      <c r="I322" s="44" t="s">
        <v>1196</v>
      </c>
      <c r="J322" s="43">
        <v>44158</v>
      </c>
      <c r="K322" s="42">
        <v>17.600000000000001</v>
      </c>
      <c r="L322" s="42">
        <v>26.7</v>
      </c>
      <c r="M322" s="43" t="s">
        <v>29</v>
      </c>
      <c r="N322" s="44" t="s">
        <v>1210</v>
      </c>
      <c r="O322" s="43">
        <v>44159</v>
      </c>
      <c r="P322" s="42">
        <v>25.9</v>
      </c>
      <c r="Q322" s="42">
        <v>26.7</v>
      </c>
      <c r="R322" s="46" t="s">
        <v>29</v>
      </c>
      <c r="S322" s="43">
        <v>44160</v>
      </c>
      <c r="T322" s="51">
        <f t="shared" si="14"/>
        <v>3</v>
      </c>
      <c r="U322" s="52" t="str">
        <f t="shared" si="15"/>
        <v>Detectável</v>
      </c>
      <c r="V322" s="40"/>
      <c r="W322" s="40"/>
    </row>
    <row r="323" spans="1:23" ht="25.5" customHeight="1" x14ac:dyDescent="0.2">
      <c r="A323" s="51">
        <v>322</v>
      </c>
      <c r="B323" s="50" t="s">
        <v>1234</v>
      </c>
      <c r="C323" s="51">
        <v>35</v>
      </c>
      <c r="D323" s="51" t="s">
        <v>25</v>
      </c>
      <c r="E323" s="43" t="s">
        <v>1222</v>
      </c>
      <c r="F323" s="44" t="s">
        <v>60</v>
      </c>
      <c r="G323" s="51">
        <v>149</v>
      </c>
      <c r="H323" s="43">
        <v>44158</v>
      </c>
      <c r="I323" s="44" t="s">
        <v>1196</v>
      </c>
      <c r="J323" s="43">
        <v>44158</v>
      </c>
      <c r="K323" s="42">
        <v>17.600000000000001</v>
      </c>
      <c r="L323" s="42">
        <v>26.7</v>
      </c>
      <c r="M323" s="43" t="s">
        <v>29</v>
      </c>
      <c r="N323" s="44" t="s">
        <v>1210</v>
      </c>
      <c r="O323" s="43">
        <v>44159</v>
      </c>
      <c r="P323" s="42">
        <v>16.7</v>
      </c>
      <c r="Q323" s="42">
        <v>26.3</v>
      </c>
      <c r="R323" s="46" t="s">
        <v>29</v>
      </c>
      <c r="S323" s="43">
        <v>44160</v>
      </c>
      <c r="T323" s="51">
        <f t="shared" si="14"/>
        <v>3</v>
      </c>
      <c r="U323" s="52" t="str">
        <f t="shared" si="15"/>
        <v>Detectável</v>
      </c>
      <c r="V323" s="40"/>
      <c r="W323" s="40"/>
    </row>
    <row r="324" spans="1:23" ht="25.5" customHeight="1" x14ac:dyDescent="0.2">
      <c r="A324" s="51">
        <v>323</v>
      </c>
      <c r="B324" s="50" t="s">
        <v>1235</v>
      </c>
      <c r="C324" s="51">
        <v>31</v>
      </c>
      <c r="D324" s="51" t="s">
        <v>25</v>
      </c>
      <c r="E324" s="43" t="s">
        <v>1222</v>
      </c>
      <c r="F324" s="44" t="s">
        <v>60</v>
      </c>
      <c r="G324" s="51">
        <v>150</v>
      </c>
      <c r="H324" s="43">
        <v>44158</v>
      </c>
      <c r="I324" s="44" t="s">
        <v>1196</v>
      </c>
      <c r="J324" s="43">
        <v>44158</v>
      </c>
      <c r="K324" s="42">
        <v>18.3</v>
      </c>
      <c r="L324" s="42">
        <v>26.8</v>
      </c>
      <c r="M324" s="43" t="s">
        <v>29</v>
      </c>
      <c r="N324" s="44" t="s">
        <v>1210</v>
      </c>
      <c r="O324" s="43">
        <v>44159</v>
      </c>
      <c r="P324" s="42">
        <v>17.7</v>
      </c>
      <c r="Q324" s="42">
        <v>26.6</v>
      </c>
      <c r="R324" s="46" t="s">
        <v>29</v>
      </c>
      <c r="S324" s="43">
        <v>44160</v>
      </c>
      <c r="T324" s="51">
        <f t="shared" si="14"/>
        <v>3</v>
      </c>
      <c r="U324" s="52" t="str">
        <f t="shared" si="15"/>
        <v>Detectável</v>
      </c>
      <c r="V324" s="40"/>
      <c r="W324" s="40"/>
    </row>
    <row r="325" spans="1:23" ht="25.5" customHeight="1" x14ac:dyDescent="0.2">
      <c r="A325" s="51">
        <v>324</v>
      </c>
      <c r="B325" s="50" t="s">
        <v>1236</v>
      </c>
      <c r="C325" s="51">
        <v>20</v>
      </c>
      <c r="D325" s="51" t="s">
        <v>25</v>
      </c>
      <c r="E325" s="43" t="s">
        <v>1222</v>
      </c>
      <c r="F325" s="44" t="s">
        <v>60</v>
      </c>
      <c r="G325" s="51">
        <v>150</v>
      </c>
      <c r="H325" s="43">
        <v>44158</v>
      </c>
      <c r="I325" s="44" t="s">
        <v>1196</v>
      </c>
      <c r="J325" s="43">
        <v>44158</v>
      </c>
      <c r="K325" s="42">
        <v>18.3</v>
      </c>
      <c r="L325" s="42">
        <v>26.8</v>
      </c>
      <c r="M325" s="43" t="s">
        <v>29</v>
      </c>
      <c r="N325" s="44" t="s">
        <v>1210</v>
      </c>
      <c r="O325" s="43">
        <v>44159</v>
      </c>
      <c r="P325" s="42" t="s">
        <v>36</v>
      </c>
      <c r="Q325" s="42">
        <v>27.9</v>
      </c>
      <c r="R325" s="46" t="s">
        <v>31</v>
      </c>
      <c r="S325" s="43">
        <v>44160</v>
      </c>
      <c r="T325" s="51">
        <f t="shared" si="14"/>
        <v>3</v>
      </c>
      <c r="U325" s="52" t="str">
        <f t="shared" si="15"/>
        <v>Não Detectável</v>
      </c>
      <c r="V325" s="40"/>
      <c r="W325" s="40"/>
    </row>
    <row r="326" spans="1:23" ht="25.5" customHeight="1" x14ac:dyDescent="0.2">
      <c r="A326" s="51">
        <v>325</v>
      </c>
      <c r="B326" s="50" t="s">
        <v>1237</v>
      </c>
      <c r="C326" s="51">
        <v>29</v>
      </c>
      <c r="D326" s="51" t="s">
        <v>34</v>
      </c>
      <c r="E326" s="43" t="s">
        <v>1222</v>
      </c>
      <c r="F326" s="44" t="s">
        <v>60</v>
      </c>
      <c r="G326" s="51">
        <v>150</v>
      </c>
      <c r="H326" s="43">
        <v>44158</v>
      </c>
      <c r="I326" s="44" t="s">
        <v>1196</v>
      </c>
      <c r="J326" s="43">
        <v>44158</v>
      </c>
      <c r="K326" s="42">
        <v>18.3</v>
      </c>
      <c r="L326" s="42">
        <v>26.8</v>
      </c>
      <c r="M326" s="43" t="s">
        <v>29</v>
      </c>
      <c r="N326" s="44" t="s">
        <v>1210</v>
      </c>
      <c r="O326" s="43">
        <v>44159</v>
      </c>
      <c r="P326" s="42" t="s">
        <v>36</v>
      </c>
      <c r="Q326" s="42">
        <v>27.4</v>
      </c>
      <c r="R326" s="46" t="s">
        <v>31</v>
      </c>
      <c r="S326" s="43">
        <v>44160</v>
      </c>
      <c r="T326" s="51">
        <f t="shared" si="14"/>
        <v>3</v>
      </c>
      <c r="U326" s="52" t="str">
        <f t="shared" si="15"/>
        <v>Não Detectável</v>
      </c>
      <c r="V326" s="40"/>
      <c r="W326" s="40"/>
    </row>
    <row r="327" spans="1:23" ht="25.5" customHeight="1" x14ac:dyDescent="0.2">
      <c r="A327" s="51">
        <v>326</v>
      </c>
      <c r="B327" s="50" t="s">
        <v>1238</v>
      </c>
      <c r="C327" s="51">
        <v>70</v>
      </c>
      <c r="D327" s="51" t="s">
        <v>25</v>
      </c>
      <c r="E327" s="43">
        <v>44158</v>
      </c>
      <c r="F327" s="44" t="s">
        <v>60</v>
      </c>
      <c r="G327" s="51">
        <v>151</v>
      </c>
      <c r="H327" s="43">
        <v>44159</v>
      </c>
      <c r="I327" s="44" t="s">
        <v>1210</v>
      </c>
      <c r="J327" s="43">
        <v>44159</v>
      </c>
      <c r="K327" s="42">
        <v>23.7</v>
      </c>
      <c r="L327" s="42">
        <v>26.4</v>
      </c>
      <c r="M327" s="44" t="s">
        <v>29</v>
      </c>
      <c r="N327" s="44" t="s">
        <v>1239</v>
      </c>
      <c r="O327" s="43">
        <v>44160</v>
      </c>
      <c r="P327" s="42">
        <v>22.4</v>
      </c>
      <c r="Q327" s="42">
        <v>28.1</v>
      </c>
      <c r="R327" s="46" t="s">
        <v>29</v>
      </c>
      <c r="S327" s="43">
        <v>44161</v>
      </c>
      <c r="T327" s="51">
        <f t="shared" si="14"/>
        <v>3</v>
      </c>
      <c r="U327" s="52" t="str">
        <f t="shared" si="15"/>
        <v>Detectável</v>
      </c>
      <c r="V327" s="40"/>
      <c r="W327" s="40"/>
    </row>
    <row r="328" spans="1:23" ht="25.5" customHeight="1" x14ac:dyDescent="0.2">
      <c r="A328" s="51">
        <v>327</v>
      </c>
      <c r="B328" s="50" t="s">
        <v>1240</v>
      </c>
      <c r="C328" s="51">
        <v>32</v>
      </c>
      <c r="D328" s="51" t="s">
        <v>34</v>
      </c>
      <c r="E328" s="43">
        <v>44158</v>
      </c>
      <c r="F328" s="44" t="s">
        <v>60</v>
      </c>
      <c r="G328" s="51">
        <v>151</v>
      </c>
      <c r="H328" s="43">
        <v>44159</v>
      </c>
      <c r="I328" s="44" t="s">
        <v>1210</v>
      </c>
      <c r="J328" s="43">
        <v>44159</v>
      </c>
      <c r="K328" s="42">
        <v>23.7</v>
      </c>
      <c r="L328" s="42">
        <v>26.4</v>
      </c>
      <c r="M328" s="44" t="s">
        <v>29</v>
      </c>
      <c r="N328" s="44" t="s">
        <v>1239</v>
      </c>
      <c r="O328" s="43">
        <v>44160</v>
      </c>
      <c r="P328" s="42" t="s">
        <v>36</v>
      </c>
      <c r="Q328" s="42">
        <v>26.3</v>
      </c>
      <c r="R328" s="46" t="s">
        <v>31</v>
      </c>
      <c r="S328" s="43">
        <v>44161</v>
      </c>
      <c r="T328" s="51">
        <f t="shared" ref="T328:T391" si="16">COUNTIF(G:G,G328)</f>
        <v>3</v>
      </c>
      <c r="U328" s="52" t="str">
        <f t="shared" ref="U328:U391" si="17">IF(M328="Não Detectável","Não Detectável",IF(R328="","",R328))</f>
        <v>Não Detectável</v>
      </c>
      <c r="V328" s="40"/>
      <c r="W328" s="40"/>
    </row>
    <row r="329" spans="1:23" ht="25.5" customHeight="1" x14ac:dyDescent="0.2">
      <c r="A329" s="51">
        <v>328</v>
      </c>
      <c r="B329" s="50" t="s">
        <v>1241</v>
      </c>
      <c r="C329" s="51">
        <v>23</v>
      </c>
      <c r="D329" s="51" t="s">
        <v>34</v>
      </c>
      <c r="E329" s="43">
        <v>44158</v>
      </c>
      <c r="F329" s="44" t="s">
        <v>60</v>
      </c>
      <c r="G329" s="51">
        <v>151</v>
      </c>
      <c r="H329" s="43">
        <v>44159</v>
      </c>
      <c r="I329" s="44" t="s">
        <v>1210</v>
      </c>
      <c r="J329" s="43">
        <v>44159</v>
      </c>
      <c r="K329" s="42">
        <v>23.7</v>
      </c>
      <c r="L329" s="42">
        <v>26.4</v>
      </c>
      <c r="M329" s="44" t="s">
        <v>29</v>
      </c>
      <c r="N329" s="44" t="s">
        <v>1239</v>
      </c>
      <c r="O329" s="43">
        <v>44160</v>
      </c>
      <c r="P329" s="42" t="s">
        <v>36</v>
      </c>
      <c r="Q329" s="42">
        <v>27.3</v>
      </c>
      <c r="R329" s="46" t="s">
        <v>31</v>
      </c>
      <c r="S329" s="43">
        <v>44161</v>
      </c>
      <c r="T329" s="51">
        <f t="shared" si="16"/>
        <v>3</v>
      </c>
      <c r="U329" s="52" t="str">
        <f t="shared" si="17"/>
        <v>Não Detectável</v>
      </c>
      <c r="V329" s="40"/>
      <c r="W329" s="40"/>
    </row>
    <row r="330" spans="1:23" ht="25.5" customHeight="1" x14ac:dyDescent="0.2">
      <c r="A330" s="51">
        <v>329</v>
      </c>
      <c r="B330" s="50" t="s">
        <v>1242</v>
      </c>
      <c r="C330" s="51">
        <v>51</v>
      </c>
      <c r="D330" s="51" t="s">
        <v>34</v>
      </c>
      <c r="E330" s="43">
        <v>44158</v>
      </c>
      <c r="F330" s="44" t="s">
        <v>60</v>
      </c>
      <c r="G330" s="51">
        <v>152</v>
      </c>
      <c r="H330" s="43">
        <v>44159</v>
      </c>
      <c r="I330" s="44" t="s">
        <v>1210</v>
      </c>
      <c r="J330" s="43">
        <v>44159</v>
      </c>
      <c r="K330" s="42" t="s">
        <v>383</v>
      </c>
      <c r="L330" s="42">
        <v>25.6</v>
      </c>
      <c r="M330" s="46" t="s">
        <v>31</v>
      </c>
      <c r="N330" s="44" t="s">
        <v>60</v>
      </c>
      <c r="O330" s="43" t="s">
        <v>60</v>
      </c>
      <c r="P330" s="42" t="s">
        <v>60</v>
      </c>
      <c r="Q330" s="42" t="s">
        <v>60</v>
      </c>
      <c r="R330" s="46" t="s">
        <v>60</v>
      </c>
      <c r="S330" s="43">
        <v>44160</v>
      </c>
      <c r="T330" s="51">
        <f t="shared" si="16"/>
        <v>3</v>
      </c>
      <c r="U330" s="52" t="str">
        <f t="shared" si="17"/>
        <v>Não Detectável</v>
      </c>
      <c r="V330" s="40"/>
      <c r="W330" s="40"/>
    </row>
    <row r="331" spans="1:23" ht="25.5" customHeight="1" x14ac:dyDescent="0.2">
      <c r="A331" s="51">
        <v>330</v>
      </c>
      <c r="B331" s="50" t="s">
        <v>1243</v>
      </c>
      <c r="C331" s="51">
        <v>24</v>
      </c>
      <c r="D331" s="51" t="s">
        <v>34</v>
      </c>
      <c r="E331" s="43">
        <v>44158</v>
      </c>
      <c r="F331" s="44" t="s">
        <v>60</v>
      </c>
      <c r="G331" s="51">
        <v>152</v>
      </c>
      <c r="H331" s="43">
        <v>44159</v>
      </c>
      <c r="I331" s="44" t="s">
        <v>1210</v>
      </c>
      <c r="J331" s="43">
        <v>44159</v>
      </c>
      <c r="K331" s="42" t="s">
        <v>383</v>
      </c>
      <c r="L331" s="42">
        <v>25.6</v>
      </c>
      <c r="M331" s="46" t="s">
        <v>31</v>
      </c>
      <c r="N331" s="44" t="s">
        <v>60</v>
      </c>
      <c r="O331" s="43" t="s">
        <v>60</v>
      </c>
      <c r="P331" s="42" t="s">
        <v>60</v>
      </c>
      <c r="Q331" s="42" t="s">
        <v>60</v>
      </c>
      <c r="R331" s="46" t="s">
        <v>60</v>
      </c>
      <c r="S331" s="43">
        <v>44160</v>
      </c>
      <c r="T331" s="51">
        <f t="shared" si="16"/>
        <v>3</v>
      </c>
      <c r="U331" s="52" t="str">
        <f t="shared" si="17"/>
        <v>Não Detectável</v>
      </c>
      <c r="V331" s="40"/>
      <c r="W331" s="40"/>
    </row>
    <row r="332" spans="1:23" ht="25.5" customHeight="1" x14ac:dyDescent="0.2">
      <c r="A332" s="51">
        <v>331</v>
      </c>
      <c r="B332" s="50" t="s">
        <v>1244</v>
      </c>
      <c r="C332" s="51">
        <v>35</v>
      </c>
      <c r="D332" s="51" t="s">
        <v>34</v>
      </c>
      <c r="E332" s="43">
        <v>44158</v>
      </c>
      <c r="F332" s="44" t="s">
        <v>60</v>
      </c>
      <c r="G332" s="51">
        <v>152</v>
      </c>
      <c r="H332" s="43">
        <v>44159</v>
      </c>
      <c r="I332" s="44" t="s">
        <v>1210</v>
      </c>
      <c r="J332" s="43">
        <v>44159</v>
      </c>
      <c r="K332" s="42" t="s">
        <v>383</v>
      </c>
      <c r="L332" s="42">
        <v>25.6</v>
      </c>
      <c r="M332" s="46" t="s">
        <v>31</v>
      </c>
      <c r="N332" s="44" t="s">
        <v>60</v>
      </c>
      <c r="O332" s="43" t="s">
        <v>60</v>
      </c>
      <c r="P332" s="42" t="s">
        <v>60</v>
      </c>
      <c r="Q332" s="42" t="s">
        <v>60</v>
      </c>
      <c r="R332" s="46" t="s">
        <v>60</v>
      </c>
      <c r="S332" s="43">
        <v>44160</v>
      </c>
      <c r="T332" s="51">
        <f t="shared" si="16"/>
        <v>3</v>
      </c>
      <c r="U332" s="52" t="str">
        <f t="shared" si="17"/>
        <v>Não Detectável</v>
      </c>
      <c r="V332" s="40"/>
      <c r="W332" s="40"/>
    </row>
    <row r="333" spans="1:23" ht="25.5" customHeight="1" x14ac:dyDescent="0.2">
      <c r="A333" s="51">
        <v>332</v>
      </c>
      <c r="B333" s="50" t="s">
        <v>1245</v>
      </c>
      <c r="C333" s="51">
        <v>63</v>
      </c>
      <c r="D333" s="51" t="s">
        <v>34</v>
      </c>
      <c r="E333" s="43">
        <v>44158</v>
      </c>
      <c r="F333" s="44" t="s">
        <v>60</v>
      </c>
      <c r="G333" s="51">
        <v>153</v>
      </c>
      <c r="H333" s="43">
        <v>44159</v>
      </c>
      <c r="I333" s="44" t="s">
        <v>1210</v>
      </c>
      <c r="J333" s="43">
        <v>44159</v>
      </c>
      <c r="K333" s="42">
        <v>23.8</v>
      </c>
      <c r="L333" s="42">
        <v>26.9</v>
      </c>
      <c r="M333" s="44" t="s">
        <v>29</v>
      </c>
      <c r="N333" s="44" t="s">
        <v>1239</v>
      </c>
      <c r="O333" s="43">
        <v>44160</v>
      </c>
      <c r="P333" s="42">
        <v>22.2</v>
      </c>
      <c r="Q333" s="42">
        <v>26.3</v>
      </c>
      <c r="R333" s="46" t="s">
        <v>29</v>
      </c>
      <c r="S333" s="43">
        <v>44161</v>
      </c>
      <c r="T333" s="51">
        <f t="shared" si="16"/>
        <v>3</v>
      </c>
      <c r="U333" s="52" t="str">
        <f t="shared" si="17"/>
        <v>Detectável</v>
      </c>
      <c r="V333" s="40"/>
      <c r="W333" s="40"/>
    </row>
    <row r="334" spans="1:23" ht="25.5" customHeight="1" x14ac:dyDescent="0.2">
      <c r="A334" s="51">
        <v>333</v>
      </c>
      <c r="B334" s="50" t="s">
        <v>1246</v>
      </c>
      <c r="C334" s="51">
        <v>33</v>
      </c>
      <c r="D334" s="51" t="s">
        <v>25</v>
      </c>
      <c r="E334" s="43">
        <v>44158</v>
      </c>
      <c r="F334" s="44" t="s">
        <v>60</v>
      </c>
      <c r="G334" s="51">
        <v>153</v>
      </c>
      <c r="H334" s="43">
        <v>44159</v>
      </c>
      <c r="I334" s="44" t="s">
        <v>1210</v>
      </c>
      <c r="J334" s="43">
        <v>44159</v>
      </c>
      <c r="K334" s="42">
        <v>23.8</v>
      </c>
      <c r="L334" s="42">
        <v>26.9</v>
      </c>
      <c r="M334" s="44" t="s">
        <v>29</v>
      </c>
      <c r="N334" s="44" t="s">
        <v>1239</v>
      </c>
      <c r="O334" s="43">
        <v>44160</v>
      </c>
      <c r="P334" s="42" t="s">
        <v>36</v>
      </c>
      <c r="Q334" s="42">
        <v>26.9</v>
      </c>
      <c r="R334" s="46" t="s">
        <v>31</v>
      </c>
      <c r="S334" s="43">
        <v>44161</v>
      </c>
      <c r="T334" s="51">
        <f t="shared" si="16"/>
        <v>3</v>
      </c>
      <c r="U334" s="52" t="str">
        <f t="shared" si="17"/>
        <v>Não Detectável</v>
      </c>
      <c r="V334" s="40"/>
      <c r="W334" s="40"/>
    </row>
    <row r="335" spans="1:23" ht="25.5" customHeight="1" x14ac:dyDescent="0.2">
      <c r="A335" s="51">
        <v>334</v>
      </c>
      <c r="B335" s="50" t="s">
        <v>1247</v>
      </c>
      <c r="C335" s="51">
        <v>36</v>
      </c>
      <c r="D335" s="51" t="s">
        <v>25</v>
      </c>
      <c r="E335" s="43" t="s">
        <v>1248</v>
      </c>
      <c r="F335" s="44" t="s">
        <v>60</v>
      </c>
      <c r="G335" s="51">
        <v>153</v>
      </c>
      <c r="H335" s="43">
        <v>44159</v>
      </c>
      <c r="I335" s="44" t="s">
        <v>1210</v>
      </c>
      <c r="J335" s="43">
        <v>44159</v>
      </c>
      <c r="K335" s="42">
        <v>23.8</v>
      </c>
      <c r="L335" s="42">
        <v>26.9</v>
      </c>
      <c r="M335" s="44" t="s">
        <v>29</v>
      </c>
      <c r="N335" s="44" t="s">
        <v>1239</v>
      </c>
      <c r="O335" s="43">
        <v>44160</v>
      </c>
      <c r="P335" s="42" t="s">
        <v>36</v>
      </c>
      <c r="Q335" s="42">
        <v>27.907</v>
      </c>
      <c r="R335" s="46" t="s">
        <v>31</v>
      </c>
      <c r="S335" s="43">
        <v>44161</v>
      </c>
      <c r="T335" s="51">
        <f t="shared" si="16"/>
        <v>3</v>
      </c>
      <c r="U335" s="52" t="str">
        <f t="shared" si="17"/>
        <v>Não Detectável</v>
      </c>
      <c r="V335" s="40"/>
      <c r="W335" s="40"/>
    </row>
    <row r="336" spans="1:23" ht="25.5" customHeight="1" x14ac:dyDescent="0.2">
      <c r="A336" s="51">
        <v>335</v>
      </c>
      <c r="B336" s="50" t="s">
        <v>1249</v>
      </c>
      <c r="C336" s="51">
        <v>27</v>
      </c>
      <c r="D336" s="51" t="s">
        <v>34</v>
      </c>
      <c r="E336" s="43" t="s">
        <v>1248</v>
      </c>
      <c r="F336" s="44" t="s">
        <v>60</v>
      </c>
      <c r="G336" s="51">
        <v>154</v>
      </c>
      <c r="H336" s="43">
        <v>44159</v>
      </c>
      <c r="I336" s="44" t="s">
        <v>1210</v>
      </c>
      <c r="J336" s="43">
        <v>44159</v>
      </c>
      <c r="K336" s="42" t="s">
        <v>383</v>
      </c>
      <c r="L336" s="42">
        <v>26.6</v>
      </c>
      <c r="M336" s="46" t="s">
        <v>31</v>
      </c>
      <c r="N336" s="44" t="s">
        <v>60</v>
      </c>
      <c r="O336" s="43" t="s">
        <v>60</v>
      </c>
      <c r="P336" s="42" t="s">
        <v>60</v>
      </c>
      <c r="Q336" s="42" t="s">
        <v>60</v>
      </c>
      <c r="R336" s="46" t="s">
        <v>60</v>
      </c>
      <c r="S336" s="43">
        <v>44160</v>
      </c>
      <c r="T336" s="51">
        <f t="shared" si="16"/>
        <v>3</v>
      </c>
      <c r="U336" s="52" t="str">
        <f t="shared" si="17"/>
        <v>Não Detectável</v>
      </c>
      <c r="V336" s="40"/>
      <c r="W336" s="40"/>
    </row>
    <row r="337" spans="1:23" ht="25.5" customHeight="1" x14ac:dyDescent="0.2">
      <c r="A337" s="51">
        <v>336</v>
      </c>
      <c r="B337" s="50" t="s">
        <v>1250</v>
      </c>
      <c r="C337" s="51">
        <v>25</v>
      </c>
      <c r="D337" s="51" t="s">
        <v>34</v>
      </c>
      <c r="E337" s="43" t="s">
        <v>1248</v>
      </c>
      <c r="F337" s="44" t="s">
        <v>60</v>
      </c>
      <c r="G337" s="51">
        <v>154</v>
      </c>
      <c r="H337" s="43">
        <v>44159</v>
      </c>
      <c r="I337" s="44" t="s">
        <v>1210</v>
      </c>
      <c r="J337" s="43">
        <v>44159</v>
      </c>
      <c r="K337" s="42" t="s">
        <v>383</v>
      </c>
      <c r="L337" s="42">
        <v>26.6</v>
      </c>
      <c r="M337" s="46" t="s">
        <v>31</v>
      </c>
      <c r="N337" s="44" t="s">
        <v>60</v>
      </c>
      <c r="O337" s="43" t="s">
        <v>60</v>
      </c>
      <c r="P337" s="42" t="s">
        <v>60</v>
      </c>
      <c r="Q337" s="42" t="s">
        <v>60</v>
      </c>
      <c r="R337" s="46" t="s">
        <v>60</v>
      </c>
      <c r="S337" s="43">
        <v>44160</v>
      </c>
      <c r="T337" s="51">
        <f t="shared" si="16"/>
        <v>3</v>
      </c>
      <c r="U337" s="52" t="str">
        <f t="shared" si="17"/>
        <v>Não Detectável</v>
      </c>
      <c r="V337" s="40"/>
      <c r="W337" s="40"/>
    </row>
    <row r="338" spans="1:23" ht="25.5" customHeight="1" x14ac:dyDescent="0.2">
      <c r="A338" s="51">
        <v>337</v>
      </c>
      <c r="B338" s="50" t="s">
        <v>1251</v>
      </c>
      <c r="C338" s="51">
        <v>34</v>
      </c>
      <c r="D338" s="51" t="s">
        <v>25</v>
      </c>
      <c r="E338" s="43" t="s">
        <v>1248</v>
      </c>
      <c r="F338" s="44" t="s">
        <v>60</v>
      </c>
      <c r="G338" s="51">
        <v>154</v>
      </c>
      <c r="H338" s="43">
        <v>44159</v>
      </c>
      <c r="I338" s="44" t="s">
        <v>1210</v>
      </c>
      <c r="J338" s="43">
        <v>44159</v>
      </c>
      <c r="K338" s="42" t="s">
        <v>383</v>
      </c>
      <c r="L338" s="42">
        <v>26.6</v>
      </c>
      <c r="M338" s="46" t="s">
        <v>31</v>
      </c>
      <c r="N338" s="44" t="s">
        <v>60</v>
      </c>
      <c r="O338" s="43" t="s">
        <v>60</v>
      </c>
      <c r="P338" s="42" t="s">
        <v>60</v>
      </c>
      <c r="Q338" s="42" t="s">
        <v>60</v>
      </c>
      <c r="R338" s="46" t="s">
        <v>60</v>
      </c>
      <c r="S338" s="43">
        <v>44160</v>
      </c>
      <c r="T338" s="51">
        <f t="shared" si="16"/>
        <v>3</v>
      </c>
      <c r="U338" s="52" t="str">
        <f t="shared" si="17"/>
        <v>Não Detectável</v>
      </c>
      <c r="V338" s="40"/>
      <c r="W338" s="40"/>
    </row>
    <row r="339" spans="1:23" ht="25.5" customHeight="1" x14ac:dyDescent="0.2">
      <c r="A339" s="51">
        <v>338</v>
      </c>
      <c r="B339" s="50" t="s">
        <v>1252</v>
      </c>
      <c r="C339" s="51">
        <v>45</v>
      </c>
      <c r="D339" s="51" t="s">
        <v>34</v>
      </c>
      <c r="E339" s="43" t="s">
        <v>1248</v>
      </c>
      <c r="F339" s="44" t="s">
        <v>60</v>
      </c>
      <c r="G339" s="51">
        <v>155</v>
      </c>
      <c r="H339" s="43">
        <v>44159</v>
      </c>
      <c r="I339" s="44" t="s">
        <v>1210</v>
      </c>
      <c r="J339" s="43">
        <v>44159</v>
      </c>
      <c r="K339" s="42">
        <v>17.8</v>
      </c>
      <c r="L339" s="42">
        <v>26.7</v>
      </c>
      <c r="M339" s="44" t="s">
        <v>29</v>
      </c>
      <c r="N339" s="44" t="s">
        <v>1239</v>
      </c>
      <c r="O339" s="43">
        <v>44160</v>
      </c>
      <c r="P339" s="42">
        <v>16.3</v>
      </c>
      <c r="Q339" s="42">
        <v>26.5</v>
      </c>
      <c r="R339" s="46" t="s">
        <v>29</v>
      </c>
      <c r="S339" s="43">
        <v>44161</v>
      </c>
      <c r="T339" s="51">
        <f t="shared" si="16"/>
        <v>3</v>
      </c>
      <c r="U339" s="52" t="str">
        <f t="shared" si="17"/>
        <v>Detectável</v>
      </c>
      <c r="V339" s="40"/>
      <c r="W339" s="40"/>
    </row>
    <row r="340" spans="1:23" ht="25.5" customHeight="1" x14ac:dyDescent="0.2">
      <c r="A340" s="51">
        <v>339</v>
      </c>
      <c r="B340" s="50" t="s">
        <v>1253</v>
      </c>
      <c r="C340" s="51">
        <v>23</v>
      </c>
      <c r="D340" s="51" t="s">
        <v>34</v>
      </c>
      <c r="E340" s="43" t="s">
        <v>1248</v>
      </c>
      <c r="F340" s="44" t="s">
        <v>60</v>
      </c>
      <c r="G340" s="51">
        <v>155</v>
      </c>
      <c r="H340" s="43">
        <v>44159</v>
      </c>
      <c r="I340" s="44" t="s">
        <v>1210</v>
      </c>
      <c r="J340" s="43">
        <v>44159</v>
      </c>
      <c r="K340" s="42">
        <v>17.8</v>
      </c>
      <c r="L340" s="42">
        <v>26.7</v>
      </c>
      <c r="M340" s="44" t="s">
        <v>29</v>
      </c>
      <c r="N340" s="44" t="s">
        <v>1239</v>
      </c>
      <c r="O340" s="43">
        <v>44160</v>
      </c>
      <c r="P340" s="42">
        <v>21.6</v>
      </c>
      <c r="Q340" s="42">
        <v>27.4</v>
      </c>
      <c r="R340" s="46" t="s">
        <v>29</v>
      </c>
      <c r="S340" s="43">
        <v>44161</v>
      </c>
      <c r="T340" s="51">
        <f t="shared" si="16"/>
        <v>3</v>
      </c>
      <c r="U340" s="52" t="str">
        <f t="shared" si="17"/>
        <v>Detectável</v>
      </c>
      <c r="V340" s="40"/>
      <c r="W340" s="40"/>
    </row>
    <row r="341" spans="1:23" ht="25.5" customHeight="1" x14ac:dyDescent="0.2">
      <c r="A341" s="51">
        <v>340</v>
      </c>
      <c r="B341" s="50" t="s">
        <v>1254</v>
      </c>
      <c r="C341" s="51">
        <v>23</v>
      </c>
      <c r="D341" s="51" t="s">
        <v>25</v>
      </c>
      <c r="E341" s="43" t="s">
        <v>1248</v>
      </c>
      <c r="F341" s="44" t="s">
        <v>60</v>
      </c>
      <c r="G341" s="51">
        <v>155</v>
      </c>
      <c r="H341" s="43">
        <v>44159</v>
      </c>
      <c r="I341" s="44" t="s">
        <v>1210</v>
      </c>
      <c r="J341" s="43">
        <v>44159</v>
      </c>
      <c r="K341" s="42">
        <v>17.8</v>
      </c>
      <c r="L341" s="42">
        <v>26.7</v>
      </c>
      <c r="M341" s="44" t="s">
        <v>29</v>
      </c>
      <c r="N341" s="44" t="s">
        <v>1239</v>
      </c>
      <c r="O341" s="43">
        <v>44160</v>
      </c>
      <c r="P341" s="42">
        <v>35.9</v>
      </c>
      <c r="Q341" s="42">
        <v>27.1</v>
      </c>
      <c r="R341" s="46" t="s">
        <v>29</v>
      </c>
      <c r="S341" s="43">
        <v>44161</v>
      </c>
      <c r="T341" s="51">
        <f t="shared" si="16"/>
        <v>3</v>
      </c>
      <c r="U341" s="52" t="str">
        <f t="shared" si="17"/>
        <v>Detectável</v>
      </c>
      <c r="V341" s="40"/>
      <c r="W341" s="40"/>
    </row>
    <row r="342" spans="1:23" ht="25.5" customHeight="1" x14ac:dyDescent="0.2">
      <c r="A342" s="51">
        <v>341</v>
      </c>
      <c r="B342" s="50" t="s">
        <v>1255</v>
      </c>
      <c r="C342" s="51">
        <v>38</v>
      </c>
      <c r="D342" s="51" t="s">
        <v>25</v>
      </c>
      <c r="E342" s="43" t="s">
        <v>1248</v>
      </c>
      <c r="F342" s="44" t="s">
        <v>60</v>
      </c>
      <c r="G342" s="51">
        <v>156</v>
      </c>
      <c r="H342" s="43">
        <v>44159</v>
      </c>
      <c r="I342" s="44" t="s">
        <v>1256</v>
      </c>
      <c r="J342" s="43">
        <v>44162</v>
      </c>
      <c r="K342" s="42" t="s">
        <v>36</v>
      </c>
      <c r="L342" s="42">
        <v>27.2</v>
      </c>
      <c r="M342" s="46" t="s">
        <v>31</v>
      </c>
      <c r="N342" s="44" t="s">
        <v>1239</v>
      </c>
      <c r="O342" s="43">
        <v>44160</v>
      </c>
      <c r="P342" s="42" t="s">
        <v>36</v>
      </c>
      <c r="Q342" s="42">
        <v>28.9</v>
      </c>
      <c r="R342" s="46" t="s">
        <v>31</v>
      </c>
      <c r="S342" s="43">
        <v>44162</v>
      </c>
      <c r="T342" s="51">
        <f t="shared" si="16"/>
        <v>3</v>
      </c>
      <c r="U342" s="52" t="str">
        <f t="shared" si="17"/>
        <v>Não Detectável</v>
      </c>
      <c r="V342" s="40"/>
      <c r="W342" s="40"/>
    </row>
    <row r="343" spans="1:23" ht="25.5" customHeight="1" x14ac:dyDescent="0.2">
      <c r="A343" s="51">
        <v>342</v>
      </c>
      <c r="B343" s="50" t="s">
        <v>1257</v>
      </c>
      <c r="C343" s="51">
        <v>33</v>
      </c>
      <c r="D343" s="51" t="s">
        <v>25</v>
      </c>
      <c r="E343" s="43" t="s">
        <v>1248</v>
      </c>
      <c r="F343" s="44" t="s">
        <v>60</v>
      </c>
      <c r="G343" s="51">
        <v>156</v>
      </c>
      <c r="H343" s="43">
        <v>44159</v>
      </c>
      <c r="I343" s="44" t="s">
        <v>1256</v>
      </c>
      <c r="J343" s="43">
        <v>44162</v>
      </c>
      <c r="K343" s="42" t="s">
        <v>36</v>
      </c>
      <c r="L343" s="42">
        <v>27.2</v>
      </c>
      <c r="M343" s="46" t="s">
        <v>31</v>
      </c>
      <c r="N343" s="44" t="s">
        <v>1239</v>
      </c>
      <c r="O343" s="43">
        <v>44160</v>
      </c>
      <c r="P343" s="42" t="s">
        <v>36</v>
      </c>
      <c r="Q343" s="42">
        <v>28.8</v>
      </c>
      <c r="R343" s="46" t="s">
        <v>31</v>
      </c>
      <c r="S343" s="43">
        <v>44162</v>
      </c>
      <c r="T343" s="51">
        <f t="shared" si="16"/>
        <v>3</v>
      </c>
      <c r="U343" s="52" t="str">
        <f t="shared" si="17"/>
        <v>Não Detectável</v>
      </c>
      <c r="V343" s="40"/>
      <c r="W343" s="40"/>
    </row>
    <row r="344" spans="1:23" ht="25.5" customHeight="1" x14ac:dyDescent="0.2">
      <c r="A344" s="51">
        <v>343</v>
      </c>
      <c r="B344" s="50" t="s">
        <v>1258</v>
      </c>
      <c r="C344" s="51">
        <v>40</v>
      </c>
      <c r="D344" s="51" t="s">
        <v>25</v>
      </c>
      <c r="E344" s="43" t="s">
        <v>1248</v>
      </c>
      <c r="F344" s="44" t="s">
        <v>60</v>
      </c>
      <c r="G344" s="51">
        <v>156</v>
      </c>
      <c r="H344" s="43">
        <v>44159</v>
      </c>
      <c r="I344" s="44" t="s">
        <v>1256</v>
      </c>
      <c r="J344" s="43">
        <v>44162</v>
      </c>
      <c r="K344" s="42" t="s">
        <v>36</v>
      </c>
      <c r="L344" s="42">
        <v>27.2</v>
      </c>
      <c r="M344" s="46" t="s">
        <v>31</v>
      </c>
      <c r="N344" s="44" t="s">
        <v>1239</v>
      </c>
      <c r="O344" s="43">
        <v>44160</v>
      </c>
      <c r="P344" s="42" t="s">
        <v>36</v>
      </c>
      <c r="Q344" s="42">
        <v>26.3</v>
      </c>
      <c r="R344" s="46" t="s">
        <v>31</v>
      </c>
      <c r="S344" s="43">
        <v>44162</v>
      </c>
      <c r="T344" s="51">
        <f t="shared" si="16"/>
        <v>3</v>
      </c>
      <c r="U344" s="52" t="str">
        <f t="shared" si="17"/>
        <v>Não Detectável</v>
      </c>
      <c r="V344" s="40"/>
      <c r="W344" s="40"/>
    </row>
    <row r="345" spans="1:23" ht="25.5" customHeight="1" x14ac:dyDescent="0.2">
      <c r="A345" s="51">
        <v>344</v>
      </c>
      <c r="B345" s="50" t="s">
        <v>1259</v>
      </c>
      <c r="C345" s="51">
        <v>22</v>
      </c>
      <c r="D345" s="51" t="s">
        <v>34</v>
      </c>
      <c r="E345" s="43" t="s">
        <v>1248</v>
      </c>
      <c r="F345" s="44" t="s">
        <v>60</v>
      </c>
      <c r="G345" s="51">
        <v>157</v>
      </c>
      <c r="H345" s="43">
        <v>44159</v>
      </c>
      <c r="I345" s="44" t="s">
        <v>1210</v>
      </c>
      <c r="J345" s="43">
        <v>44159</v>
      </c>
      <c r="K345" s="42">
        <v>20.6</v>
      </c>
      <c r="L345" s="42">
        <v>26.7</v>
      </c>
      <c r="M345" s="44" t="s">
        <v>29</v>
      </c>
      <c r="N345" s="44" t="s">
        <v>1239</v>
      </c>
      <c r="O345" s="43">
        <v>44160</v>
      </c>
      <c r="P345" s="42" t="s">
        <v>36</v>
      </c>
      <c r="Q345" s="42">
        <v>26.4</v>
      </c>
      <c r="R345" s="46" t="s">
        <v>31</v>
      </c>
      <c r="S345" s="43">
        <v>44161</v>
      </c>
      <c r="T345" s="51">
        <f t="shared" si="16"/>
        <v>3</v>
      </c>
      <c r="U345" s="52" t="str">
        <f t="shared" si="17"/>
        <v>Não Detectável</v>
      </c>
      <c r="V345" s="40"/>
      <c r="W345" s="40"/>
    </row>
    <row r="346" spans="1:23" ht="25.5" customHeight="1" x14ac:dyDescent="0.2">
      <c r="A346" s="51">
        <v>345</v>
      </c>
      <c r="B346" s="50" t="s">
        <v>1260</v>
      </c>
      <c r="C346" s="51">
        <v>59</v>
      </c>
      <c r="D346" s="51" t="s">
        <v>34</v>
      </c>
      <c r="E346" s="43" t="s">
        <v>1248</v>
      </c>
      <c r="F346" s="44" t="s">
        <v>60</v>
      </c>
      <c r="G346" s="51">
        <v>157</v>
      </c>
      <c r="H346" s="43">
        <v>44159</v>
      </c>
      <c r="I346" s="44" t="s">
        <v>1210</v>
      </c>
      <c r="J346" s="43">
        <v>44159</v>
      </c>
      <c r="K346" s="42">
        <v>20.6</v>
      </c>
      <c r="L346" s="42">
        <v>26.7</v>
      </c>
      <c r="M346" s="44" t="s">
        <v>29</v>
      </c>
      <c r="N346" s="44" t="s">
        <v>1239</v>
      </c>
      <c r="O346" s="43">
        <v>44160</v>
      </c>
      <c r="P346" s="42">
        <v>19.7</v>
      </c>
      <c r="Q346" s="42">
        <v>27</v>
      </c>
      <c r="R346" s="46" t="s">
        <v>29</v>
      </c>
      <c r="S346" s="43">
        <v>44161</v>
      </c>
      <c r="T346" s="51">
        <f t="shared" si="16"/>
        <v>3</v>
      </c>
      <c r="U346" s="52" t="str">
        <f t="shared" si="17"/>
        <v>Detectável</v>
      </c>
      <c r="V346" s="40"/>
      <c r="W346" s="40"/>
    </row>
    <row r="347" spans="1:23" ht="25.5" customHeight="1" x14ac:dyDescent="0.2">
      <c r="A347" s="51">
        <v>346</v>
      </c>
      <c r="B347" s="50" t="s">
        <v>1261</v>
      </c>
      <c r="C347" s="51">
        <v>29</v>
      </c>
      <c r="D347" s="51" t="s">
        <v>25</v>
      </c>
      <c r="E347" s="43" t="s">
        <v>1248</v>
      </c>
      <c r="F347" s="44" t="s">
        <v>60</v>
      </c>
      <c r="G347" s="51">
        <v>157</v>
      </c>
      <c r="H347" s="43">
        <v>44159</v>
      </c>
      <c r="I347" s="44" t="s">
        <v>1210</v>
      </c>
      <c r="J347" s="43">
        <v>44159</v>
      </c>
      <c r="K347" s="42">
        <v>20.6</v>
      </c>
      <c r="L347" s="42">
        <v>26.7</v>
      </c>
      <c r="M347" s="44" t="s">
        <v>29</v>
      </c>
      <c r="N347" s="44" t="s">
        <v>1239</v>
      </c>
      <c r="O347" s="43">
        <v>44160</v>
      </c>
      <c r="P347" s="42">
        <v>21.3</v>
      </c>
      <c r="Q347" s="42">
        <v>28.1</v>
      </c>
      <c r="R347" s="46" t="s">
        <v>29</v>
      </c>
      <c r="S347" s="43">
        <v>44161</v>
      </c>
      <c r="T347" s="51">
        <f t="shared" si="16"/>
        <v>3</v>
      </c>
      <c r="U347" s="52" t="str">
        <f t="shared" si="17"/>
        <v>Detectável</v>
      </c>
      <c r="V347" s="40"/>
      <c r="W347" s="40"/>
    </row>
    <row r="348" spans="1:23" ht="25.5" customHeight="1" x14ac:dyDescent="0.2">
      <c r="A348" s="51">
        <v>347</v>
      </c>
      <c r="B348" s="50" t="s">
        <v>1262</v>
      </c>
      <c r="C348" s="51">
        <v>19</v>
      </c>
      <c r="D348" s="51" t="s">
        <v>34</v>
      </c>
      <c r="E348" s="43" t="s">
        <v>1248</v>
      </c>
      <c r="F348" s="44" t="s">
        <v>60</v>
      </c>
      <c r="G348" s="51">
        <v>158</v>
      </c>
      <c r="H348" s="43">
        <v>44159</v>
      </c>
      <c r="I348" s="44" t="s">
        <v>1210</v>
      </c>
      <c r="J348" s="43">
        <v>44159</v>
      </c>
      <c r="K348" s="42">
        <v>18.600000000000001</v>
      </c>
      <c r="L348" s="42">
        <v>26.7</v>
      </c>
      <c r="M348" s="44" t="s">
        <v>29</v>
      </c>
      <c r="N348" s="44" t="s">
        <v>1239</v>
      </c>
      <c r="O348" s="43">
        <v>44160</v>
      </c>
      <c r="P348" s="42">
        <v>28</v>
      </c>
      <c r="Q348" s="42">
        <v>26.5</v>
      </c>
      <c r="R348" s="46" t="s">
        <v>29</v>
      </c>
      <c r="S348" s="43">
        <v>44161</v>
      </c>
      <c r="T348" s="51">
        <f t="shared" si="16"/>
        <v>3</v>
      </c>
      <c r="U348" s="52" t="str">
        <f t="shared" si="17"/>
        <v>Detectável</v>
      </c>
      <c r="V348" s="40"/>
      <c r="W348" s="40"/>
    </row>
    <row r="349" spans="1:23" ht="25.5" customHeight="1" x14ac:dyDescent="0.2">
      <c r="A349" s="51">
        <v>348</v>
      </c>
      <c r="B349" s="50" t="s">
        <v>1263</v>
      </c>
      <c r="C349" s="51">
        <v>27</v>
      </c>
      <c r="D349" s="51" t="s">
        <v>25</v>
      </c>
      <c r="E349" s="43" t="s">
        <v>1248</v>
      </c>
      <c r="F349" s="44" t="s">
        <v>60</v>
      </c>
      <c r="G349" s="51">
        <v>158</v>
      </c>
      <c r="H349" s="43">
        <v>44159</v>
      </c>
      <c r="I349" s="44" t="s">
        <v>1210</v>
      </c>
      <c r="J349" s="43">
        <v>44159</v>
      </c>
      <c r="K349" s="42">
        <v>18.600000000000001</v>
      </c>
      <c r="L349" s="42">
        <v>26.7</v>
      </c>
      <c r="M349" s="44" t="s">
        <v>29</v>
      </c>
      <c r="N349" s="44" t="s">
        <v>1239</v>
      </c>
      <c r="O349" s="43">
        <v>44160</v>
      </c>
      <c r="P349" s="42" t="s">
        <v>36</v>
      </c>
      <c r="Q349" s="42">
        <v>27.6</v>
      </c>
      <c r="R349" s="46" t="s">
        <v>31</v>
      </c>
      <c r="S349" s="43">
        <v>44161</v>
      </c>
      <c r="T349" s="51">
        <f t="shared" si="16"/>
        <v>3</v>
      </c>
      <c r="U349" s="52" t="str">
        <f t="shared" si="17"/>
        <v>Não Detectável</v>
      </c>
      <c r="V349" s="40"/>
      <c r="W349" s="40"/>
    </row>
    <row r="350" spans="1:23" ht="25.5" customHeight="1" x14ac:dyDescent="0.2">
      <c r="A350" s="51">
        <v>349</v>
      </c>
      <c r="B350" s="50" t="s">
        <v>1264</v>
      </c>
      <c r="C350" s="51">
        <v>25</v>
      </c>
      <c r="D350" s="51" t="s">
        <v>25</v>
      </c>
      <c r="E350" s="43" t="s">
        <v>1248</v>
      </c>
      <c r="F350" s="44" t="s">
        <v>60</v>
      </c>
      <c r="G350" s="51">
        <v>158</v>
      </c>
      <c r="H350" s="43">
        <v>44159</v>
      </c>
      <c r="I350" s="44" t="s">
        <v>1210</v>
      </c>
      <c r="J350" s="43">
        <v>44159</v>
      </c>
      <c r="K350" s="42">
        <v>18.600000000000001</v>
      </c>
      <c r="L350" s="42">
        <v>26.7</v>
      </c>
      <c r="M350" s="44" t="s">
        <v>29</v>
      </c>
      <c r="N350" s="44" t="s">
        <v>1239</v>
      </c>
      <c r="O350" s="43">
        <v>44160</v>
      </c>
      <c r="P350" s="42">
        <v>17</v>
      </c>
      <c r="Q350" s="42">
        <v>27.4</v>
      </c>
      <c r="R350" s="46" t="s">
        <v>29</v>
      </c>
      <c r="S350" s="43">
        <v>44161</v>
      </c>
      <c r="T350" s="51">
        <f t="shared" si="16"/>
        <v>3</v>
      </c>
      <c r="U350" s="52" t="str">
        <f t="shared" si="17"/>
        <v>Detectável</v>
      </c>
      <c r="V350" s="40"/>
      <c r="W350" s="40"/>
    </row>
    <row r="351" spans="1:23" ht="25.5" customHeight="1" x14ac:dyDescent="0.2">
      <c r="A351" s="51">
        <v>350</v>
      </c>
      <c r="B351" s="50" t="s">
        <v>1265</v>
      </c>
      <c r="C351" s="51">
        <v>35</v>
      </c>
      <c r="D351" s="51" t="s">
        <v>34</v>
      </c>
      <c r="E351" s="43" t="s">
        <v>1248</v>
      </c>
      <c r="F351" s="44" t="s">
        <v>60</v>
      </c>
      <c r="G351" s="51">
        <v>159</v>
      </c>
      <c r="H351" s="43">
        <v>44159</v>
      </c>
      <c r="I351" s="44" t="s">
        <v>1210</v>
      </c>
      <c r="J351" s="43">
        <v>44159</v>
      </c>
      <c r="K351" s="42">
        <v>22.655000000000001</v>
      </c>
      <c r="L351" s="42">
        <v>27.1</v>
      </c>
      <c r="M351" s="44" t="s">
        <v>29</v>
      </c>
      <c r="N351" s="44" t="s">
        <v>1239</v>
      </c>
      <c r="O351" s="43">
        <v>44160</v>
      </c>
      <c r="P351" s="42" t="s">
        <v>36</v>
      </c>
      <c r="Q351" s="42">
        <v>27.1</v>
      </c>
      <c r="R351" s="46" t="s">
        <v>31</v>
      </c>
      <c r="S351" s="43">
        <v>44161</v>
      </c>
      <c r="T351" s="51">
        <f t="shared" si="16"/>
        <v>3</v>
      </c>
      <c r="U351" s="52" t="str">
        <f t="shared" si="17"/>
        <v>Não Detectável</v>
      </c>
      <c r="V351" s="40"/>
      <c r="W351" s="40"/>
    </row>
    <row r="352" spans="1:23" ht="25.5" customHeight="1" x14ac:dyDescent="0.2">
      <c r="A352" s="51">
        <v>351</v>
      </c>
      <c r="B352" s="50" t="s">
        <v>1266</v>
      </c>
      <c r="C352" s="51">
        <v>24</v>
      </c>
      <c r="D352" s="51" t="s">
        <v>34</v>
      </c>
      <c r="E352" s="43" t="s">
        <v>1248</v>
      </c>
      <c r="F352" s="44" t="s">
        <v>60</v>
      </c>
      <c r="G352" s="51">
        <v>159</v>
      </c>
      <c r="H352" s="43">
        <v>44159</v>
      </c>
      <c r="I352" s="44" t="s">
        <v>1210</v>
      </c>
      <c r="J352" s="43">
        <v>44159</v>
      </c>
      <c r="K352" s="42">
        <v>22.655000000000001</v>
      </c>
      <c r="L352" s="42">
        <v>27.1</v>
      </c>
      <c r="M352" s="44" t="s">
        <v>29</v>
      </c>
      <c r="N352" s="44" t="s">
        <v>1239</v>
      </c>
      <c r="O352" s="43">
        <v>44160</v>
      </c>
      <c r="P352" s="42" t="s">
        <v>36</v>
      </c>
      <c r="Q352" s="42">
        <v>27.9</v>
      </c>
      <c r="R352" s="46" t="s">
        <v>31</v>
      </c>
      <c r="S352" s="43">
        <v>44161</v>
      </c>
      <c r="T352" s="51">
        <f t="shared" si="16"/>
        <v>3</v>
      </c>
      <c r="U352" s="52" t="str">
        <f t="shared" si="17"/>
        <v>Não Detectável</v>
      </c>
      <c r="V352" s="40"/>
      <c r="W352" s="40"/>
    </row>
    <row r="353" spans="1:23" ht="25.5" customHeight="1" x14ac:dyDescent="0.2">
      <c r="A353" s="51">
        <v>352</v>
      </c>
      <c r="B353" s="50" t="s">
        <v>1267</v>
      </c>
      <c r="C353" s="51">
        <v>44</v>
      </c>
      <c r="D353" s="51" t="s">
        <v>25</v>
      </c>
      <c r="E353" s="43" t="s">
        <v>1248</v>
      </c>
      <c r="F353" s="44" t="s">
        <v>60</v>
      </c>
      <c r="G353" s="51">
        <v>159</v>
      </c>
      <c r="H353" s="43">
        <v>44159</v>
      </c>
      <c r="I353" s="44" t="s">
        <v>1210</v>
      </c>
      <c r="J353" s="43">
        <v>44159</v>
      </c>
      <c r="K353" s="42">
        <v>22.655000000000001</v>
      </c>
      <c r="L353" s="42">
        <v>27.1</v>
      </c>
      <c r="M353" s="44" t="s">
        <v>29</v>
      </c>
      <c r="N353" s="44" t="s">
        <v>1239</v>
      </c>
      <c r="O353" s="43">
        <v>44160</v>
      </c>
      <c r="P353" s="42">
        <v>21</v>
      </c>
      <c r="Q353" s="42">
        <v>27.5</v>
      </c>
      <c r="R353" s="46" t="s">
        <v>29</v>
      </c>
      <c r="S353" s="43">
        <v>44161</v>
      </c>
      <c r="T353" s="51">
        <f t="shared" si="16"/>
        <v>3</v>
      </c>
      <c r="U353" s="52" t="str">
        <f t="shared" si="17"/>
        <v>Detectável</v>
      </c>
      <c r="V353" s="40"/>
      <c r="W353" s="40"/>
    </row>
    <row r="354" spans="1:23" ht="25.5" customHeight="1" x14ac:dyDescent="0.2">
      <c r="A354" s="51">
        <v>353</v>
      </c>
      <c r="B354" s="50" t="s">
        <v>1268</v>
      </c>
      <c r="C354" s="51">
        <v>55</v>
      </c>
      <c r="D354" s="51" t="s">
        <v>34</v>
      </c>
      <c r="E354" s="43" t="s">
        <v>1248</v>
      </c>
      <c r="F354" s="44" t="s">
        <v>60</v>
      </c>
      <c r="G354" s="51">
        <v>160</v>
      </c>
      <c r="H354" s="43">
        <v>44159</v>
      </c>
      <c r="I354" s="44" t="s">
        <v>1239</v>
      </c>
      <c r="J354" s="43">
        <v>44160</v>
      </c>
      <c r="K354" s="42" t="s">
        <v>1269</v>
      </c>
      <c r="L354" s="42">
        <v>27.6</v>
      </c>
      <c r="M354" s="46" t="s">
        <v>31</v>
      </c>
      <c r="N354" s="44" t="s">
        <v>60</v>
      </c>
      <c r="O354" s="43" t="s">
        <v>60</v>
      </c>
      <c r="P354" s="42" t="s">
        <v>60</v>
      </c>
      <c r="Q354" s="42" t="s">
        <v>60</v>
      </c>
      <c r="R354" s="46" t="s">
        <v>60</v>
      </c>
      <c r="S354" s="43">
        <v>44161</v>
      </c>
      <c r="T354" s="51">
        <f t="shared" si="16"/>
        <v>3</v>
      </c>
      <c r="U354" s="52" t="str">
        <f t="shared" si="17"/>
        <v>Não Detectável</v>
      </c>
      <c r="V354" s="40"/>
      <c r="W354" s="40"/>
    </row>
    <row r="355" spans="1:23" ht="25.5" customHeight="1" x14ac:dyDescent="0.2">
      <c r="A355" s="51">
        <v>354</v>
      </c>
      <c r="B355" s="50" t="s">
        <v>1270</v>
      </c>
      <c r="C355" s="51">
        <v>40</v>
      </c>
      <c r="D355" s="51" t="s">
        <v>25</v>
      </c>
      <c r="E355" s="43" t="s">
        <v>1248</v>
      </c>
      <c r="F355" s="44" t="s">
        <v>60</v>
      </c>
      <c r="G355" s="51">
        <v>160</v>
      </c>
      <c r="H355" s="43">
        <v>44159</v>
      </c>
      <c r="I355" s="44" t="s">
        <v>1239</v>
      </c>
      <c r="J355" s="43">
        <v>44160</v>
      </c>
      <c r="K355" s="42" t="s">
        <v>1269</v>
      </c>
      <c r="L355" s="42">
        <v>27.6</v>
      </c>
      <c r="M355" s="46" t="s">
        <v>31</v>
      </c>
      <c r="N355" s="44" t="s">
        <v>60</v>
      </c>
      <c r="O355" s="43" t="s">
        <v>60</v>
      </c>
      <c r="P355" s="42" t="s">
        <v>60</v>
      </c>
      <c r="Q355" s="42" t="s">
        <v>60</v>
      </c>
      <c r="R355" s="46" t="s">
        <v>60</v>
      </c>
      <c r="S355" s="43">
        <v>44161</v>
      </c>
      <c r="T355" s="51">
        <f t="shared" si="16"/>
        <v>3</v>
      </c>
      <c r="U355" s="52" t="str">
        <f t="shared" si="17"/>
        <v>Não Detectável</v>
      </c>
      <c r="V355" s="40"/>
      <c r="W355" s="40"/>
    </row>
    <row r="356" spans="1:23" ht="25.5" customHeight="1" x14ac:dyDescent="0.2">
      <c r="A356" s="51">
        <v>355</v>
      </c>
      <c r="B356" s="50" t="s">
        <v>1271</v>
      </c>
      <c r="C356" s="51">
        <v>33</v>
      </c>
      <c r="D356" s="51" t="s">
        <v>34</v>
      </c>
      <c r="E356" s="43" t="s">
        <v>1272</v>
      </c>
      <c r="F356" s="44" t="s">
        <v>60</v>
      </c>
      <c r="G356" s="51">
        <v>160</v>
      </c>
      <c r="H356" s="43">
        <v>44160</v>
      </c>
      <c r="I356" s="44" t="s">
        <v>1239</v>
      </c>
      <c r="J356" s="43">
        <v>44160</v>
      </c>
      <c r="K356" s="42" t="s">
        <v>1269</v>
      </c>
      <c r="L356" s="42">
        <v>27.6</v>
      </c>
      <c r="M356" s="46" t="s">
        <v>31</v>
      </c>
      <c r="N356" s="44" t="s">
        <v>60</v>
      </c>
      <c r="O356" s="43" t="s">
        <v>60</v>
      </c>
      <c r="P356" s="42" t="s">
        <v>60</v>
      </c>
      <c r="Q356" s="42" t="s">
        <v>60</v>
      </c>
      <c r="R356" s="46" t="s">
        <v>60</v>
      </c>
      <c r="S356" s="43">
        <v>44161</v>
      </c>
      <c r="T356" s="51">
        <f t="shared" si="16"/>
        <v>3</v>
      </c>
      <c r="U356" s="52" t="str">
        <f t="shared" si="17"/>
        <v>Não Detectável</v>
      </c>
    </row>
    <row r="357" spans="1:23" ht="25.5" customHeight="1" x14ac:dyDescent="0.2">
      <c r="A357" s="51">
        <v>356</v>
      </c>
      <c r="B357" s="50" t="s">
        <v>1273</v>
      </c>
      <c r="C357" s="51">
        <v>29</v>
      </c>
      <c r="D357" s="51" t="s">
        <v>25</v>
      </c>
      <c r="E357" s="43" t="s">
        <v>1272</v>
      </c>
      <c r="F357" s="44" t="s">
        <v>60</v>
      </c>
      <c r="G357" s="51">
        <v>161</v>
      </c>
      <c r="H357" s="43">
        <v>44160</v>
      </c>
      <c r="I357" s="44" t="s">
        <v>1256</v>
      </c>
      <c r="J357" s="43">
        <v>44162</v>
      </c>
      <c r="K357" s="42" t="s">
        <v>36</v>
      </c>
      <c r="L357" s="42">
        <v>27</v>
      </c>
      <c r="M357" s="46" t="s">
        <v>31</v>
      </c>
      <c r="N357" s="44" t="s">
        <v>1274</v>
      </c>
      <c r="O357" s="43">
        <v>44161</v>
      </c>
      <c r="P357" s="42" t="s">
        <v>36</v>
      </c>
      <c r="Q357" s="42">
        <v>26.83</v>
      </c>
      <c r="R357" s="46" t="s">
        <v>31</v>
      </c>
      <c r="S357" s="43">
        <v>44162</v>
      </c>
      <c r="T357" s="51">
        <f t="shared" si="16"/>
        <v>3</v>
      </c>
      <c r="U357" s="52" t="str">
        <f t="shared" si="17"/>
        <v>Não Detectável</v>
      </c>
    </row>
    <row r="358" spans="1:23" ht="25.5" customHeight="1" x14ac:dyDescent="0.2">
      <c r="A358" s="51">
        <v>357</v>
      </c>
      <c r="B358" s="50" t="s">
        <v>1275</v>
      </c>
      <c r="C358" s="51">
        <v>34</v>
      </c>
      <c r="D358" s="51" t="s">
        <v>34</v>
      </c>
      <c r="E358" s="43" t="s">
        <v>1272</v>
      </c>
      <c r="F358" s="44" t="s">
        <v>60</v>
      </c>
      <c r="G358" s="51">
        <v>161</v>
      </c>
      <c r="H358" s="43">
        <v>44160</v>
      </c>
      <c r="I358" s="44" t="s">
        <v>1256</v>
      </c>
      <c r="J358" s="43">
        <v>44162</v>
      </c>
      <c r="K358" s="42" t="s">
        <v>36</v>
      </c>
      <c r="L358" s="42">
        <v>27</v>
      </c>
      <c r="M358" s="46" t="s">
        <v>31</v>
      </c>
      <c r="N358" s="44" t="s">
        <v>1274</v>
      </c>
      <c r="O358" s="43">
        <v>44161</v>
      </c>
      <c r="P358" s="42" t="s">
        <v>36</v>
      </c>
      <c r="Q358" s="42">
        <v>27.475000000000001</v>
      </c>
      <c r="R358" s="46" t="s">
        <v>31</v>
      </c>
      <c r="S358" s="43">
        <v>44162</v>
      </c>
      <c r="T358" s="51">
        <f t="shared" si="16"/>
        <v>3</v>
      </c>
      <c r="U358" s="52" t="str">
        <f t="shared" si="17"/>
        <v>Não Detectável</v>
      </c>
    </row>
    <row r="359" spans="1:23" ht="25.5" customHeight="1" x14ac:dyDescent="0.2">
      <c r="A359" s="51">
        <v>358</v>
      </c>
      <c r="B359" s="50" t="s">
        <v>1276</v>
      </c>
      <c r="C359" s="51">
        <v>44</v>
      </c>
      <c r="D359" s="51" t="s">
        <v>25</v>
      </c>
      <c r="E359" s="43" t="s">
        <v>1272</v>
      </c>
      <c r="F359" s="44" t="s">
        <v>60</v>
      </c>
      <c r="G359" s="51">
        <v>161</v>
      </c>
      <c r="H359" s="43">
        <v>44160</v>
      </c>
      <c r="I359" s="44" t="s">
        <v>1256</v>
      </c>
      <c r="J359" s="43">
        <v>44162</v>
      </c>
      <c r="K359" s="42" t="s">
        <v>36</v>
      </c>
      <c r="L359" s="42">
        <v>27</v>
      </c>
      <c r="M359" s="46" t="s">
        <v>31</v>
      </c>
      <c r="N359" s="44" t="s">
        <v>1274</v>
      </c>
      <c r="O359" s="43">
        <v>44161</v>
      </c>
      <c r="P359" s="42" t="s">
        <v>36</v>
      </c>
      <c r="Q359" s="42">
        <v>27.815999999999999</v>
      </c>
      <c r="R359" s="46" t="s">
        <v>31</v>
      </c>
      <c r="S359" s="43">
        <v>44162</v>
      </c>
      <c r="T359" s="51">
        <f t="shared" si="16"/>
        <v>3</v>
      </c>
      <c r="U359" s="52" t="str">
        <f t="shared" si="17"/>
        <v>Não Detectável</v>
      </c>
    </row>
    <row r="360" spans="1:23" ht="25.5" customHeight="1" x14ac:dyDescent="0.2">
      <c r="A360" s="51">
        <v>359</v>
      </c>
      <c r="B360" s="50" t="s">
        <v>1277</v>
      </c>
      <c r="C360" s="51">
        <v>50</v>
      </c>
      <c r="D360" s="51" t="s">
        <v>34</v>
      </c>
      <c r="E360" s="43" t="s">
        <v>1272</v>
      </c>
      <c r="F360" s="44" t="s">
        <v>60</v>
      </c>
      <c r="G360" s="51">
        <v>162</v>
      </c>
      <c r="H360" s="43">
        <v>44160</v>
      </c>
      <c r="I360" s="44" t="s">
        <v>1239</v>
      </c>
      <c r="J360" s="43">
        <v>44160</v>
      </c>
      <c r="K360" s="42">
        <v>17.3</v>
      </c>
      <c r="L360" s="42">
        <v>26.9</v>
      </c>
      <c r="M360" s="43" t="s">
        <v>29</v>
      </c>
      <c r="N360" s="44" t="s">
        <v>1274</v>
      </c>
      <c r="O360" s="43">
        <v>44161</v>
      </c>
      <c r="P360" s="42" t="s">
        <v>36</v>
      </c>
      <c r="Q360" s="42">
        <v>27.308</v>
      </c>
      <c r="R360" s="46" t="s">
        <v>31</v>
      </c>
      <c r="S360" s="43">
        <v>44162</v>
      </c>
      <c r="T360" s="51">
        <f t="shared" si="16"/>
        <v>3</v>
      </c>
      <c r="U360" s="52" t="str">
        <f t="shared" si="17"/>
        <v>Não Detectável</v>
      </c>
    </row>
    <row r="361" spans="1:23" ht="25.5" customHeight="1" x14ac:dyDescent="0.2">
      <c r="A361" s="51">
        <v>360</v>
      </c>
      <c r="B361" s="50" t="s">
        <v>1278</v>
      </c>
      <c r="C361" s="51">
        <v>23</v>
      </c>
      <c r="D361" s="51" t="s">
        <v>34</v>
      </c>
      <c r="E361" s="43" t="s">
        <v>1272</v>
      </c>
      <c r="F361" s="44" t="s">
        <v>60</v>
      </c>
      <c r="G361" s="51">
        <v>162</v>
      </c>
      <c r="H361" s="43">
        <v>44160</v>
      </c>
      <c r="I361" s="44" t="s">
        <v>1239</v>
      </c>
      <c r="J361" s="43">
        <v>44160</v>
      </c>
      <c r="K361" s="42">
        <v>17.3</v>
      </c>
      <c r="L361" s="42">
        <v>26.9</v>
      </c>
      <c r="M361" s="43" t="s">
        <v>29</v>
      </c>
      <c r="N361" s="44" t="s">
        <v>1274</v>
      </c>
      <c r="O361" s="43">
        <v>44161</v>
      </c>
      <c r="P361" s="42">
        <v>16</v>
      </c>
      <c r="Q361" s="42">
        <v>26</v>
      </c>
      <c r="R361" s="46" t="s">
        <v>29</v>
      </c>
      <c r="S361" s="43">
        <v>44162</v>
      </c>
      <c r="T361" s="51">
        <f t="shared" si="16"/>
        <v>3</v>
      </c>
      <c r="U361" s="52" t="str">
        <f t="shared" si="17"/>
        <v>Detectável</v>
      </c>
    </row>
    <row r="362" spans="1:23" ht="25.5" customHeight="1" x14ac:dyDescent="0.2">
      <c r="A362" s="51">
        <v>361</v>
      </c>
      <c r="B362" s="50" t="s">
        <v>1279</v>
      </c>
      <c r="C362" s="51">
        <v>73</v>
      </c>
      <c r="D362" s="51" t="s">
        <v>25</v>
      </c>
      <c r="E362" s="43" t="s">
        <v>1272</v>
      </c>
      <c r="F362" s="44" t="s">
        <v>60</v>
      </c>
      <c r="G362" s="51">
        <v>162</v>
      </c>
      <c r="H362" s="43">
        <v>44160</v>
      </c>
      <c r="I362" s="44" t="s">
        <v>1239</v>
      </c>
      <c r="J362" s="43">
        <v>44160</v>
      </c>
      <c r="K362" s="42">
        <v>17.3</v>
      </c>
      <c r="L362" s="42">
        <v>26.9</v>
      </c>
      <c r="M362" s="43" t="s">
        <v>29</v>
      </c>
      <c r="N362" s="44" t="s">
        <v>1274</v>
      </c>
      <c r="O362" s="43">
        <v>44161</v>
      </c>
      <c r="P362" s="42" t="s">
        <v>36</v>
      </c>
      <c r="Q362" s="42">
        <v>27.7</v>
      </c>
      <c r="R362" s="46" t="s">
        <v>31</v>
      </c>
      <c r="S362" s="43">
        <v>44162</v>
      </c>
      <c r="T362" s="51">
        <f t="shared" si="16"/>
        <v>3</v>
      </c>
      <c r="U362" s="52" t="str">
        <f t="shared" si="17"/>
        <v>Não Detectável</v>
      </c>
    </row>
    <row r="363" spans="1:23" ht="25.5" customHeight="1" x14ac:dyDescent="0.2">
      <c r="A363" s="51">
        <v>362</v>
      </c>
      <c r="B363" s="50" t="s">
        <v>1280</v>
      </c>
      <c r="C363" s="51">
        <v>31</v>
      </c>
      <c r="D363" s="51" t="s">
        <v>25</v>
      </c>
      <c r="E363" s="43" t="s">
        <v>1272</v>
      </c>
      <c r="F363" s="44" t="s">
        <v>60</v>
      </c>
      <c r="G363" s="51">
        <v>163</v>
      </c>
      <c r="H363" s="43">
        <v>44160</v>
      </c>
      <c r="I363" s="44" t="s">
        <v>1239</v>
      </c>
      <c r="J363" s="43">
        <v>44160</v>
      </c>
      <c r="K363" s="42" t="s">
        <v>1269</v>
      </c>
      <c r="L363" s="42">
        <v>26.17</v>
      </c>
      <c r="M363" s="45" t="s">
        <v>31</v>
      </c>
      <c r="N363" s="44" t="s">
        <v>60</v>
      </c>
      <c r="O363" s="43" t="s">
        <v>60</v>
      </c>
      <c r="P363" s="42" t="s">
        <v>60</v>
      </c>
      <c r="Q363" s="42" t="s">
        <v>60</v>
      </c>
      <c r="R363" s="46" t="s">
        <v>60</v>
      </c>
      <c r="S363" s="43">
        <v>44161</v>
      </c>
      <c r="T363" s="51">
        <f t="shared" si="16"/>
        <v>3</v>
      </c>
      <c r="U363" s="52" t="str">
        <f t="shared" si="17"/>
        <v>Não Detectável</v>
      </c>
    </row>
    <row r="364" spans="1:23" ht="25.5" customHeight="1" x14ac:dyDescent="0.2">
      <c r="A364" s="51">
        <v>363</v>
      </c>
      <c r="B364" s="50" t="s">
        <v>1281</v>
      </c>
      <c r="C364" s="51">
        <v>39</v>
      </c>
      <c r="D364" s="51" t="s">
        <v>25</v>
      </c>
      <c r="E364" s="43" t="s">
        <v>1272</v>
      </c>
      <c r="F364" s="44" t="s">
        <v>60</v>
      </c>
      <c r="G364" s="51">
        <v>163</v>
      </c>
      <c r="H364" s="43">
        <v>44160</v>
      </c>
      <c r="I364" s="44" t="s">
        <v>1239</v>
      </c>
      <c r="J364" s="43">
        <v>44160</v>
      </c>
      <c r="K364" s="42" t="s">
        <v>1269</v>
      </c>
      <c r="L364" s="42">
        <v>27.17</v>
      </c>
      <c r="M364" s="45" t="s">
        <v>31</v>
      </c>
      <c r="N364" s="44" t="s">
        <v>60</v>
      </c>
      <c r="O364" s="43" t="s">
        <v>60</v>
      </c>
      <c r="P364" s="42" t="s">
        <v>60</v>
      </c>
      <c r="Q364" s="42" t="s">
        <v>60</v>
      </c>
      <c r="R364" s="46" t="s">
        <v>60</v>
      </c>
      <c r="S364" s="43">
        <v>44161</v>
      </c>
      <c r="T364" s="51">
        <f t="shared" si="16"/>
        <v>3</v>
      </c>
      <c r="U364" s="52" t="str">
        <f t="shared" si="17"/>
        <v>Não Detectável</v>
      </c>
    </row>
    <row r="365" spans="1:23" ht="25.5" customHeight="1" x14ac:dyDescent="0.2">
      <c r="A365" s="51">
        <v>364</v>
      </c>
      <c r="B365" s="50" t="s">
        <v>1282</v>
      </c>
      <c r="C365" s="51">
        <v>42</v>
      </c>
      <c r="D365" s="51" t="s">
        <v>34</v>
      </c>
      <c r="E365" s="43" t="s">
        <v>1272</v>
      </c>
      <c r="F365" s="44" t="s">
        <v>60</v>
      </c>
      <c r="G365" s="51">
        <v>163</v>
      </c>
      <c r="H365" s="43">
        <v>44160</v>
      </c>
      <c r="I365" s="44" t="s">
        <v>1239</v>
      </c>
      <c r="J365" s="43">
        <v>44160</v>
      </c>
      <c r="K365" s="42" t="s">
        <v>1269</v>
      </c>
      <c r="L365" s="42">
        <v>28.17</v>
      </c>
      <c r="M365" s="45" t="s">
        <v>31</v>
      </c>
      <c r="N365" s="44" t="s">
        <v>60</v>
      </c>
      <c r="O365" s="43" t="s">
        <v>60</v>
      </c>
      <c r="P365" s="42" t="s">
        <v>60</v>
      </c>
      <c r="Q365" s="42" t="s">
        <v>60</v>
      </c>
      <c r="R365" s="46" t="s">
        <v>60</v>
      </c>
      <c r="S365" s="43">
        <v>44161</v>
      </c>
      <c r="T365" s="51">
        <f t="shared" si="16"/>
        <v>3</v>
      </c>
      <c r="U365" s="52" t="str">
        <f t="shared" si="17"/>
        <v>Não Detectável</v>
      </c>
    </row>
    <row r="366" spans="1:23" ht="25.5" customHeight="1" x14ac:dyDescent="0.2">
      <c r="A366" s="51">
        <v>365</v>
      </c>
      <c r="B366" s="50" t="s">
        <v>1283</v>
      </c>
      <c r="C366" s="51">
        <v>36</v>
      </c>
      <c r="D366" s="51" t="s">
        <v>25</v>
      </c>
      <c r="E366" s="43" t="s">
        <v>1272</v>
      </c>
      <c r="F366" s="44" t="s">
        <v>60</v>
      </c>
      <c r="G366" s="51">
        <v>164</v>
      </c>
      <c r="H366" s="43">
        <v>44160</v>
      </c>
      <c r="I366" s="44" t="s">
        <v>1239</v>
      </c>
      <c r="J366" s="43">
        <v>44160</v>
      </c>
      <c r="K366" s="42" t="s">
        <v>1269</v>
      </c>
      <c r="L366" s="42">
        <v>28.3</v>
      </c>
      <c r="M366" s="45" t="s">
        <v>31</v>
      </c>
      <c r="N366" s="44" t="s">
        <v>60</v>
      </c>
      <c r="O366" s="43" t="s">
        <v>60</v>
      </c>
      <c r="P366" s="42" t="s">
        <v>60</v>
      </c>
      <c r="Q366" s="42" t="s">
        <v>60</v>
      </c>
      <c r="R366" s="46" t="s">
        <v>60</v>
      </c>
      <c r="S366" s="43">
        <v>44161</v>
      </c>
      <c r="T366" s="51">
        <f t="shared" si="16"/>
        <v>3</v>
      </c>
      <c r="U366" s="52" t="str">
        <f t="shared" si="17"/>
        <v>Não Detectável</v>
      </c>
    </row>
    <row r="367" spans="1:23" ht="25.5" customHeight="1" x14ac:dyDescent="0.2">
      <c r="A367" s="51">
        <v>366</v>
      </c>
      <c r="B367" s="50" t="s">
        <v>1284</v>
      </c>
      <c r="C367" s="51">
        <v>36</v>
      </c>
      <c r="D367" s="51" t="s">
        <v>34</v>
      </c>
      <c r="E367" s="43" t="s">
        <v>1272</v>
      </c>
      <c r="F367" s="44" t="s">
        <v>60</v>
      </c>
      <c r="G367" s="51">
        <v>164</v>
      </c>
      <c r="H367" s="43">
        <v>44160</v>
      </c>
      <c r="I367" s="44" t="s">
        <v>1239</v>
      </c>
      <c r="J367" s="43">
        <v>44160</v>
      </c>
      <c r="K367" s="42" t="s">
        <v>1269</v>
      </c>
      <c r="L367" s="42">
        <v>29.3</v>
      </c>
      <c r="M367" s="45" t="s">
        <v>31</v>
      </c>
      <c r="N367" s="44" t="s">
        <v>60</v>
      </c>
      <c r="O367" s="43" t="s">
        <v>60</v>
      </c>
      <c r="P367" s="42" t="s">
        <v>60</v>
      </c>
      <c r="Q367" s="42" t="s">
        <v>60</v>
      </c>
      <c r="R367" s="46" t="s">
        <v>60</v>
      </c>
      <c r="S367" s="43">
        <v>44161</v>
      </c>
      <c r="T367" s="51">
        <f t="shared" si="16"/>
        <v>3</v>
      </c>
      <c r="U367" s="52" t="str">
        <f t="shared" si="17"/>
        <v>Não Detectável</v>
      </c>
    </row>
    <row r="368" spans="1:23" ht="25.5" customHeight="1" x14ac:dyDescent="0.2">
      <c r="A368" s="51">
        <v>367</v>
      </c>
      <c r="B368" s="50" t="s">
        <v>1285</v>
      </c>
      <c r="C368" s="51">
        <v>37</v>
      </c>
      <c r="D368" s="51" t="s">
        <v>25</v>
      </c>
      <c r="E368" s="43" t="s">
        <v>1272</v>
      </c>
      <c r="F368" s="44" t="s">
        <v>60</v>
      </c>
      <c r="G368" s="51">
        <v>164</v>
      </c>
      <c r="H368" s="43">
        <v>44160</v>
      </c>
      <c r="I368" s="44" t="s">
        <v>1239</v>
      </c>
      <c r="J368" s="43">
        <v>44160</v>
      </c>
      <c r="K368" s="42" t="s">
        <v>1269</v>
      </c>
      <c r="L368" s="42">
        <v>30.3</v>
      </c>
      <c r="M368" s="45" t="s">
        <v>31</v>
      </c>
      <c r="N368" s="44" t="s">
        <v>60</v>
      </c>
      <c r="O368" s="43" t="s">
        <v>60</v>
      </c>
      <c r="P368" s="42" t="s">
        <v>60</v>
      </c>
      <c r="Q368" s="42" t="s">
        <v>60</v>
      </c>
      <c r="R368" s="46" t="s">
        <v>60</v>
      </c>
      <c r="S368" s="43">
        <v>44161</v>
      </c>
      <c r="T368" s="51">
        <f t="shared" si="16"/>
        <v>3</v>
      </c>
      <c r="U368" s="52" t="str">
        <f t="shared" si="17"/>
        <v>Não Detectável</v>
      </c>
    </row>
    <row r="369" spans="1:23" ht="25.5" customHeight="1" x14ac:dyDescent="0.2">
      <c r="A369" s="51">
        <v>368</v>
      </c>
      <c r="B369" s="50" t="s">
        <v>1286</v>
      </c>
      <c r="C369" s="51">
        <v>62</v>
      </c>
      <c r="D369" s="51" t="s">
        <v>34</v>
      </c>
      <c r="E369" s="43" t="s">
        <v>1272</v>
      </c>
      <c r="F369" s="44" t="s">
        <v>60</v>
      </c>
      <c r="G369" s="51">
        <v>165</v>
      </c>
      <c r="H369" s="43">
        <v>44160</v>
      </c>
      <c r="I369" s="44" t="s">
        <v>1239</v>
      </c>
      <c r="J369" s="43">
        <v>44160</v>
      </c>
      <c r="K369" s="42" t="s">
        <v>1269</v>
      </c>
      <c r="L369" s="42">
        <v>27.4</v>
      </c>
      <c r="M369" s="45" t="s">
        <v>31</v>
      </c>
      <c r="N369" s="44" t="s">
        <v>60</v>
      </c>
      <c r="O369" s="43" t="s">
        <v>60</v>
      </c>
      <c r="P369" s="42" t="s">
        <v>60</v>
      </c>
      <c r="Q369" s="42" t="s">
        <v>60</v>
      </c>
      <c r="R369" s="46" t="s">
        <v>60</v>
      </c>
      <c r="S369" s="43">
        <v>44161</v>
      </c>
      <c r="T369" s="51">
        <f t="shared" si="16"/>
        <v>3</v>
      </c>
      <c r="U369" s="52" t="str">
        <f t="shared" si="17"/>
        <v>Não Detectável</v>
      </c>
    </row>
    <row r="370" spans="1:23" ht="25.5" customHeight="1" x14ac:dyDescent="0.2">
      <c r="A370" s="51">
        <v>369</v>
      </c>
      <c r="B370" s="50" t="s">
        <v>1287</v>
      </c>
      <c r="C370" s="51">
        <v>31</v>
      </c>
      <c r="D370" s="51" t="s">
        <v>34</v>
      </c>
      <c r="E370" s="43" t="s">
        <v>1272</v>
      </c>
      <c r="F370" s="44" t="s">
        <v>60</v>
      </c>
      <c r="G370" s="51">
        <v>165</v>
      </c>
      <c r="H370" s="43">
        <v>44160</v>
      </c>
      <c r="I370" s="44" t="s">
        <v>1239</v>
      </c>
      <c r="J370" s="43">
        <v>44160</v>
      </c>
      <c r="K370" s="42" t="s">
        <v>1269</v>
      </c>
      <c r="L370" s="42">
        <v>28.4</v>
      </c>
      <c r="M370" s="45" t="s">
        <v>31</v>
      </c>
      <c r="N370" s="44" t="s">
        <v>60</v>
      </c>
      <c r="O370" s="43" t="s">
        <v>60</v>
      </c>
      <c r="P370" s="42" t="s">
        <v>60</v>
      </c>
      <c r="Q370" s="42" t="s">
        <v>60</v>
      </c>
      <c r="R370" s="46" t="s">
        <v>60</v>
      </c>
      <c r="S370" s="43">
        <v>44161</v>
      </c>
      <c r="T370" s="51">
        <f t="shared" si="16"/>
        <v>3</v>
      </c>
      <c r="U370" s="52" t="str">
        <f t="shared" si="17"/>
        <v>Não Detectável</v>
      </c>
    </row>
    <row r="371" spans="1:23" ht="25.5" customHeight="1" x14ac:dyDescent="0.2">
      <c r="A371" s="51">
        <v>370</v>
      </c>
      <c r="B371" s="50" t="s">
        <v>1288</v>
      </c>
      <c r="C371" s="51">
        <v>31</v>
      </c>
      <c r="D371" s="51" t="s">
        <v>25</v>
      </c>
      <c r="E371" s="43" t="s">
        <v>1272</v>
      </c>
      <c r="F371" s="44" t="s">
        <v>60</v>
      </c>
      <c r="G371" s="51">
        <v>165</v>
      </c>
      <c r="H371" s="43">
        <v>44160</v>
      </c>
      <c r="I371" s="44" t="s">
        <v>1239</v>
      </c>
      <c r="J371" s="43">
        <v>44160</v>
      </c>
      <c r="K371" s="42" t="s">
        <v>1269</v>
      </c>
      <c r="L371" s="42">
        <v>29.4</v>
      </c>
      <c r="M371" s="45" t="s">
        <v>31</v>
      </c>
      <c r="N371" s="44" t="s">
        <v>60</v>
      </c>
      <c r="O371" s="43" t="s">
        <v>60</v>
      </c>
      <c r="P371" s="42" t="s">
        <v>60</v>
      </c>
      <c r="Q371" s="42" t="s">
        <v>60</v>
      </c>
      <c r="R371" s="46" t="s">
        <v>60</v>
      </c>
      <c r="S371" s="43">
        <v>44161</v>
      </c>
      <c r="T371" s="51">
        <f t="shared" si="16"/>
        <v>3</v>
      </c>
      <c r="U371" s="52" t="str">
        <f t="shared" si="17"/>
        <v>Não Detectável</v>
      </c>
    </row>
    <row r="372" spans="1:23" ht="25.5" customHeight="1" x14ac:dyDescent="0.2">
      <c r="A372" s="51">
        <v>371</v>
      </c>
      <c r="B372" s="50" t="s">
        <v>1289</v>
      </c>
      <c r="C372" s="51">
        <v>18</v>
      </c>
      <c r="D372" s="51" t="s">
        <v>34</v>
      </c>
      <c r="E372" s="43" t="s">
        <v>1272</v>
      </c>
      <c r="F372" s="44" t="s">
        <v>60</v>
      </c>
      <c r="G372" s="51">
        <v>166</v>
      </c>
      <c r="H372" s="43">
        <v>44160</v>
      </c>
      <c r="I372" s="44" t="s">
        <v>1239</v>
      </c>
      <c r="J372" s="43">
        <v>44160</v>
      </c>
      <c r="K372" s="42">
        <v>29.7</v>
      </c>
      <c r="L372" s="42">
        <v>26.4</v>
      </c>
      <c r="M372" s="43" t="s">
        <v>29</v>
      </c>
      <c r="N372" s="44" t="s">
        <v>1274</v>
      </c>
      <c r="O372" s="43">
        <v>44161</v>
      </c>
      <c r="P372" s="42" t="s">
        <v>36</v>
      </c>
      <c r="Q372" s="42">
        <v>27.2</v>
      </c>
      <c r="R372" s="46" t="s">
        <v>31</v>
      </c>
      <c r="S372" s="43">
        <v>44162</v>
      </c>
      <c r="T372" s="51">
        <f t="shared" si="16"/>
        <v>3</v>
      </c>
      <c r="U372" s="52" t="str">
        <f t="shared" si="17"/>
        <v>Não Detectável</v>
      </c>
    </row>
    <row r="373" spans="1:23" ht="25.5" customHeight="1" x14ac:dyDescent="0.2">
      <c r="A373" s="51">
        <v>372</v>
      </c>
      <c r="B373" s="50" t="s">
        <v>1290</v>
      </c>
      <c r="C373" s="51">
        <v>68</v>
      </c>
      <c r="D373" s="51" t="s">
        <v>25</v>
      </c>
      <c r="E373" s="43" t="s">
        <v>1272</v>
      </c>
      <c r="F373" s="44" t="s">
        <v>60</v>
      </c>
      <c r="G373" s="51">
        <v>166</v>
      </c>
      <c r="H373" s="43">
        <v>44160</v>
      </c>
      <c r="I373" s="44" t="s">
        <v>1239</v>
      </c>
      <c r="J373" s="43">
        <v>44160</v>
      </c>
      <c r="K373" s="42">
        <v>29.7</v>
      </c>
      <c r="L373" s="42">
        <v>26.4</v>
      </c>
      <c r="M373" s="43" t="s">
        <v>29</v>
      </c>
      <c r="N373" s="44" t="s">
        <v>1274</v>
      </c>
      <c r="O373" s="43">
        <v>44161</v>
      </c>
      <c r="P373" s="42">
        <v>29</v>
      </c>
      <c r="Q373" s="42">
        <v>27.7</v>
      </c>
      <c r="R373" s="46" t="s">
        <v>29</v>
      </c>
      <c r="S373" s="43">
        <v>44162</v>
      </c>
      <c r="T373" s="51">
        <f t="shared" si="16"/>
        <v>3</v>
      </c>
      <c r="U373" s="52" t="str">
        <f t="shared" si="17"/>
        <v>Detectável</v>
      </c>
    </row>
    <row r="374" spans="1:23" ht="25.5" customHeight="1" x14ac:dyDescent="0.2">
      <c r="A374" s="51">
        <v>373</v>
      </c>
      <c r="B374" s="50" t="s">
        <v>1291</v>
      </c>
      <c r="C374" s="51">
        <v>22</v>
      </c>
      <c r="D374" s="51" t="s">
        <v>34</v>
      </c>
      <c r="E374" s="43" t="s">
        <v>1272</v>
      </c>
      <c r="F374" s="44" t="s">
        <v>60</v>
      </c>
      <c r="G374" s="51">
        <v>166</v>
      </c>
      <c r="H374" s="43">
        <v>44160</v>
      </c>
      <c r="I374" s="44" t="s">
        <v>1239</v>
      </c>
      <c r="J374" s="43">
        <v>44160</v>
      </c>
      <c r="K374" s="42">
        <v>29.7</v>
      </c>
      <c r="L374" s="42">
        <v>26.4</v>
      </c>
      <c r="M374" s="43" t="s">
        <v>29</v>
      </c>
      <c r="N374" s="44" t="s">
        <v>1274</v>
      </c>
      <c r="O374" s="43">
        <v>44161</v>
      </c>
      <c r="P374" s="42" t="s">
        <v>36</v>
      </c>
      <c r="Q374" s="42">
        <v>24.9</v>
      </c>
      <c r="R374" s="46" t="s">
        <v>31</v>
      </c>
      <c r="S374" s="43">
        <v>44162</v>
      </c>
      <c r="T374" s="51">
        <f t="shared" si="16"/>
        <v>3</v>
      </c>
      <c r="U374" s="52" t="str">
        <f t="shared" si="17"/>
        <v>Não Detectável</v>
      </c>
    </row>
    <row r="375" spans="1:23" ht="25.5" customHeight="1" x14ac:dyDescent="0.2">
      <c r="A375" s="51">
        <v>374</v>
      </c>
      <c r="B375" s="50" t="s">
        <v>1292</v>
      </c>
      <c r="C375" s="51">
        <v>78</v>
      </c>
      <c r="D375" s="51" t="s">
        <v>34</v>
      </c>
      <c r="E375" s="43" t="s">
        <v>1293</v>
      </c>
      <c r="F375" s="44" t="s">
        <v>60</v>
      </c>
      <c r="G375" s="51">
        <v>167</v>
      </c>
      <c r="H375" s="43">
        <v>44162</v>
      </c>
      <c r="I375" s="44" t="s">
        <v>1256</v>
      </c>
      <c r="J375" s="43">
        <v>44162</v>
      </c>
      <c r="K375" s="42">
        <v>26.1</v>
      </c>
      <c r="L375" s="42">
        <v>26.9</v>
      </c>
      <c r="M375" s="43" t="s">
        <v>29</v>
      </c>
      <c r="N375" s="44" t="s">
        <v>1294</v>
      </c>
      <c r="O375" s="43">
        <v>44165</v>
      </c>
      <c r="P375" s="42" t="s">
        <v>36</v>
      </c>
      <c r="Q375" s="42">
        <v>25.9</v>
      </c>
      <c r="R375" s="46" t="s">
        <v>31</v>
      </c>
      <c r="S375" s="43">
        <v>44165</v>
      </c>
      <c r="T375" s="51">
        <f t="shared" si="16"/>
        <v>3</v>
      </c>
      <c r="U375" s="52" t="str">
        <f t="shared" si="17"/>
        <v>Não Detectável</v>
      </c>
      <c r="V375" s="40"/>
      <c r="W375" s="40"/>
    </row>
    <row r="376" spans="1:23" ht="25.5" customHeight="1" x14ac:dyDescent="0.2">
      <c r="A376" s="51">
        <v>375</v>
      </c>
      <c r="B376" s="50" t="s">
        <v>1295</v>
      </c>
      <c r="C376" s="51">
        <v>25</v>
      </c>
      <c r="D376" s="51" t="s">
        <v>25</v>
      </c>
      <c r="E376" s="43" t="s">
        <v>1293</v>
      </c>
      <c r="F376" s="44" t="s">
        <v>60</v>
      </c>
      <c r="G376" s="51">
        <v>167</v>
      </c>
      <c r="H376" s="43">
        <v>44162</v>
      </c>
      <c r="I376" s="44" t="s">
        <v>1256</v>
      </c>
      <c r="J376" s="43">
        <v>44162</v>
      </c>
      <c r="K376" s="42">
        <v>26.1</v>
      </c>
      <c r="L376" s="42">
        <v>26.9</v>
      </c>
      <c r="M376" s="43" t="s">
        <v>29</v>
      </c>
      <c r="N376" s="44" t="s">
        <v>1294</v>
      </c>
      <c r="O376" s="43">
        <v>44165</v>
      </c>
      <c r="P376" s="42" t="s">
        <v>36</v>
      </c>
      <c r="Q376" s="42">
        <v>28.1</v>
      </c>
      <c r="R376" s="46" t="s">
        <v>31</v>
      </c>
      <c r="S376" s="43">
        <v>44165</v>
      </c>
      <c r="T376" s="51">
        <f t="shared" si="16"/>
        <v>3</v>
      </c>
      <c r="U376" s="52" t="str">
        <f t="shared" si="17"/>
        <v>Não Detectável</v>
      </c>
      <c r="V376" s="40"/>
      <c r="W376" s="40"/>
    </row>
    <row r="377" spans="1:23" ht="25.5" customHeight="1" x14ac:dyDescent="0.2">
      <c r="A377" s="51">
        <v>376</v>
      </c>
      <c r="B377" s="50" t="s">
        <v>1296</v>
      </c>
      <c r="C377" s="51">
        <v>42</v>
      </c>
      <c r="D377" s="51" t="s">
        <v>25</v>
      </c>
      <c r="E377" s="43" t="s">
        <v>1293</v>
      </c>
      <c r="F377" s="44" t="s">
        <v>60</v>
      </c>
      <c r="G377" s="51">
        <v>167</v>
      </c>
      <c r="H377" s="43">
        <v>44162</v>
      </c>
      <c r="I377" s="44" t="s">
        <v>1256</v>
      </c>
      <c r="J377" s="43">
        <v>44162</v>
      </c>
      <c r="K377" s="42">
        <v>26.1</v>
      </c>
      <c r="L377" s="42">
        <v>26.9</v>
      </c>
      <c r="M377" s="43" t="s">
        <v>29</v>
      </c>
      <c r="N377" s="44" t="s">
        <v>1294</v>
      </c>
      <c r="O377" s="43">
        <v>44165</v>
      </c>
      <c r="P377" s="42">
        <v>26.3</v>
      </c>
      <c r="Q377" s="42">
        <v>25.4</v>
      </c>
      <c r="R377" s="46" t="s">
        <v>29</v>
      </c>
      <c r="S377" s="43">
        <v>44165</v>
      </c>
      <c r="T377" s="51">
        <f t="shared" si="16"/>
        <v>3</v>
      </c>
      <c r="U377" s="52" t="str">
        <f t="shared" si="17"/>
        <v>Detectável</v>
      </c>
      <c r="V377" s="40"/>
      <c r="W377" s="40"/>
    </row>
    <row r="378" spans="1:23" ht="25.5" customHeight="1" x14ac:dyDescent="0.2">
      <c r="A378" s="51">
        <v>377</v>
      </c>
      <c r="B378" s="50" t="s">
        <v>1297</v>
      </c>
      <c r="C378" s="51">
        <v>42</v>
      </c>
      <c r="D378" s="51" t="s">
        <v>25</v>
      </c>
      <c r="E378" s="43" t="s">
        <v>1293</v>
      </c>
      <c r="F378" s="44" t="s">
        <v>60</v>
      </c>
      <c r="G378" s="51">
        <v>168</v>
      </c>
      <c r="H378" s="43">
        <v>44162</v>
      </c>
      <c r="I378" s="44" t="s">
        <v>1256</v>
      </c>
      <c r="J378" s="43">
        <v>44162</v>
      </c>
      <c r="K378" s="42" t="s">
        <v>36</v>
      </c>
      <c r="L378" s="42">
        <v>26.3</v>
      </c>
      <c r="M378" s="45" t="s">
        <v>31</v>
      </c>
      <c r="N378" s="44" t="s">
        <v>60</v>
      </c>
      <c r="O378" s="43" t="s">
        <v>60</v>
      </c>
      <c r="P378" s="42" t="s">
        <v>60</v>
      </c>
      <c r="Q378" s="42" t="s">
        <v>60</v>
      </c>
      <c r="R378" s="46" t="s">
        <v>60</v>
      </c>
      <c r="S378" s="43">
        <v>44162</v>
      </c>
      <c r="T378" s="51">
        <f t="shared" si="16"/>
        <v>3</v>
      </c>
      <c r="U378" s="52" t="str">
        <f t="shared" si="17"/>
        <v>Não Detectável</v>
      </c>
      <c r="V378" s="40"/>
      <c r="W378" s="40"/>
    </row>
    <row r="379" spans="1:23" ht="25.5" customHeight="1" x14ac:dyDescent="0.2">
      <c r="A379" s="51">
        <v>378</v>
      </c>
      <c r="B379" s="50" t="s">
        <v>1298</v>
      </c>
      <c r="C379" s="51">
        <v>32</v>
      </c>
      <c r="D379" s="51" t="s">
        <v>25</v>
      </c>
      <c r="E379" s="43" t="s">
        <v>1293</v>
      </c>
      <c r="F379" s="44" t="s">
        <v>60</v>
      </c>
      <c r="G379" s="51">
        <v>168</v>
      </c>
      <c r="H379" s="43">
        <v>44162</v>
      </c>
      <c r="I379" s="44" t="s">
        <v>1256</v>
      </c>
      <c r="J379" s="43">
        <v>44162</v>
      </c>
      <c r="K379" s="42" t="s">
        <v>36</v>
      </c>
      <c r="L379" s="42">
        <v>26.3</v>
      </c>
      <c r="M379" s="45" t="s">
        <v>31</v>
      </c>
      <c r="N379" s="44" t="s">
        <v>60</v>
      </c>
      <c r="O379" s="43" t="s">
        <v>60</v>
      </c>
      <c r="P379" s="42" t="s">
        <v>60</v>
      </c>
      <c r="Q379" s="42" t="s">
        <v>60</v>
      </c>
      <c r="R379" s="46" t="s">
        <v>60</v>
      </c>
      <c r="S379" s="43">
        <v>44162</v>
      </c>
      <c r="T379" s="51">
        <f t="shared" si="16"/>
        <v>3</v>
      </c>
      <c r="U379" s="52" t="str">
        <f t="shared" si="17"/>
        <v>Não Detectável</v>
      </c>
      <c r="V379" s="40"/>
      <c r="W379" s="40"/>
    </row>
    <row r="380" spans="1:23" ht="25.5" customHeight="1" x14ac:dyDescent="0.2">
      <c r="A380" s="51">
        <v>379</v>
      </c>
      <c r="B380" s="50" t="s">
        <v>1299</v>
      </c>
      <c r="C380" s="51">
        <v>20</v>
      </c>
      <c r="D380" s="51" t="s">
        <v>25</v>
      </c>
      <c r="E380" s="43" t="s">
        <v>1293</v>
      </c>
      <c r="F380" s="44" t="s">
        <v>60</v>
      </c>
      <c r="G380" s="51">
        <v>168</v>
      </c>
      <c r="H380" s="43">
        <v>44162</v>
      </c>
      <c r="I380" s="44" t="s">
        <v>1256</v>
      </c>
      <c r="J380" s="43">
        <v>44162</v>
      </c>
      <c r="K380" s="42" t="s">
        <v>36</v>
      </c>
      <c r="L380" s="42">
        <v>26.3</v>
      </c>
      <c r="M380" s="45" t="s">
        <v>31</v>
      </c>
      <c r="N380" s="44" t="s">
        <v>60</v>
      </c>
      <c r="O380" s="43" t="s">
        <v>60</v>
      </c>
      <c r="P380" s="42" t="s">
        <v>60</v>
      </c>
      <c r="Q380" s="42" t="s">
        <v>60</v>
      </c>
      <c r="R380" s="46" t="s">
        <v>60</v>
      </c>
      <c r="S380" s="43">
        <v>44162</v>
      </c>
      <c r="T380" s="51">
        <f t="shared" si="16"/>
        <v>3</v>
      </c>
      <c r="U380" s="52" t="str">
        <f t="shared" si="17"/>
        <v>Não Detectável</v>
      </c>
      <c r="V380" s="40"/>
      <c r="W380" s="40"/>
    </row>
    <row r="381" spans="1:23" ht="25.5" customHeight="1" x14ac:dyDescent="0.2">
      <c r="A381" s="51">
        <v>380</v>
      </c>
      <c r="B381" s="50" t="s">
        <v>1300</v>
      </c>
      <c r="C381" s="51">
        <v>36</v>
      </c>
      <c r="D381" s="51" t="s">
        <v>34</v>
      </c>
      <c r="E381" s="43" t="s">
        <v>1293</v>
      </c>
      <c r="F381" s="44" t="s">
        <v>60</v>
      </c>
      <c r="G381" s="51">
        <v>169</v>
      </c>
      <c r="H381" s="43">
        <v>44162</v>
      </c>
      <c r="I381" s="44" t="s">
        <v>1256</v>
      </c>
      <c r="J381" s="43">
        <v>44162</v>
      </c>
      <c r="K381" s="42" t="s">
        <v>36</v>
      </c>
      <c r="L381" s="42">
        <v>27.4</v>
      </c>
      <c r="M381" s="45" t="s">
        <v>31</v>
      </c>
      <c r="N381" s="44" t="s">
        <v>60</v>
      </c>
      <c r="O381" s="43" t="s">
        <v>60</v>
      </c>
      <c r="P381" s="42" t="s">
        <v>60</v>
      </c>
      <c r="Q381" s="42" t="s">
        <v>60</v>
      </c>
      <c r="R381" s="46" t="s">
        <v>60</v>
      </c>
      <c r="S381" s="43">
        <v>44162</v>
      </c>
      <c r="T381" s="51">
        <f t="shared" si="16"/>
        <v>3</v>
      </c>
      <c r="U381" s="52" t="str">
        <f t="shared" si="17"/>
        <v>Não Detectável</v>
      </c>
      <c r="V381" s="40"/>
      <c r="W381" s="40"/>
    </row>
    <row r="382" spans="1:23" ht="25.5" customHeight="1" x14ac:dyDescent="0.2">
      <c r="A382" s="51">
        <v>381</v>
      </c>
      <c r="B382" s="50" t="s">
        <v>1301</v>
      </c>
      <c r="C382" s="51">
        <v>26</v>
      </c>
      <c r="D382" s="51" t="s">
        <v>34</v>
      </c>
      <c r="E382" s="43" t="s">
        <v>1293</v>
      </c>
      <c r="F382" s="44" t="s">
        <v>60</v>
      </c>
      <c r="G382" s="51">
        <v>169</v>
      </c>
      <c r="H382" s="43">
        <v>44162</v>
      </c>
      <c r="I382" s="44" t="s">
        <v>1256</v>
      </c>
      <c r="J382" s="43">
        <v>44162</v>
      </c>
      <c r="K382" s="42" t="s">
        <v>36</v>
      </c>
      <c r="L382" s="42">
        <v>27.4</v>
      </c>
      <c r="M382" s="45" t="s">
        <v>31</v>
      </c>
      <c r="N382" s="44" t="s">
        <v>60</v>
      </c>
      <c r="O382" s="43" t="s">
        <v>60</v>
      </c>
      <c r="P382" s="42" t="s">
        <v>60</v>
      </c>
      <c r="Q382" s="42" t="s">
        <v>60</v>
      </c>
      <c r="R382" s="46" t="s">
        <v>60</v>
      </c>
      <c r="S382" s="43">
        <v>44162</v>
      </c>
      <c r="T382" s="51">
        <f t="shared" si="16"/>
        <v>3</v>
      </c>
      <c r="U382" s="52" t="str">
        <f t="shared" si="17"/>
        <v>Não Detectável</v>
      </c>
      <c r="V382" s="40"/>
      <c r="W382" s="40"/>
    </row>
    <row r="383" spans="1:23" ht="25.5" customHeight="1" x14ac:dyDescent="0.2">
      <c r="A383" s="51">
        <v>382</v>
      </c>
      <c r="B383" s="50" t="s">
        <v>1302</v>
      </c>
      <c r="C383" s="51">
        <v>24</v>
      </c>
      <c r="D383" s="51" t="s">
        <v>34</v>
      </c>
      <c r="E383" s="43" t="s">
        <v>1293</v>
      </c>
      <c r="F383" s="44" t="s">
        <v>60</v>
      </c>
      <c r="G383" s="51">
        <v>169</v>
      </c>
      <c r="H383" s="43">
        <v>44162</v>
      </c>
      <c r="I383" s="44" t="s">
        <v>1256</v>
      </c>
      <c r="J383" s="43">
        <v>44162</v>
      </c>
      <c r="K383" s="42" t="s">
        <v>36</v>
      </c>
      <c r="L383" s="42">
        <v>27.4</v>
      </c>
      <c r="M383" s="45" t="s">
        <v>31</v>
      </c>
      <c r="N383" s="44" t="s">
        <v>60</v>
      </c>
      <c r="O383" s="43" t="s">
        <v>60</v>
      </c>
      <c r="P383" s="42" t="s">
        <v>60</v>
      </c>
      <c r="Q383" s="42" t="s">
        <v>60</v>
      </c>
      <c r="R383" s="46" t="s">
        <v>60</v>
      </c>
      <c r="S383" s="43">
        <v>44162</v>
      </c>
      <c r="T383" s="51">
        <f t="shared" si="16"/>
        <v>3</v>
      </c>
      <c r="U383" s="52" t="str">
        <f t="shared" si="17"/>
        <v>Não Detectável</v>
      </c>
      <c r="V383" s="40"/>
      <c r="W383" s="40"/>
    </row>
    <row r="384" spans="1:23" ht="25.5" customHeight="1" x14ac:dyDescent="0.2">
      <c r="A384" s="51">
        <v>383</v>
      </c>
      <c r="B384" s="50" t="s">
        <v>1303</v>
      </c>
      <c r="C384" s="51">
        <v>29</v>
      </c>
      <c r="D384" s="51" t="s">
        <v>34</v>
      </c>
      <c r="E384" s="43" t="s">
        <v>1293</v>
      </c>
      <c r="F384" s="44" t="s">
        <v>60</v>
      </c>
      <c r="G384" s="51">
        <v>170</v>
      </c>
      <c r="H384" s="43">
        <v>44162</v>
      </c>
      <c r="I384" s="44" t="s">
        <v>1294</v>
      </c>
      <c r="J384" s="43">
        <v>44165</v>
      </c>
      <c r="K384" s="42">
        <v>20.8</v>
      </c>
      <c r="L384" s="42">
        <v>26.9</v>
      </c>
      <c r="M384" s="43" t="s">
        <v>29</v>
      </c>
      <c r="N384" s="44" t="s">
        <v>1304</v>
      </c>
      <c r="O384" s="43">
        <v>44166</v>
      </c>
      <c r="P384" s="42">
        <v>22.5</v>
      </c>
      <c r="Q384" s="42">
        <v>28.1</v>
      </c>
      <c r="R384" s="46" t="s">
        <v>29</v>
      </c>
      <c r="S384" s="43">
        <v>44166</v>
      </c>
      <c r="T384" s="51">
        <f t="shared" si="16"/>
        <v>3</v>
      </c>
      <c r="U384" s="52" t="str">
        <f t="shared" si="17"/>
        <v>Detectável</v>
      </c>
      <c r="V384" s="40"/>
      <c r="W384" s="40"/>
    </row>
    <row r="385" spans="1:23" ht="25.5" customHeight="1" x14ac:dyDescent="0.2">
      <c r="A385" s="51">
        <v>384</v>
      </c>
      <c r="B385" s="50" t="s">
        <v>1305</v>
      </c>
      <c r="C385" s="51">
        <v>26</v>
      </c>
      <c r="D385" s="51" t="s">
        <v>25</v>
      </c>
      <c r="E385" s="43" t="s">
        <v>1293</v>
      </c>
      <c r="F385" s="44" t="s">
        <v>60</v>
      </c>
      <c r="G385" s="51">
        <v>170</v>
      </c>
      <c r="H385" s="43">
        <v>44162</v>
      </c>
      <c r="I385" s="44" t="s">
        <v>1294</v>
      </c>
      <c r="J385" s="43">
        <v>44165</v>
      </c>
      <c r="K385" s="42">
        <v>20.8</v>
      </c>
      <c r="L385" s="42">
        <v>26.9</v>
      </c>
      <c r="M385" s="43" t="s">
        <v>29</v>
      </c>
      <c r="N385" s="44" t="s">
        <v>1304</v>
      </c>
      <c r="O385" s="43">
        <v>44166</v>
      </c>
      <c r="P385" s="42">
        <v>18.7</v>
      </c>
      <c r="Q385" s="42">
        <v>27</v>
      </c>
      <c r="R385" s="46" t="s">
        <v>29</v>
      </c>
      <c r="S385" s="43">
        <v>44166</v>
      </c>
      <c r="T385" s="51">
        <f t="shared" si="16"/>
        <v>3</v>
      </c>
      <c r="U385" s="52" t="str">
        <f t="shared" si="17"/>
        <v>Detectável</v>
      </c>
      <c r="V385" s="40"/>
      <c r="W385" s="40"/>
    </row>
    <row r="386" spans="1:23" ht="25.5" customHeight="1" x14ac:dyDescent="0.2">
      <c r="A386" s="51">
        <v>385</v>
      </c>
      <c r="B386" s="50" t="s">
        <v>1306</v>
      </c>
      <c r="C386" s="51">
        <v>31</v>
      </c>
      <c r="D386" s="51" t="s">
        <v>34</v>
      </c>
      <c r="E386" s="43" t="s">
        <v>1307</v>
      </c>
      <c r="F386" s="44" t="s">
        <v>60</v>
      </c>
      <c r="G386" s="51">
        <v>170</v>
      </c>
      <c r="H386" s="43">
        <v>44165</v>
      </c>
      <c r="I386" s="44" t="s">
        <v>1294</v>
      </c>
      <c r="J386" s="43">
        <v>44165</v>
      </c>
      <c r="K386" s="42">
        <v>20.8</v>
      </c>
      <c r="L386" s="42">
        <v>26.9</v>
      </c>
      <c r="M386" s="43" t="s">
        <v>29</v>
      </c>
      <c r="N386" s="44" t="s">
        <v>1304</v>
      </c>
      <c r="O386" s="43">
        <v>44166</v>
      </c>
      <c r="P386" s="42">
        <v>36.299999999999997</v>
      </c>
      <c r="Q386" s="42">
        <v>26.6</v>
      </c>
      <c r="R386" s="46" t="s">
        <v>29</v>
      </c>
      <c r="S386" s="43">
        <v>44166</v>
      </c>
      <c r="T386" s="51">
        <f t="shared" si="16"/>
        <v>3</v>
      </c>
      <c r="U386" s="52" t="str">
        <f t="shared" si="17"/>
        <v>Detectável</v>
      </c>
    </row>
    <row r="387" spans="1:23" ht="25.5" customHeight="1" x14ac:dyDescent="0.2">
      <c r="A387" s="51">
        <v>386</v>
      </c>
      <c r="B387" s="50" t="s">
        <v>1308</v>
      </c>
      <c r="C387" s="51">
        <v>72</v>
      </c>
      <c r="D387" s="51" t="s">
        <v>34</v>
      </c>
      <c r="E387" s="43" t="s">
        <v>1307</v>
      </c>
      <c r="F387" s="44" t="s">
        <v>60</v>
      </c>
      <c r="G387" s="51">
        <v>171</v>
      </c>
      <c r="H387" s="43">
        <v>44165</v>
      </c>
      <c r="I387" s="44" t="s">
        <v>1294</v>
      </c>
      <c r="J387" s="43">
        <v>44165</v>
      </c>
      <c r="K387" s="42" t="s">
        <v>36</v>
      </c>
      <c r="L387" s="42">
        <v>25.8</v>
      </c>
      <c r="M387" s="45" t="s">
        <v>31</v>
      </c>
      <c r="N387" s="44" t="s">
        <v>60</v>
      </c>
      <c r="O387" s="43" t="s">
        <v>60</v>
      </c>
      <c r="P387" s="42" t="s">
        <v>60</v>
      </c>
      <c r="Q387" s="42" t="s">
        <v>60</v>
      </c>
      <c r="R387" s="46" t="s">
        <v>60</v>
      </c>
      <c r="S387" s="43">
        <v>44165</v>
      </c>
      <c r="T387" s="51">
        <f t="shared" si="16"/>
        <v>3</v>
      </c>
      <c r="U387" s="52" t="str">
        <f t="shared" si="17"/>
        <v>Não Detectável</v>
      </c>
    </row>
    <row r="388" spans="1:23" ht="25.5" customHeight="1" x14ac:dyDescent="0.2">
      <c r="A388" s="51">
        <v>387</v>
      </c>
      <c r="B388" s="50" t="s">
        <v>1309</v>
      </c>
      <c r="C388" s="51">
        <v>78</v>
      </c>
      <c r="D388" s="51" t="s">
        <v>25</v>
      </c>
      <c r="E388" s="43" t="s">
        <v>1307</v>
      </c>
      <c r="F388" s="44" t="s">
        <v>60</v>
      </c>
      <c r="G388" s="51">
        <v>171</v>
      </c>
      <c r="H388" s="43">
        <v>44165</v>
      </c>
      <c r="I388" s="44" t="s">
        <v>1294</v>
      </c>
      <c r="J388" s="43">
        <v>44165</v>
      </c>
      <c r="K388" s="42" t="s">
        <v>36</v>
      </c>
      <c r="L388" s="42">
        <v>25.8</v>
      </c>
      <c r="M388" s="45" t="s">
        <v>31</v>
      </c>
      <c r="N388" s="44" t="s">
        <v>60</v>
      </c>
      <c r="O388" s="43" t="s">
        <v>60</v>
      </c>
      <c r="P388" s="42" t="s">
        <v>60</v>
      </c>
      <c r="Q388" s="42" t="s">
        <v>60</v>
      </c>
      <c r="R388" s="46" t="s">
        <v>60</v>
      </c>
      <c r="S388" s="43">
        <v>44165</v>
      </c>
      <c r="T388" s="51">
        <f t="shared" si="16"/>
        <v>3</v>
      </c>
      <c r="U388" s="52" t="str">
        <f t="shared" si="17"/>
        <v>Não Detectável</v>
      </c>
    </row>
    <row r="389" spans="1:23" ht="25.5" customHeight="1" x14ac:dyDescent="0.2">
      <c r="A389" s="51">
        <v>388</v>
      </c>
      <c r="B389" s="50" t="s">
        <v>1310</v>
      </c>
      <c r="C389" s="51">
        <v>68</v>
      </c>
      <c r="D389" s="51" t="s">
        <v>34</v>
      </c>
      <c r="E389" s="43" t="s">
        <v>1307</v>
      </c>
      <c r="F389" s="44" t="s">
        <v>60</v>
      </c>
      <c r="G389" s="51">
        <v>171</v>
      </c>
      <c r="H389" s="43">
        <v>44165</v>
      </c>
      <c r="I389" s="44" t="s">
        <v>1294</v>
      </c>
      <c r="J389" s="43">
        <v>44165</v>
      </c>
      <c r="K389" s="42" t="s">
        <v>36</v>
      </c>
      <c r="L389" s="42">
        <v>25.8</v>
      </c>
      <c r="M389" s="45" t="s">
        <v>31</v>
      </c>
      <c r="N389" s="44" t="s">
        <v>60</v>
      </c>
      <c r="O389" s="43" t="s">
        <v>60</v>
      </c>
      <c r="P389" s="42" t="s">
        <v>60</v>
      </c>
      <c r="Q389" s="42" t="s">
        <v>60</v>
      </c>
      <c r="R389" s="46" t="s">
        <v>60</v>
      </c>
      <c r="S389" s="43">
        <v>44165</v>
      </c>
      <c r="T389" s="51">
        <f t="shared" si="16"/>
        <v>3</v>
      </c>
      <c r="U389" s="52" t="str">
        <f t="shared" si="17"/>
        <v>Não Detectável</v>
      </c>
    </row>
    <row r="390" spans="1:23" ht="25.5" customHeight="1" x14ac:dyDescent="0.2">
      <c r="A390" s="51">
        <v>389</v>
      </c>
      <c r="B390" s="50" t="s">
        <v>1311</v>
      </c>
      <c r="C390" s="51">
        <v>53</v>
      </c>
      <c r="D390" s="51" t="s">
        <v>25</v>
      </c>
      <c r="E390" s="43" t="s">
        <v>1307</v>
      </c>
      <c r="F390" s="44" t="s">
        <v>60</v>
      </c>
      <c r="G390" s="51">
        <v>172</v>
      </c>
      <c r="H390" s="43">
        <v>44165</v>
      </c>
      <c r="I390" s="44" t="s">
        <v>1294</v>
      </c>
      <c r="J390" s="43">
        <v>44165</v>
      </c>
      <c r="K390" s="42">
        <v>24.3</v>
      </c>
      <c r="L390" s="42">
        <v>26.5</v>
      </c>
      <c r="M390" s="43" t="s">
        <v>29</v>
      </c>
      <c r="N390" s="44" t="s">
        <v>1304</v>
      </c>
      <c r="O390" s="43">
        <v>44166</v>
      </c>
      <c r="P390" s="42" t="s">
        <v>36</v>
      </c>
      <c r="Q390" s="42">
        <v>25.6</v>
      </c>
      <c r="R390" s="46" t="s">
        <v>31</v>
      </c>
      <c r="S390" s="43">
        <v>44166</v>
      </c>
      <c r="T390" s="51">
        <f t="shared" si="16"/>
        <v>3</v>
      </c>
      <c r="U390" s="52" t="str">
        <f t="shared" si="17"/>
        <v>Não Detectável</v>
      </c>
    </row>
    <row r="391" spans="1:23" ht="25.5" customHeight="1" x14ac:dyDescent="0.2">
      <c r="A391" s="51">
        <v>390</v>
      </c>
      <c r="B391" s="50" t="s">
        <v>1312</v>
      </c>
      <c r="C391" s="51">
        <v>25</v>
      </c>
      <c r="D391" s="51" t="s">
        <v>34</v>
      </c>
      <c r="E391" s="43" t="s">
        <v>1307</v>
      </c>
      <c r="F391" s="44" t="s">
        <v>60</v>
      </c>
      <c r="G391" s="51">
        <v>172</v>
      </c>
      <c r="H391" s="43">
        <v>44165</v>
      </c>
      <c r="I391" s="44" t="s">
        <v>1294</v>
      </c>
      <c r="J391" s="43">
        <v>44165</v>
      </c>
      <c r="K391" s="42">
        <v>24.3</v>
      </c>
      <c r="L391" s="42">
        <v>26.5</v>
      </c>
      <c r="M391" s="43" t="s">
        <v>29</v>
      </c>
      <c r="N391" s="44" t="s">
        <v>1304</v>
      </c>
      <c r="O391" s="43">
        <v>44166</v>
      </c>
      <c r="P391" s="42" t="s">
        <v>36</v>
      </c>
      <c r="Q391" s="42">
        <v>27.8</v>
      </c>
      <c r="R391" s="46" t="s">
        <v>31</v>
      </c>
      <c r="S391" s="43">
        <v>44166</v>
      </c>
      <c r="T391" s="51">
        <f t="shared" si="16"/>
        <v>3</v>
      </c>
      <c r="U391" s="52" t="str">
        <f t="shared" si="17"/>
        <v>Não Detectável</v>
      </c>
    </row>
    <row r="392" spans="1:23" ht="25.5" customHeight="1" x14ac:dyDescent="0.2">
      <c r="A392" s="51">
        <v>391</v>
      </c>
      <c r="B392" s="50" t="s">
        <v>1313</v>
      </c>
      <c r="C392" s="51">
        <v>37</v>
      </c>
      <c r="D392" s="51" t="s">
        <v>25</v>
      </c>
      <c r="E392" s="43" t="s">
        <v>1307</v>
      </c>
      <c r="F392" s="44" t="s">
        <v>60</v>
      </c>
      <c r="G392" s="51">
        <v>172</v>
      </c>
      <c r="H392" s="43">
        <v>44165</v>
      </c>
      <c r="I392" s="44" t="s">
        <v>1294</v>
      </c>
      <c r="J392" s="43">
        <v>44165</v>
      </c>
      <c r="K392" s="42">
        <v>24.3</v>
      </c>
      <c r="L392" s="42">
        <v>26.5</v>
      </c>
      <c r="M392" s="43" t="s">
        <v>29</v>
      </c>
      <c r="N392" s="44" t="s">
        <v>1304</v>
      </c>
      <c r="O392" s="43">
        <v>44166</v>
      </c>
      <c r="P392" s="42">
        <v>21.8</v>
      </c>
      <c r="Q392" s="42">
        <v>27.3</v>
      </c>
      <c r="R392" s="46" t="s">
        <v>29</v>
      </c>
      <c r="S392" s="43">
        <v>44166</v>
      </c>
      <c r="T392" s="51">
        <f t="shared" ref="T392:T455" si="18">COUNTIF(G:G,G392)</f>
        <v>3</v>
      </c>
      <c r="U392" s="52" t="str">
        <f t="shared" ref="U392:U455" si="19">IF(M392="Não Detectável","Não Detectável",IF(R392="","",R392))</f>
        <v>Detectável</v>
      </c>
    </row>
    <row r="393" spans="1:23" ht="25.5" customHeight="1" x14ac:dyDescent="0.2">
      <c r="A393" s="51">
        <v>392</v>
      </c>
      <c r="B393" s="50" t="s">
        <v>1314</v>
      </c>
      <c r="C393" s="51">
        <v>41</v>
      </c>
      <c r="D393" s="51" t="s">
        <v>34</v>
      </c>
      <c r="E393" s="43" t="s">
        <v>1307</v>
      </c>
      <c r="F393" s="44" t="s">
        <v>60</v>
      </c>
      <c r="G393" s="51">
        <v>173</v>
      </c>
      <c r="H393" s="43">
        <v>44165</v>
      </c>
      <c r="I393" s="44" t="s">
        <v>1294</v>
      </c>
      <c r="J393" s="43">
        <v>44165</v>
      </c>
      <c r="K393" s="42">
        <v>16.899999999999999</v>
      </c>
      <c r="L393" s="42">
        <v>26.7</v>
      </c>
      <c r="M393" s="43" t="s">
        <v>29</v>
      </c>
      <c r="N393" s="44" t="s">
        <v>1304</v>
      </c>
      <c r="O393" s="43">
        <v>44166</v>
      </c>
      <c r="P393" s="42" t="s">
        <v>36</v>
      </c>
      <c r="Q393" s="42">
        <v>27.1</v>
      </c>
      <c r="R393" s="46" t="s">
        <v>31</v>
      </c>
      <c r="S393" s="43">
        <v>44166</v>
      </c>
      <c r="T393" s="51">
        <f t="shared" si="18"/>
        <v>3</v>
      </c>
      <c r="U393" s="52" t="str">
        <f t="shared" si="19"/>
        <v>Não Detectável</v>
      </c>
    </row>
    <row r="394" spans="1:23" ht="25.5" customHeight="1" x14ac:dyDescent="0.2">
      <c r="A394" s="51">
        <v>393</v>
      </c>
      <c r="B394" s="50" t="s">
        <v>1315</v>
      </c>
      <c r="C394" s="51">
        <v>27</v>
      </c>
      <c r="D394" s="51" t="s">
        <v>25</v>
      </c>
      <c r="E394" s="43" t="s">
        <v>1307</v>
      </c>
      <c r="F394" s="44" t="s">
        <v>60</v>
      </c>
      <c r="G394" s="51">
        <v>173</v>
      </c>
      <c r="H394" s="43">
        <v>44165</v>
      </c>
      <c r="I394" s="44" t="s">
        <v>1294</v>
      </c>
      <c r="J394" s="43">
        <v>44165</v>
      </c>
      <c r="K394" s="42">
        <v>16.899999999999999</v>
      </c>
      <c r="L394" s="42">
        <v>26.7</v>
      </c>
      <c r="M394" s="43" t="s">
        <v>29</v>
      </c>
      <c r="N394" s="44" t="s">
        <v>1304</v>
      </c>
      <c r="O394" s="43">
        <v>44166</v>
      </c>
      <c r="P394" s="42" t="s">
        <v>36</v>
      </c>
      <c r="Q394" s="42">
        <v>27.1</v>
      </c>
      <c r="R394" s="46" t="s">
        <v>31</v>
      </c>
      <c r="S394" s="43">
        <v>44166</v>
      </c>
      <c r="T394" s="51">
        <f t="shared" si="18"/>
        <v>3</v>
      </c>
      <c r="U394" s="52" t="str">
        <f t="shared" si="19"/>
        <v>Não Detectável</v>
      </c>
    </row>
    <row r="395" spans="1:23" ht="25.5" customHeight="1" x14ac:dyDescent="0.2">
      <c r="A395" s="51">
        <v>394</v>
      </c>
      <c r="B395" s="50" t="s">
        <v>1316</v>
      </c>
      <c r="C395" s="51">
        <v>31</v>
      </c>
      <c r="D395" s="51" t="s">
        <v>34</v>
      </c>
      <c r="E395" s="43" t="s">
        <v>1307</v>
      </c>
      <c r="F395" s="44" t="s">
        <v>60</v>
      </c>
      <c r="G395" s="51">
        <v>173</v>
      </c>
      <c r="H395" s="43">
        <v>44165</v>
      </c>
      <c r="I395" s="44" t="s">
        <v>1294</v>
      </c>
      <c r="J395" s="43">
        <v>44165</v>
      </c>
      <c r="K395" s="42">
        <v>16.899999999999999</v>
      </c>
      <c r="L395" s="42">
        <v>26.7</v>
      </c>
      <c r="M395" s="43" t="s">
        <v>29</v>
      </c>
      <c r="N395" s="44" t="s">
        <v>1304</v>
      </c>
      <c r="O395" s="43">
        <v>44166</v>
      </c>
      <c r="P395" s="42">
        <v>16.7</v>
      </c>
      <c r="Q395" s="42">
        <v>27.6</v>
      </c>
      <c r="R395" s="46" t="s">
        <v>29</v>
      </c>
      <c r="S395" s="43">
        <v>44166</v>
      </c>
      <c r="T395" s="51">
        <f t="shared" si="18"/>
        <v>3</v>
      </c>
      <c r="U395" s="52" t="str">
        <f t="shared" si="19"/>
        <v>Detectável</v>
      </c>
    </row>
    <row r="396" spans="1:23" ht="25.5" customHeight="1" x14ac:dyDescent="0.2">
      <c r="A396" s="51">
        <v>395</v>
      </c>
      <c r="B396" s="50" t="s">
        <v>1317</v>
      </c>
      <c r="C396" s="51">
        <v>44</v>
      </c>
      <c r="D396" s="51" t="s">
        <v>34</v>
      </c>
      <c r="E396" s="43" t="s">
        <v>1307</v>
      </c>
      <c r="F396" s="44" t="s">
        <v>60</v>
      </c>
      <c r="G396" s="51">
        <v>174</v>
      </c>
      <c r="H396" s="43">
        <v>44165</v>
      </c>
      <c r="I396" s="44" t="s">
        <v>1294</v>
      </c>
      <c r="J396" s="43">
        <v>44165</v>
      </c>
      <c r="K396" s="42">
        <v>19.7</v>
      </c>
      <c r="L396" s="42">
        <v>27.2</v>
      </c>
      <c r="M396" s="43" t="s">
        <v>29</v>
      </c>
      <c r="N396" s="44" t="s">
        <v>1304</v>
      </c>
      <c r="O396" s="43">
        <v>44166</v>
      </c>
      <c r="P396" s="42">
        <v>18</v>
      </c>
      <c r="Q396" s="42">
        <v>28.149000000000001</v>
      </c>
      <c r="R396" s="46" t="s">
        <v>29</v>
      </c>
      <c r="S396" s="43">
        <v>44166</v>
      </c>
      <c r="T396" s="51">
        <f t="shared" si="18"/>
        <v>3</v>
      </c>
      <c r="U396" s="52" t="str">
        <f t="shared" si="19"/>
        <v>Detectável</v>
      </c>
    </row>
    <row r="397" spans="1:23" ht="25.5" customHeight="1" x14ac:dyDescent="0.2">
      <c r="A397" s="51">
        <v>396</v>
      </c>
      <c r="B397" s="50" t="s">
        <v>1318</v>
      </c>
      <c r="C397" s="51">
        <v>43</v>
      </c>
      <c r="D397" s="51" t="s">
        <v>25</v>
      </c>
      <c r="E397" s="43" t="s">
        <v>1307</v>
      </c>
      <c r="F397" s="44" t="s">
        <v>60</v>
      </c>
      <c r="G397" s="51">
        <v>174</v>
      </c>
      <c r="H397" s="43">
        <v>44165</v>
      </c>
      <c r="I397" s="44" t="s">
        <v>1294</v>
      </c>
      <c r="J397" s="43">
        <v>44165</v>
      </c>
      <c r="K397" s="42">
        <v>19.7</v>
      </c>
      <c r="L397" s="42">
        <v>27.2</v>
      </c>
      <c r="M397" s="43" t="s">
        <v>29</v>
      </c>
      <c r="N397" s="44" t="s">
        <v>1304</v>
      </c>
      <c r="O397" s="43">
        <v>44166</v>
      </c>
      <c r="P397" s="42" t="s">
        <v>36</v>
      </c>
      <c r="Q397" s="42">
        <v>27.1</v>
      </c>
      <c r="R397" s="46" t="s">
        <v>31</v>
      </c>
      <c r="S397" s="43">
        <v>44166</v>
      </c>
      <c r="T397" s="51">
        <f t="shared" si="18"/>
        <v>3</v>
      </c>
      <c r="U397" s="52" t="str">
        <f t="shared" si="19"/>
        <v>Não Detectável</v>
      </c>
    </row>
    <row r="398" spans="1:23" ht="25.5" customHeight="1" x14ac:dyDescent="0.2">
      <c r="A398" s="51">
        <v>397</v>
      </c>
      <c r="B398" s="50" t="s">
        <v>1319</v>
      </c>
      <c r="C398" s="51">
        <v>23</v>
      </c>
      <c r="D398" s="51" t="s">
        <v>25</v>
      </c>
      <c r="E398" s="43" t="s">
        <v>1307</v>
      </c>
      <c r="F398" s="44" t="s">
        <v>60</v>
      </c>
      <c r="G398" s="51">
        <v>174</v>
      </c>
      <c r="H398" s="43">
        <v>44165</v>
      </c>
      <c r="I398" s="44" t="s">
        <v>1294</v>
      </c>
      <c r="J398" s="43">
        <v>44165</v>
      </c>
      <c r="K398" s="42">
        <v>19.7</v>
      </c>
      <c r="L398" s="42">
        <v>27.2</v>
      </c>
      <c r="M398" s="43" t="s">
        <v>29</v>
      </c>
      <c r="N398" s="44" t="s">
        <v>1304</v>
      </c>
      <c r="O398" s="43">
        <v>44166</v>
      </c>
      <c r="P398" s="42" t="s">
        <v>36</v>
      </c>
      <c r="Q398" s="42">
        <v>27.9</v>
      </c>
      <c r="R398" s="46" t="s">
        <v>31</v>
      </c>
      <c r="S398" s="43">
        <v>44166</v>
      </c>
      <c r="T398" s="51">
        <f t="shared" si="18"/>
        <v>3</v>
      </c>
      <c r="U398" s="52" t="str">
        <f t="shared" si="19"/>
        <v>Não Detectável</v>
      </c>
    </row>
    <row r="399" spans="1:23" ht="25.5" customHeight="1" x14ac:dyDescent="0.2">
      <c r="A399" s="51">
        <v>398</v>
      </c>
      <c r="B399" s="50" t="s">
        <v>1320</v>
      </c>
      <c r="C399" s="51">
        <v>32</v>
      </c>
      <c r="D399" s="51" t="s">
        <v>1321</v>
      </c>
      <c r="E399" s="43" t="s">
        <v>1307</v>
      </c>
      <c r="F399" s="44" t="s">
        <v>60</v>
      </c>
      <c r="G399" s="51">
        <v>175</v>
      </c>
      <c r="H399" s="43">
        <v>44165</v>
      </c>
      <c r="I399" s="44" t="s">
        <v>1294</v>
      </c>
      <c r="J399" s="43">
        <v>44165</v>
      </c>
      <c r="K399" s="42">
        <v>18.600000000000001</v>
      </c>
      <c r="L399" s="42">
        <v>26.6</v>
      </c>
      <c r="M399" s="43" t="s">
        <v>29</v>
      </c>
      <c r="N399" s="44" t="s">
        <v>1304</v>
      </c>
      <c r="O399" s="43">
        <v>44166</v>
      </c>
      <c r="P399" s="42" t="s">
        <v>36</v>
      </c>
      <c r="Q399" s="42">
        <v>26</v>
      </c>
      <c r="R399" s="46" t="s">
        <v>31</v>
      </c>
      <c r="S399" s="43">
        <v>44166</v>
      </c>
      <c r="T399" s="51">
        <f t="shared" si="18"/>
        <v>3</v>
      </c>
      <c r="U399" s="52" t="str">
        <f t="shared" si="19"/>
        <v>Não Detectável</v>
      </c>
    </row>
    <row r="400" spans="1:23" ht="25.5" customHeight="1" x14ac:dyDescent="0.2">
      <c r="A400" s="51">
        <v>399</v>
      </c>
      <c r="B400" s="50" t="s">
        <v>1322</v>
      </c>
      <c r="C400" s="51">
        <v>25</v>
      </c>
      <c r="D400" s="51" t="s">
        <v>34</v>
      </c>
      <c r="E400" s="43" t="s">
        <v>1307</v>
      </c>
      <c r="F400" s="44" t="s">
        <v>60</v>
      </c>
      <c r="G400" s="51">
        <v>175</v>
      </c>
      <c r="H400" s="43">
        <v>44165</v>
      </c>
      <c r="I400" s="44" t="s">
        <v>1294</v>
      </c>
      <c r="J400" s="43">
        <v>44165</v>
      </c>
      <c r="K400" s="42">
        <v>18.600000000000001</v>
      </c>
      <c r="L400" s="42">
        <v>26.6</v>
      </c>
      <c r="M400" s="43" t="s">
        <v>29</v>
      </c>
      <c r="N400" s="44" t="s">
        <v>1304</v>
      </c>
      <c r="O400" s="43">
        <v>44166</v>
      </c>
      <c r="P400" s="42">
        <v>16.399999999999999</v>
      </c>
      <c r="Q400" s="42">
        <v>27.5</v>
      </c>
      <c r="R400" s="46" t="s">
        <v>29</v>
      </c>
      <c r="S400" s="43">
        <v>44166</v>
      </c>
      <c r="T400" s="51">
        <f t="shared" si="18"/>
        <v>3</v>
      </c>
      <c r="U400" s="52" t="str">
        <f t="shared" si="19"/>
        <v>Detectável</v>
      </c>
    </row>
    <row r="401" spans="1:21" ht="25.5" customHeight="1" x14ac:dyDescent="0.2">
      <c r="A401" s="51">
        <v>400</v>
      </c>
      <c r="B401" s="50" t="s">
        <v>1323</v>
      </c>
      <c r="C401" s="51">
        <v>22</v>
      </c>
      <c r="D401" s="51" t="s">
        <v>34</v>
      </c>
      <c r="E401" s="43" t="s">
        <v>1307</v>
      </c>
      <c r="F401" s="44" t="s">
        <v>60</v>
      </c>
      <c r="G401" s="51">
        <v>175</v>
      </c>
      <c r="H401" s="43">
        <v>44165</v>
      </c>
      <c r="I401" s="44" t="s">
        <v>1294</v>
      </c>
      <c r="J401" s="43">
        <v>44165</v>
      </c>
      <c r="K401" s="42">
        <v>18.600000000000001</v>
      </c>
      <c r="L401" s="42">
        <v>26.6</v>
      </c>
      <c r="M401" s="43" t="s">
        <v>29</v>
      </c>
      <c r="N401" s="44" t="s">
        <v>1304</v>
      </c>
      <c r="O401" s="43">
        <v>44166</v>
      </c>
      <c r="P401" s="42">
        <v>23.4</v>
      </c>
      <c r="Q401" s="42">
        <v>27.5</v>
      </c>
      <c r="R401" s="46" t="s">
        <v>29</v>
      </c>
      <c r="S401" s="43">
        <v>44166</v>
      </c>
      <c r="T401" s="51">
        <f t="shared" si="18"/>
        <v>3</v>
      </c>
      <c r="U401" s="52" t="str">
        <f t="shared" si="19"/>
        <v>Detectável</v>
      </c>
    </row>
    <row r="402" spans="1:21" ht="25.5" customHeight="1" x14ac:dyDescent="0.2">
      <c r="A402" s="51">
        <v>401</v>
      </c>
      <c r="B402" s="50" t="s">
        <v>1324</v>
      </c>
      <c r="C402" s="51">
        <v>57</v>
      </c>
      <c r="D402" s="51" t="s">
        <v>25</v>
      </c>
      <c r="E402" s="43" t="s">
        <v>1307</v>
      </c>
      <c r="F402" s="44" t="s">
        <v>60</v>
      </c>
      <c r="G402" s="51">
        <v>176</v>
      </c>
      <c r="H402" s="43">
        <v>44165</v>
      </c>
      <c r="I402" s="44" t="s">
        <v>1304</v>
      </c>
      <c r="J402" s="43">
        <v>44166</v>
      </c>
      <c r="K402" s="42" t="s">
        <v>36</v>
      </c>
      <c r="L402" s="42">
        <v>27</v>
      </c>
      <c r="M402" s="45" t="s">
        <v>31</v>
      </c>
      <c r="N402" s="44" t="s">
        <v>60</v>
      </c>
      <c r="O402" s="43" t="s">
        <v>60</v>
      </c>
      <c r="P402" s="42" t="s">
        <v>60</v>
      </c>
      <c r="Q402" s="42" t="s">
        <v>60</v>
      </c>
      <c r="R402" s="46" t="s">
        <v>60</v>
      </c>
      <c r="S402" s="43">
        <v>44166</v>
      </c>
      <c r="T402" s="51">
        <f t="shared" si="18"/>
        <v>3</v>
      </c>
      <c r="U402" s="52" t="str">
        <f t="shared" si="19"/>
        <v>Não Detectável</v>
      </c>
    </row>
    <row r="403" spans="1:21" ht="25.5" customHeight="1" x14ac:dyDescent="0.2">
      <c r="A403" s="51">
        <v>402</v>
      </c>
      <c r="B403" s="50" t="s">
        <v>1325</v>
      </c>
      <c r="C403" s="51">
        <v>48</v>
      </c>
      <c r="D403" s="51" t="s">
        <v>34</v>
      </c>
      <c r="E403" s="43" t="s">
        <v>1307</v>
      </c>
      <c r="F403" s="44" t="s">
        <v>60</v>
      </c>
      <c r="G403" s="51">
        <v>176</v>
      </c>
      <c r="H403" s="43">
        <v>44165</v>
      </c>
      <c r="I403" s="44" t="s">
        <v>1304</v>
      </c>
      <c r="J403" s="43">
        <v>44166</v>
      </c>
      <c r="K403" s="42" t="s">
        <v>36</v>
      </c>
      <c r="L403" s="42">
        <v>27</v>
      </c>
      <c r="M403" s="45" t="s">
        <v>31</v>
      </c>
      <c r="N403" s="44" t="s">
        <v>60</v>
      </c>
      <c r="O403" s="43" t="s">
        <v>60</v>
      </c>
      <c r="P403" s="42" t="s">
        <v>60</v>
      </c>
      <c r="Q403" s="42" t="s">
        <v>60</v>
      </c>
      <c r="R403" s="46" t="s">
        <v>60</v>
      </c>
      <c r="S403" s="43">
        <v>44166</v>
      </c>
      <c r="T403" s="51">
        <f t="shared" si="18"/>
        <v>3</v>
      </c>
      <c r="U403" s="52" t="str">
        <f t="shared" si="19"/>
        <v>Não Detectável</v>
      </c>
    </row>
    <row r="404" spans="1:21" ht="25.5" customHeight="1" x14ac:dyDescent="0.2">
      <c r="A404" s="51">
        <v>403</v>
      </c>
      <c r="B404" s="50" t="s">
        <v>1326</v>
      </c>
      <c r="C404" s="51">
        <v>24</v>
      </c>
      <c r="D404" s="51" t="s">
        <v>25</v>
      </c>
      <c r="E404" s="43" t="s">
        <v>1327</v>
      </c>
      <c r="F404" s="44" t="s">
        <v>60</v>
      </c>
      <c r="G404" s="51">
        <v>176</v>
      </c>
      <c r="H404" s="43">
        <v>44166</v>
      </c>
      <c r="I404" s="44" t="s">
        <v>1304</v>
      </c>
      <c r="J404" s="43">
        <v>44166</v>
      </c>
      <c r="K404" s="42" t="s">
        <v>36</v>
      </c>
      <c r="L404" s="42">
        <v>27</v>
      </c>
      <c r="M404" s="45" t="s">
        <v>31</v>
      </c>
      <c r="N404" s="44" t="s">
        <v>60</v>
      </c>
      <c r="O404" s="43" t="s">
        <v>60</v>
      </c>
      <c r="P404" s="42" t="s">
        <v>60</v>
      </c>
      <c r="Q404" s="42" t="s">
        <v>60</v>
      </c>
      <c r="R404" s="46" t="s">
        <v>60</v>
      </c>
      <c r="S404" s="43">
        <v>44166</v>
      </c>
      <c r="T404" s="51">
        <f t="shared" si="18"/>
        <v>3</v>
      </c>
      <c r="U404" s="52" t="str">
        <f t="shared" si="19"/>
        <v>Não Detectável</v>
      </c>
    </row>
    <row r="405" spans="1:21" ht="25.5" customHeight="1" x14ac:dyDescent="0.2">
      <c r="A405" s="51">
        <v>404</v>
      </c>
      <c r="B405" s="50" t="s">
        <v>1328</v>
      </c>
      <c r="C405" s="51">
        <v>42</v>
      </c>
      <c r="D405" s="51" t="s">
        <v>25</v>
      </c>
      <c r="E405" s="43" t="s">
        <v>1327</v>
      </c>
      <c r="F405" s="44" t="s">
        <v>60</v>
      </c>
      <c r="G405" s="51">
        <v>177</v>
      </c>
      <c r="H405" s="43">
        <v>44166</v>
      </c>
      <c r="I405" s="44" t="s">
        <v>1304</v>
      </c>
      <c r="J405" s="43">
        <v>44166</v>
      </c>
      <c r="K405" s="42">
        <v>37.5</v>
      </c>
      <c r="L405" s="42">
        <v>26.6</v>
      </c>
      <c r="M405" s="43" t="s">
        <v>29</v>
      </c>
      <c r="N405" s="44" t="s">
        <v>1329</v>
      </c>
      <c r="O405" s="43">
        <v>44167</v>
      </c>
      <c r="P405" s="42" t="s">
        <v>36</v>
      </c>
      <c r="Q405" s="42">
        <v>24.6</v>
      </c>
      <c r="R405" s="46" t="s">
        <v>31</v>
      </c>
      <c r="S405" s="43">
        <v>44167</v>
      </c>
      <c r="T405" s="51">
        <f t="shared" si="18"/>
        <v>3</v>
      </c>
      <c r="U405" s="52" t="str">
        <f t="shared" si="19"/>
        <v>Não Detectável</v>
      </c>
    </row>
    <row r="406" spans="1:21" ht="25.5" customHeight="1" x14ac:dyDescent="0.2">
      <c r="A406" s="51">
        <v>405</v>
      </c>
      <c r="B406" s="50" t="s">
        <v>1330</v>
      </c>
      <c r="C406" s="51">
        <v>34</v>
      </c>
      <c r="D406" s="51" t="s">
        <v>34</v>
      </c>
      <c r="E406" s="43" t="s">
        <v>1327</v>
      </c>
      <c r="F406" s="44" t="s">
        <v>60</v>
      </c>
      <c r="G406" s="51">
        <v>177</v>
      </c>
      <c r="H406" s="43">
        <v>44166</v>
      </c>
      <c r="I406" s="44" t="s">
        <v>1304</v>
      </c>
      <c r="J406" s="43">
        <v>44166</v>
      </c>
      <c r="K406" s="42">
        <v>37.5</v>
      </c>
      <c r="L406" s="42">
        <v>26.6</v>
      </c>
      <c r="M406" s="43" t="s">
        <v>29</v>
      </c>
      <c r="N406" s="44" t="s">
        <v>1329</v>
      </c>
      <c r="O406" s="43">
        <v>44167</v>
      </c>
      <c r="P406" s="42" t="s">
        <v>36</v>
      </c>
      <c r="Q406" s="42">
        <v>27.6</v>
      </c>
      <c r="R406" s="46" t="s">
        <v>31</v>
      </c>
      <c r="S406" s="43">
        <v>44167</v>
      </c>
      <c r="T406" s="51">
        <f t="shared" si="18"/>
        <v>3</v>
      </c>
      <c r="U406" s="52" t="str">
        <f t="shared" si="19"/>
        <v>Não Detectável</v>
      </c>
    </row>
    <row r="407" spans="1:21" ht="25.5" customHeight="1" x14ac:dyDescent="0.2">
      <c r="A407" s="51">
        <v>406</v>
      </c>
      <c r="B407" s="50" t="s">
        <v>1331</v>
      </c>
      <c r="C407" s="51">
        <v>35</v>
      </c>
      <c r="D407" s="51" t="s">
        <v>34</v>
      </c>
      <c r="E407" s="43" t="s">
        <v>1327</v>
      </c>
      <c r="F407" s="44" t="s">
        <v>60</v>
      </c>
      <c r="G407" s="51">
        <v>177</v>
      </c>
      <c r="H407" s="43">
        <v>44166</v>
      </c>
      <c r="I407" s="44" t="s">
        <v>1304</v>
      </c>
      <c r="J407" s="43">
        <v>44166</v>
      </c>
      <c r="K407" s="42">
        <v>37.5</v>
      </c>
      <c r="L407" s="42">
        <v>26.6</v>
      </c>
      <c r="M407" s="43" t="s">
        <v>29</v>
      </c>
      <c r="N407" s="44" t="s">
        <v>1329</v>
      </c>
      <c r="O407" s="43">
        <v>44167</v>
      </c>
      <c r="P407" s="42">
        <v>34.799999999999997</v>
      </c>
      <c r="Q407" s="42">
        <v>26.9</v>
      </c>
      <c r="R407" s="46" t="s">
        <v>29</v>
      </c>
      <c r="S407" s="43">
        <v>44167</v>
      </c>
      <c r="T407" s="51">
        <f t="shared" si="18"/>
        <v>3</v>
      </c>
      <c r="U407" s="52" t="str">
        <f t="shared" si="19"/>
        <v>Detectável</v>
      </c>
    </row>
    <row r="408" spans="1:21" ht="25.5" customHeight="1" x14ac:dyDescent="0.2">
      <c r="A408" s="51">
        <v>407</v>
      </c>
      <c r="B408" s="50" t="s">
        <v>1332</v>
      </c>
      <c r="C408" s="51">
        <v>39</v>
      </c>
      <c r="D408" s="51" t="s">
        <v>25</v>
      </c>
      <c r="E408" s="43" t="s">
        <v>1327</v>
      </c>
      <c r="F408" s="44" t="s">
        <v>60</v>
      </c>
      <c r="G408" s="51">
        <v>178</v>
      </c>
      <c r="H408" s="43">
        <v>44166</v>
      </c>
      <c r="I408" s="44" t="s">
        <v>1304</v>
      </c>
      <c r="J408" s="43">
        <v>44166</v>
      </c>
      <c r="K408" s="42" t="s">
        <v>36</v>
      </c>
      <c r="L408" s="42">
        <v>26.7</v>
      </c>
      <c r="M408" s="45" t="s">
        <v>31</v>
      </c>
      <c r="N408" s="44" t="s">
        <v>60</v>
      </c>
      <c r="O408" s="43" t="s">
        <v>60</v>
      </c>
      <c r="P408" s="42" t="s">
        <v>60</v>
      </c>
      <c r="Q408" s="42" t="s">
        <v>60</v>
      </c>
      <c r="R408" s="46" t="s">
        <v>60</v>
      </c>
      <c r="S408" s="43">
        <v>44166</v>
      </c>
      <c r="T408" s="51">
        <f t="shared" si="18"/>
        <v>3</v>
      </c>
      <c r="U408" s="52" t="str">
        <f t="shared" si="19"/>
        <v>Não Detectável</v>
      </c>
    </row>
    <row r="409" spans="1:21" ht="25.5" customHeight="1" x14ac:dyDescent="0.2">
      <c r="A409" s="51">
        <v>408</v>
      </c>
      <c r="B409" s="50" t="s">
        <v>1333</v>
      </c>
      <c r="C409" s="51">
        <v>51</v>
      </c>
      <c r="D409" s="51" t="s">
        <v>34</v>
      </c>
      <c r="E409" s="43" t="s">
        <v>1327</v>
      </c>
      <c r="F409" s="44" t="s">
        <v>60</v>
      </c>
      <c r="G409" s="51">
        <v>178</v>
      </c>
      <c r="H409" s="43">
        <v>44166</v>
      </c>
      <c r="I409" s="44" t="s">
        <v>1304</v>
      </c>
      <c r="J409" s="43">
        <v>44166</v>
      </c>
      <c r="K409" s="42" t="s">
        <v>36</v>
      </c>
      <c r="L409" s="42">
        <v>26.7</v>
      </c>
      <c r="M409" s="45" t="s">
        <v>31</v>
      </c>
      <c r="N409" s="44" t="s">
        <v>60</v>
      </c>
      <c r="O409" s="43" t="s">
        <v>60</v>
      </c>
      <c r="P409" s="42" t="s">
        <v>60</v>
      </c>
      <c r="Q409" s="42" t="s">
        <v>60</v>
      </c>
      <c r="R409" s="46" t="s">
        <v>60</v>
      </c>
      <c r="S409" s="43">
        <v>44166</v>
      </c>
      <c r="T409" s="51">
        <f t="shared" si="18"/>
        <v>3</v>
      </c>
      <c r="U409" s="52" t="str">
        <f t="shared" si="19"/>
        <v>Não Detectável</v>
      </c>
    </row>
    <row r="410" spans="1:21" ht="25.5" customHeight="1" x14ac:dyDescent="0.2">
      <c r="A410" s="51">
        <v>409</v>
      </c>
      <c r="B410" s="50" t="s">
        <v>1334</v>
      </c>
      <c r="C410" s="51">
        <v>49</v>
      </c>
      <c r="D410" s="51" t="s">
        <v>34</v>
      </c>
      <c r="E410" s="43" t="s">
        <v>1327</v>
      </c>
      <c r="F410" s="44" t="s">
        <v>60</v>
      </c>
      <c r="G410" s="51">
        <v>178</v>
      </c>
      <c r="H410" s="43">
        <v>44166</v>
      </c>
      <c r="I410" s="44" t="s">
        <v>1304</v>
      </c>
      <c r="J410" s="43">
        <v>44166</v>
      </c>
      <c r="K410" s="42" t="s">
        <v>36</v>
      </c>
      <c r="L410" s="42">
        <v>26.7</v>
      </c>
      <c r="M410" s="45" t="s">
        <v>31</v>
      </c>
      <c r="N410" s="44" t="s">
        <v>60</v>
      </c>
      <c r="O410" s="43" t="s">
        <v>60</v>
      </c>
      <c r="P410" s="42" t="s">
        <v>60</v>
      </c>
      <c r="Q410" s="42" t="s">
        <v>60</v>
      </c>
      <c r="R410" s="46" t="s">
        <v>60</v>
      </c>
      <c r="S410" s="43">
        <v>44166</v>
      </c>
      <c r="T410" s="51">
        <f t="shared" si="18"/>
        <v>3</v>
      </c>
      <c r="U410" s="52" t="str">
        <f t="shared" si="19"/>
        <v>Não Detectável</v>
      </c>
    </row>
    <row r="411" spans="1:21" ht="25.5" customHeight="1" x14ac:dyDescent="0.2">
      <c r="A411" s="51">
        <v>410</v>
      </c>
      <c r="B411" s="50" t="s">
        <v>1335</v>
      </c>
      <c r="C411" s="51">
        <v>44</v>
      </c>
      <c r="D411" s="51" t="s">
        <v>34</v>
      </c>
      <c r="E411" s="43" t="s">
        <v>1327</v>
      </c>
      <c r="F411" s="44" t="s">
        <v>60</v>
      </c>
      <c r="G411" s="51">
        <v>179</v>
      </c>
      <c r="H411" s="43">
        <v>44166</v>
      </c>
      <c r="I411" s="44" t="s">
        <v>1304</v>
      </c>
      <c r="J411" s="43">
        <v>44166</v>
      </c>
      <c r="K411" s="42">
        <v>19.8</v>
      </c>
      <c r="L411" s="42">
        <v>26.7</v>
      </c>
      <c r="M411" s="43" t="s">
        <v>29</v>
      </c>
      <c r="N411" s="44" t="s">
        <v>1329</v>
      </c>
      <c r="O411" s="43">
        <v>44167</v>
      </c>
      <c r="P411" s="42" t="s">
        <v>36</v>
      </c>
      <c r="Q411" s="42">
        <v>26</v>
      </c>
      <c r="R411" s="46" t="s">
        <v>31</v>
      </c>
      <c r="S411" s="43">
        <v>44167</v>
      </c>
      <c r="T411" s="51">
        <f t="shared" si="18"/>
        <v>3</v>
      </c>
      <c r="U411" s="52" t="str">
        <f t="shared" si="19"/>
        <v>Não Detectável</v>
      </c>
    </row>
    <row r="412" spans="1:21" ht="25.5" customHeight="1" x14ac:dyDescent="0.2">
      <c r="A412" s="51">
        <v>411</v>
      </c>
      <c r="B412" s="50" t="s">
        <v>1336</v>
      </c>
      <c r="C412" s="51">
        <v>41</v>
      </c>
      <c r="D412" s="51" t="s">
        <v>34</v>
      </c>
      <c r="E412" s="43" t="s">
        <v>1327</v>
      </c>
      <c r="F412" s="44" t="s">
        <v>60</v>
      </c>
      <c r="G412" s="51">
        <v>179</v>
      </c>
      <c r="H412" s="43">
        <v>44166</v>
      </c>
      <c r="I412" s="44" t="s">
        <v>1304</v>
      </c>
      <c r="J412" s="43">
        <v>44166</v>
      </c>
      <c r="K412" s="42">
        <v>19.8</v>
      </c>
      <c r="L412" s="42">
        <v>26.7</v>
      </c>
      <c r="M412" s="43" t="s">
        <v>29</v>
      </c>
      <c r="N412" s="44" t="s">
        <v>1329</v>
      </c>
      <c r="O412" s="43">
        <v>44183</v>
      </c>
      <c r="P412" s="42">
        <v>18.5</v>
      </c>
      <c r="Q412" s="42">
        <v>27.6</v>
      </c>
      <c r="R412" s="46" t="s">
        <v>29</v>
      </c>
      <c r="S412" s="43">
        <v>44167</v>
      </c>
      <c r="T412" s="51">
        <f t="shared" si="18"/>
        <v>3</v>
      </c>
      <c r="U412" s="52" t="str">
        <f t="shared" si="19"/>
        <v>Detectável</v>
      </c>
    </row>
    <row r="413" spans="1:21" ht="25.5" customHeight="1" x14ac:dyDescent="0.2">
      <c r="A413" s="51">
        <v>412</v>
      </c>
      <c r="B413" s="50" t="s">
        <v>1337</v>
      </c>
      <c r="C413" s="51">
        <v>48</v>
      </c>
      <c r="D413" s="51" t="s">
        <v>34</v>
      </c>
      <c r="E413" s="43" t="s">
        <v>1327</v>
      </c>
      <c r="F413" s="44" t="s">
        <v>60</v>
      </c>
      <c r="G413" s="51">
        <v>179</v>
      </c>
      <c r="H413" s="43">
        <v>44166</v>
      </c>
      <c r="I413" s="44" t="s">
        <v>1304</v>
      </c>
      <c r="J413" s="43">
        <v>44166</v>
      </c>
      <c r="K413" s="42">
        <v>19.8</v>
      </c>
      <c r="L413" s="42">
        <v>26.7</v>
      </c>
      <c r="M413" s="43" t="s">
        <v>29</v>
      </c>
      <c r="N413" s="44" t="s">
        <v>1329</v>
      </c>
      <c r="O413" s="43">
        <v>44167</v>
      </c>
      <c r="P413" s="42" t="s">
        <v>36</v>
      </c>
      <c r="Q413" s="42">
        <v>26.3</v>
      </c>
      <c r="R413" s="46" t="s">
        <v>31</v>
      </c>
      <c r="S413" s="43">
        <v>44167</v>
      </c>
      <c r="T413" s="51">
        <f t="shared" si="18"/>
        <v>3</v>
      </c>
      <c r="U413" s="52" t="str">
        <f t="shared" si="19"/>
        <v>Não Detectável</v>
      </c>
    </row>
    <row r="414" spans="1:21" ht="25.5" customHeight="1" x14ac:dyDescent="0.2">
      <c r="A414" s="51">
        <v>413</v>
      </c>
      <c r="B414" s="50" t="s">
        <v>1338</v>
      </c>
      <c r="C414" s="51">
        <v>35</v>
      </c>
      <c r="D414" s="51" t="s">
        <v>34</v>
      </c>
      <c r="E414" s="43" t="s">
        <v>1327</v>
      </c>
      <c r="F414" s="44" t="s">
        <v>60</v>
      </c>
      <c r="G414" s="51">
        <v>180</v>
      </c>
      <c r="H414" s="43">
        <v>44166</v>
      </c>
      <c r="I414" s="44" t="s">
        <v>1304</v>
      </c>
      <c r="J414" s="43">
        <v>44166</v>
      </c>
      <c r="K414" s="42" t="s">
        <v>36</v>
      </c>
      <c r="L414" s="42">
        <v>26.4</v>
      </c>
      <c r="M414" s="45" t="s">
        <v>31</v>
      </c>
      <c r="N414" s="44" t="s">
        <v>60</v>
      </c>
      <c r="O414" s="43" t="s">
        <v>60</v>
      </c>
      <c r="P414" s="42" t="s">
        <v>60</v>
      </c>
      <c r="Q414" s="42" t="s">
        <v>60</v>
      </c>
      <c r="R414" s="46" t="s">
        <v>60</v>
      </c>
      <c r="S414" s="43">
        <v>44166</v>
      </c>
      <c r="T414" s="51">
        <f t="shared" si="18"/>
        <v>3</v>
      </c>
      <c r="U414" s="52" t="str">
        <f t="shared" si="19"/>
        <v>Não Detectável</v>
      </c>
    </row>
    <row r="415" spans="1:21" ht="25.5" customHeight="1" x14ac:dyDescent="0.2">
      <c r="A415" s="51">
        <v>414</v>
      </c>
      <c r="B415" s="50" t="s">
        <v>1339</v>
      </c>
      <c r="C415" s="51">
        <v>45</v>
      </c>
      <c r="D415" s="51" t="s">
        <v>25</v>
      </c>
      <c r="E415" s="43" t="s">
        <v>1327</v>
      </c>
      <c r="F415" s="44" t="s">
        <v>60</v>
      </c>
      <c r="G415" s="51">
        <v>180</v>
      </c>
      <c r="H415" s="43">
        <v>44166</v>
      </c>
      <c r="I415" s="44" t="s">
        <v>1304</v>
      </c>
      <c r="J415" s="43">
        <v>44166</v>
      </c>
      <c r="K415" s="42" t="s">
        <v>36</v>
      </c>
      <c r="L415" s="42">
        <v>26.4</v>
      </c>
      <c r="M415" s="45" t="s">
        <v>31</v>
      </c>
      <c r="N415" s="44" t="s">
        <v>60</v>
      </c>
      <c r="O415" s="43" t="s">
        <v>60</v>
      </c>
      <c r="P415" s="42" t="s">
        <v>60</v>
      </c>
      <c r="Q415" s="42" t="s">
        <v>60</v>
      </c>
      <c r="R415" s="46" t="s">
        <v>60</v>
      </c>
      <c r="S415" s="43">
        <v>44166</v>
      </c>
      <c r="T415" s="51">
        <f t="shared" si="18"/>
        <v>3</v>
      </c>
      <c r="U415" s="52" t="str">
        <f t="shared" si="19"/>
        <v>Não Detectável</v>
      </c>
    </row>
    <row r="416" spans="1:21" ht="25.5" customHeight="1" x14ac:dyDescent="0.2">
      <c r="A416" s="51">
        <v>415</v>
      </c>
      <c r="B416" s="50" t="s">
        <v>1340</v>
      </c>
      <c r="C416" s="51">
        <v>62</v>
      </c>
      <c r="D416" s="51" t="s">
        <v>25</v>
      </c>
      <c r="E416" s="43" t="s">
        <v>1327</v>
      </c>
      <c r="F416" s="44" t="s">
        <v>60</v>
      </c>
      <c r="G416" s="51">
        <v>180</v>
      </c>
      <c r="H416" s="43">
        <v>44166</v>
      </c>
      <c r="I416" s="44" t="s">
        <v>1304</v>
      </c>
      <c r="J416" s="43">
        <v>44166</v>
      </c>
      <c r="K416" s="42" t="s">
        <v>36</v>
      </c>
      <c r="L416" s="42">
        <v>26.4</v>
      </c>
      <c r="M416" s="45" t="s">
        <v>31</v>
      </c>
      <c r="N416" s="44" t="s">
        <v>60</v>
      </c>
      <c r="O416" s="43" t="s">
        <v>60</v>
      </c>
      <c r="P416" s="42" t="s">
        <v>60</v>
      </c>
      <c r="Q416" s="42" t="s">
        <v>60</v>
      </c>
      <c r="R416" s="46" t="s">
        <v>60</v>
      </c>
      <c r="S416" s="43">
        <v>44166</v>
      </c>
      <c r="T416" s="51">
        <f t="shared" si="18"/>
        <v>3</v>
      </c>
      <c r="U416" s="52" t="str">
        <f t="shared" si="19"/>
        <v>Não Detectável</v>
      </c>
    </row>
    <row r="417" spans="1:21" ht="25.5" customHeight="1" x14ac:dyDescent="0.2">
      <c r="A417" s="51">
        <v>416</v>
      </c>
      <c r="B417" s="50" t="s">
        <v>1341</v>
      </c>
      <c r="C417" s="51">
        <v>33</v>
      </c>
      <c r="D417" s="51" t="s">
        <v>34</v>
      </c>
      <c r="E417" s="43" t="s">
        <v>1327</v>
      </c>
      <c r="F417" s="44" t="s">
        <v>60</v>
      </c>
      <c r="G417" s="51">
        <v>181</v>
      </c>
      <c r="H417" s="43">
        <v>44166</v>
      </c>
      <c r="I417" s="44" t="s">
        <v>1304</v>
      </c>
      <c r="J417" s="43">
        <v>44166</v>
      </c>
      <c r="K417" s="42">
        <v>23</v>
      </c>
      <c r="L417" s="42">
        <v>27</v>
      </c>
      <c r="M417" s="43" t="s">
        <v>29</v>
      </c>
      <c r="N417" s="44" t="s">
        <v>1329</v>
      </c>
      <c r="O417" s="43">
        <v>44167</v>
      </c>
      <c r="P417" s="42" t="s">
        <v>36</v>
      </c>
      <c r="Q417" s="42">
        <v>27.7</v>
      </c>
      <c r="R417" s="46" t="s">
        <v>31</v>
      </c>
      <c r="S417" s="43">
        <v>44167</v>
      </c>
      <c r="T417" s="51">
        <f t="shared" si="18"/>
        <v>3</v>
      </c>
      <c r="U417" s="52" t="str">
        <f t="shared" si="19"/>
        <v>Não Detectável</v>
      </c>
    </row>
    <row r="418" spans="1:21" ht="25.5" customHeight="1" x14ac:dyDescent="0.2">
      <c r="A418" s="51">
        <v>417</v>
      </c>
      <c r="B418" s="50" t="s">
        <v>1342</v>
      </c>
      <c r="C418" s="51">
        <v>46</v>
      </c>
      <c r="D418" s="51" t="s">
        <v>34</v>
      </c>
      <c r="E418" s="43" t="s">
        <v>1327</v>
      </c>
      <c r="F418" s="44" t="s">
        <v>60</v>
      </c>
      <c r="G418" s="51">
        <v>181</v>
      </c>
      <c r="H418" s="43">
        <v>44166</v>
      </c>
      <c r="I418" s="44" t="s">
        <v>1304</v>
      </c>
      <c r="J418" s="43">
        <v>44166</v>
      </c>
      <c r="K418" s="42">
        <v>23</v>
      </c>
      <c r="L418" s="42">
        <v>27</v>
      </c>
      <c r="M418" s="43" t="s">
        <v>29</v>
      </c>
      <c r="N418" s="44" t="s">
        <v>1329</v>
      </c>
      <c r="O418" s="43">
        <v>44167</v>
      </c>
      <c r="P418" s="42">
        <v>23.1</v>
      </c>
      <c r="Q418" s="42">
        <v>26.5</v>
      </c>
      <c r="R418" s="46" t="s">
        <v>29</v>
      </c>
      <c r="S418" s="43">
        <v>44167</v>
      </c>
      <c r="T418" s="51">
        <f t="shared" si="18"/>
        <v>3</v>
      </c>
      <c r="U418" s="52" t="str">
        <f t="shared" si="19"/>
        <v>Detectável</v>
      </c>
    </row>
    <row r="419" spans="1:21" ht="25.5" customHeight="1" x14ac:dyDescent="0.2">
      <c r="A419" s="51">
        <v>418</v>
      </c>
      <c r="B419" s="50" t="s">
        <v>1343</v>
      </c>
      <c r="C419" s="51">
        <v>43</v>
      </c>
      <c r="D419" s="51" t="s">
        <v>25</v>
      </c>
      <c r="E419" s="43" t="s">
        <v>1327</v>
      </c>
      <c r="F419" s="44" t="s">
        <v>60</v>
      </c>
      <c r="G419" s="51">
        <v>181</v>
      </c>
      <c r="H419" s="43">
        <v>44166</v>
      </c>
      <c r="I419" s="44" t="s">
        <v>1304</v>
      </c>
      <c r="J419" s="43">
        <v>44166</v>
      </c>
      <c r="K419" s="42">
        <v>23</v>
      </c>
      <c r="L419" s="42">
        <v>27</v>
      </c>
      <c r="M419" s="43" t="s">
        <v>29</v>
      </c>
      <c r="N419" s="44" t="s">
        <v>1329</v>
      </c>
      <c r="O419" s="43">
        <v>44167</v>
      </c>
      <c r="P419" s="42" t="s">
        <v>36</v>
      </c>
      <c r="Q419" s="42">
        <v>27.7</v>
      </c>
      <c r="R419" s="46" t="s">
        <v>31</v>
      </c>
      <c r="S419" s="43">
        <v>44167</v>
      </c>
      <c r="T419" s="51">
        <f t="shared" si="18"/>
        <v>3</v>
      </c>
      <c r="U419" s="52" t="str">
        <f t="shared" si="19"/>
        <v>Não Detectável</v>
      </c>
    </row>
    <row r="420" spans="1:21" ht="25.5" customHeight="1" x14ac:dyDescent="0.2">
      <c r="A420" s="51">
        <v>419</v>
      </c>
      <c r="B420" s="50" t="s">
        <v>1344</v>
      </c>
      <c r="C420" s="51">
        <v>70</v>
      </c>
      <c r="D420" s="51" t="s">
        <v>25</v>
      </c>
      <c r="E420" s="43" t="s">
        <v>1327</v>
      </c>
      <c r="F420" s="44" t="s">
        <v>60</v>
      </c>
      <c r="G420" s="51">
        <v>182</v>
      </c>
      <c r="H420" s="43">
        <v>44166</v>
      </c>
      <c r="I420" s="44" t="s">
        <v>1304</v>
      </c>
      <c r="J420" s="43">
        <v>44166</v>
      </c>
      <c r="K420" s="42">
        <v>18.7</v>
      </c>
      <c r="L420" s="42">
        <v>25.7</v>
      </c>
      <c r="M420" s="43" t="s">
        <v>29</v>
      </c>
      <c r="N420" s="44" t="s">
        <v>1329</v>
      </c>
      <c r="O420" s="43">
        <v>44167</v>
      </c>
      <c r="P420" s="42" t="s">
        <v>36</v>
      </c>
      <c r="Q420" s="42">
        <v>23.5</v>
      </c>
      <c r="R420" s="46" t="s">
        <v>31</v>
      </c>
      <c r="S420" s="43">
        <v>44167</v>
      </c>
      <c r="T420" s="51">
        <f t="shared" si="18"/>
        <v>3</v>
      </c>
      <c r="U420" s="52" t="str">
        <f t="shared" si="19"/>
        <v>Não Detectável</v>
      </c>
    </row>
    <row r="421" spans="1:21" ht="25.5" customHeight="1" x14ac:dyDescent="0.2">
      <c r="A421" s="51">
        <v>420</v>
      </c>
      <c r="B421" s="50" t="s">
        <v>1345</v>
      </c>
      <c r="C421" s="51">
        <v>31</v>
      </c>
      <c r="D421" s="51" t="s">
        <v>34</v>
      </c>
      <c r="E421" s="43" t="s">
        <v>1327</v>
      </c>
      <c r="F421" s="44" t="s">
        <v>60</v>
      </c>
      <c r="G421" s="51">
        <v>182</v>
      </c>
      <c r="H421" s="43">
        <v>44166</v>
      </c>
      <c r="I421" s="44" t="s">
        <v>1304</v>
      </c>
      <c r="J421" s="43">
        <v>44166</v>
      </c>
      <c r="K421" s="42">
        <v>18.7</v>
      </c>
      <c r="L421" s="42">
        <v>25.7</v>
      </c>
      <c r="M421" s="43" t="s">
        <v>29</v>
      </c>
      <c r="N421" s="44" t="s">
        <v>1329</v>
      </c>
      <c r="O421" s="43">
        <v>44167</v>
      </c>
      <c r="P421" s="42" t="s">
        <v>36</v>
      </c>
      <c r="Q421" s="42">
        <v>24.8</v>
      </c>
      <c r="R421" s="46" t="s">
        <v>31</v>
      </c>
      <c r="S421" s="43">
        <v>44167</v>
      </c>
      <c r="T421" s="51">
        <f t="shared" si="18"/>
        <v>3</v>
      </c>
      <c r="U421" s="52" t="str">
        <f t="shared" si="19"/>
        <v>Não Detectável</v>
      </c>
    </row>
    <row r="422" spans="1:21" ht="25.5" customHeight="1" x14ac:dyDescent="0.2">
      <c r="A422" s="51">
        <v>421</v>
      </c>
      <c r="B422" s="50" t="s">
        <v>1346</v>
      </c>
      <c r="C422" s="51">
        <v>30</v>
      </c>
      <c r="D422" s="51" t="s">
        <v>25</v>
      </c>
      <c r="E422" s="43" t="s">
        <v>1327</v>
      </c>
      <c r="F422" s="44" t="s">
        <v>60</v>
      </c>
      <c r="G422" s="51">
        <v>182</v>
      </c>
      <c r="H422" s="43">
        <v>44166</v>
      </c>
      <c r="I422" s="44" t="s">
        <v>1304</v>
      </c>
      <c r="J422" s="43">
        <v>44166</v>
      </c>
      <c r="K422" s="42">
        <v>18.7</v>
      </c>
      <c r="L422" s="42">
        <v>25.7</v>
      </c>
      <c r="M422" s="43" t="s">
        <v>29</v>
      </c>
      <c r="N422" s="44" t="s">
        <v>1329</v>
      </c>
      <c r="O422" s="43">
        <v>44167</v>
      </c>
      <c r="P422" s="42">
        <v>17.399999999999999</v>
      </c>
      <c r="Q422" s="42">
        <v>26.8</v>
      </c>
      <c r="R422" s="46" t="s">
        <v>29</v>
      </c>
      <c r="S422" s="43">
        <v>44167</v>
      </c>
      <c r="T422" s="51">
        <f t="shared" si="18"/>
        <v>3</v>
      </c>
      <c r="U422" s="52" t="str">
        <f t="shared" si="19"/>
        <v>Detectável</v>
      </c>
    </row>
    <row r="423" spans="1:21" ht="25.5" customHeight="1" x14ac:dyDescent="0.2">
      <c r="A423" s="51">
        <v>422</v>
      </c>
      <c r="B423" s="50" t="s">
        <v>1347</v>
      </c>
      <c r="C423" s="51">
        <v>47</v>
      </c>
      <c r="D423" s="51" t="s">
        <v>25</v>
      </c>
      <c r="E423" s="43" t="s">
        <v>1327</v>
      </c>
      <c r="F423" s="44" t="s">
        <v>60</v>
      </c>
      <c r="G423" s="51">
        <v>183</v>
      </c>
      <c r="H423" s="43">
        <v>44166</v>
      </c>
      <c r="I423" s="44" t="s">
        <v>1304</v>
      </c>
      <c r="J423" s="43">
        <v>44166</v>
      </c>
      <c r="K423" s="42" t="s">
        <v>36</v>
      </c>
      <c r="L423" s="42">
        <v>27.1</v>
      </c>
      <c r="M423" s="45" t="s">
        <v>31</v>
      </c>
      <c r="N423" s="44" t="s">
        <v>60</v>
      </c>
      <c r="O423" s="43" t="s">
        <v>60</v>
      </c>
      <c r="P423" s="42" t="s">
        <v>60</v>
      </c>
      <c r="Q423" s="42" t="s">
        <v>60</v>
      </c>
      <c r="R423" s="46" t="s">
        <v>60</v>
      </c>
      <c r="S423" s="43">
        <v>44166</v>
      </c>
      <c r="T423" s="51">
        <f t="shared" si="18"/>
        <v>3</v>
      </c>
      <c r="U423" s="52" t="str">
        <f t="shared" si="19"/>
        <v>Não Detectável</v>
      </c>
    </row>
    <row r="424" spans="1:21" ht="25.5" customHeight="1" x14ac:dyDescent="0.2">
      <c r="A424" s="51">
        <v>423</v>
      </c>
      <c r="B424" s="50" t="s">
        <v>1348</v>
      </c>
      <c r="C424" s="51">
        <v>24</v>
      </c>
      <c r="D424" s="51" t="s">
        <v>34</v>
      </c>
      <c r="E424" s="43" t="s">
        <v>1327</v>
      </c>
      <c r="F424" s="44" t="s">
        <v>60</v>
      </c>
      <c r="G424" s="51">
        <v>183</v>
      </c>
      <c r="H424" s="43">
        <v>44166</v>
      </c>
      <c r="I424" s="44" t="s">
        <v>1304</v>
      </c>
      <c r="J424" s="43">
        <v>44166</v>
      </c>
      <c r="K424" s="42" t="s">
        <v>36</v>
      </c>
      <c r="L424" s="42">
        <v>27.1</v>
      </c>
      <c r="M424" s="45" t="s">
        <v>31</v>
      </c>
      <c r="N424" s="44" t="s">
        <v>60</v>
      </c>
      <c r="O424" s="43" t="s">
        <v>60</v>
      </c>
      <c r="P424" s="42" t="s">
        <v>60</v>
      </c>
      <c r="Q424" s="42" t="s">
        <v>60</v>
      </c>
      <c r="R424" s="46" t="s">
        <v>60</v>
      </c>
      <c r="S424" s="43">
        <v>44166</v>
      </c>
      <c r="T424" s="51">
        <f t="shared" si="18"/>
        <v>3</v>
      </c>
      <c r="U424" s="52" t="str">
        <f t="shared" si="19"/>
        <v>Não Detectável</v>
      </c>
    </row>
    <row r="425" spans="1:21" ht="25.5" customHeight="1" x14ac:dyDescent="0.2">
      <c r="A425" s="51">
        <v>424</v>
      </c>
      <c r="B425" s="50" t="s">
        <v>1349</v>
      </c>
      <c r="C425" s="51">
        <v>53</v>
      </c>
      <c r="D425" s="51" t="s">
        <v>25</v>
      </c>
      <c r="E425" s="43" t="s">
        <v>1327</v>
      </c>
      <c r="F425" s="44" t="s">
        <v>60</v>
      </c>
      <c r="G425" s="51">
        <v>183</v>
      </c>
      <c r="H425" s="43">
        <v>44166</v>
      </c>
      <c r="I425" s="44" t="s">
        <v>1304</v>
      </c>
      <c r="J425" s="43">
        <v>44166</v>
      </c>
      <c r="K425" s="42" t="s">
        <v>36</v>
      </c>
      <c r="L425" s="42">
        <v>27.1</v>
      </c>
      <c r="M425" s="45" t="s">
        <v>31</v>
      </c>
      <c r="N425" s="44" t="s">
        <v>60</v>
      </c>
      <c r="O425" s="43" t="s">
        <v>60</v>
      </c>
      <c r="P425" s="42" t="s">
        <v>60</v>
      </c>
      <c r="Q425" s="42" t="s">
        <v>60</v>
      </c>
      <c r="R425" s="46" t="s">
        <v>60</v>
      </c>
      <c r="S425" s="43">
        <v>44166</v>
      </c>
      <c r="T425" s="51">
        <f t="shared" si="18"/>
        <v>3</v>
      </c>
      <c r="U425" s="52" t="str">
        <f t="shared" si="19"/>
        <v>Não Detectável</v>
      </c>
    </row>
    <row r="426" spans="1:21" ht="25.5" customHeight="1" x14ac:dyDescent="0.2">
      <c r="A426" s="51">
        <v>425</v>
      </c>
      <c r="B426" s="50" t="s">
        <v>1350</v>
      </c>
      <c r="C426" s="51">
        <v>49</v>
      </c>
      <c r="D426" s="51" t="s">
        <v>25</v>
      </c>
      <c r="E426" s="43" t="s">
        <v>1327</v>
      </c>
      <c r="F426" s="44" t="s">
        <v>60</v>
      </c>
      <c r="G426" s="51">
        <v>184</v>
      </c>
      <c r="H426" s="43">
        <v>44166</v>
      </c>
      <c r="I426" s="44" t="s">
        <v>1304</v>
      </c>
      <c r="J426" s="43">
        <v>44166</v>
      </c>
      <c r="K426" s="42" t="s">
        <v>36</v>
      </c>
      <c r="L426" s="42">
        <v>27.5</v>
      </c>
      <c r="M426" s="45" t="s">
        <v>31</v>
      </c>
      <c r="N426" s="44" t="s">
        <v>60</v>
      </c>
      <c r="O426" s="43" t="s">
        <v>60</v>
      </c>
      <c r="P426" s="42" t="s">
        <v>60</v>
      </c>
      <c r="Q426" s="42" t="s">
        <v>60</v>
      </c>
      <c r="R426" s="46" t="s">
        <v>60</v>
      </c>
      <c r="S426" s="43">
        <v>44166</v>
      </c>
      <c r="T426" s="51">
        <f t="shared" si="18"/>
        <v>3</v>
      </c>
      <c r="U426" s="52" t="str">
        <f t="shared" si="19"/>
        <v>Não Detectável</v>
      </c>
    </row>
    <row r="427" spans="1:21" ht="25.5" customHeight="1" x14ac:dyDescent="0.2">
      <c r="A427" s="51">
        <v>426</v>
      </c>
      <c r="B427" s="50" t="s">
        <v>1351</v>
      </c>
      <c r="C427" s="51">
        <v>38</v>
      </c>
      <c r="D427" s="51" t="s">
        <v>34</v>
      </c>
      <c r="E427" s="43" t="s">
        <v>1327</v>
      </c>
      <c r="F427" s="44" t="s">
        <v>60</v>
      </c>
      <c r="G427" s="51">
        <v>184</v>
      </c>
      <c r="H427" s="43">
        <v>44166</v>
      </c>
      <c r="I427" s="44" t="s">
        <v>1304</v>
      </c>
      <c r="J427" s="43">
        <v>44166</v>
      </c>
      <c r="K427" s="42" t="s">
        <v>36</v>
      </c>
      <c r="L427" s="42">
        <v>27.5</v>
      </c>
      <c r="M427" s="45" t="s">
        <v>31</v>
      </c>
      <c r="N427" s="44" t="s">
        <v>60</v>
      </c>
      <c r="O427" s="43" t="s">
        <v>60</v>
      </c>
      <c r="P427" s="42" t="s">
        <v>60</v>
      </c>
      <c r="Q427" s="42" t="s">
        <v>60</v>
      </c>
      <c r="R427" s="46" t="s">
        <v>60</v>
      </c>
      <c r="S427" s="43">
        <v>44166</v>
      </c>
      <c r="T427" s="51">
        <f t="shared" si="18"/>
        <v>3</v>
      </c>
      <c r="U427" s="52" t="str">
        <f t="shared" si="19"/>
        <v>Não Detectável</v>
      </c>
    </row>
    <row r="428" spans="1:21" ht="25.5" customHeight="1" x14ac:dyDescent="0.2">
      <c r="A428" s="51">
        <v>427</v>
      </c>
      <c r="B428" s="50" t="s">
        <v>1352</v>
      </c>
      <c r="C428" s="51">
        <v>48</v>
      </c>
      <c r="D428" s="51" t="s">
        <v>25</v>
      </c>
      <c r="E428" s="43" t="s">
        <v>1327</v>
      </c>
      <c r="F428" s="44" t="s">
        <v>60</v>
      </c>
      <c r="G428" s="51">
        <v>184</v>
      </c>
      <c r="H428" s="43">
        <v>44166</v>
      </c>
      <c r="I428" s="44" t="s">
        <v>1304</v>
      </c>
      <c r="J428" s="43">
        <v>44166</v>
      </c>
      <c r="K428" s="42" t="s">
        <v>36</v>
      </c>
      <c r="L428" s="42">
        <v>27.5</v>
      </c>
      <c r="M428" s="45" t="s">
        <v>31</v>
      </c>
      <c r="N428" s="44" t="s">
        <v>60</v>
      </c>
      <c r="O428" s="43" t="s">
        <v>60</v>
      </c>
      <c r="P428" s="42" t="s">
        <v>60</v>
      </c>
      <c r="Q428" s="42" t="s">
        <v>60</v>
      </c>
      <c r="R428" s="46" t="s">
        <v>60</v>
      </c>
      <c r="S428" s="43">
        <v>44166</v>
      </c>
      <c r="T428" s="51">
        <f t="shared" si="18"/>
        <v>3</v>
      </c>
      <c r="U428" s="52" t="str">
        <f t="shared" si="19"/>
        <v>Não Detectável</v>
      </c>
    </row>
    <row r="429" spans="1:21" ht="25.5" customHeight="1" x14ac:dyDescent="0.2">
      <c r="A429" s="51">
        <v>428</v>
      </c>
      <c r="B429" s="50" t="s">
        <v>1353</v>
      </c>
      <c r="C429" s="51">
        <v>21</v>
      </c>
      <c r="D429" s="51" t="s">
        <v>25</v>
      </c>
      <c r="E429" s="43" t="s">
        <v>1327</v>
      </c>
      <c r="F429" s="44" t="s">
        <v>60</v>
      </c>
      <c r="G429" s="51">
        <v>185</v>
      </c>
      <c r="H429" s="43">
        <v>44166</v>
      </c>
      <c r="I429" s="44" t="s">
        <v>1304</v>
      </c>
      <c r="J429" s="43">
        <v>44166</v>
      </c>
      <c r="K429" s="42">
        <v>27.2</v>
      </c>
      <c r="L429" s="42">
        <v>27.5</v>
      </c>
      <c r="M429" s="43" t="s">
        <v>29</v>
      </c>
      <c r="N429" s="44" t="s">
        <v>1329</v>
      </c>
      <c r="O429" s="43">
        <v>44167</v>
      </c>
      <c r="P429" s="42" t="s">
        <v>36</v>
      </c>
      <c r="Q429" s="42">
        <v>27.2</v>
      </c>
      <c r="R429" s="46" t="s">
        <v>31</v>
      </c>
      <c r="S429" s="43">
        <v>44167</v>
      </c>
      <c r="T429" s="51">
        <f t="shared" si="18"/>
        <v>3</v>
      </c>
      <c r="U429" s="52" t="str">
        <f t="shared" si="19"/>
        <v>Não Detectável</v>
      </c>
    </row>
    <row r="430" spans="1:21" ht="25.5" customHeight="1" x14ac:dyDescent="0.2">
      <c r="A430" s="51">
        <v>429</v>
      </c>
      <c r="B430" s="50" t="s">
        <v>1354</v>
      </c>
      <c r="C430" s="51">
        <v>58</v>
      </c>
      <c r="D430" s="51" t="s">
        <v>34</v>
      </c>
      <c r="E430" s="43" t="s">
        <v>1327</v>
      </c>
      <c r="F430" s="44" t="s">
        <v>60</v>
      </c>
      <c r="G430" s="51">
        <v>185</v>
      </c>
      <c r="H430" s="43">
        <v>44166</v>
      </c>
      <c r="I430" s="44" t="s">
        <v>1304</v>
      </c>
      <c r="J430" s="43">
        <v>44166</v>
      </c>
      <c r="K430" s="42">
        <v>27.2</v>
      </c>
      <c r="L430" s="42">
        <v>27.5</v>
      </c>
      <c r="M430" s="43" t="s">
        <v>29</v>
      </c>
      <c r="N430" s="44" t="s">
        <v>1329</v>
      </c>
      <c r="O430" s="43">
        <v>44167</v>
      </c>
      <c r="P430" s="42">
        <v>26.4</v>
      </c>
      <c r="Q430" s="42">
        <v>28</v>
      </c>
      <c r="R430" s="46" t="s">
        <v>29</v>
      </c>
      <c r="S430" s="43">
        <v>44167</v>
      </c>
      <c r="T430" s="51">
        <f t="shared" si="18"/>
        <v>3</v>
      </c>
      <c r="U430" s="52" t="str">
        <f t="shared" si="19"/>
        <v>Detectável</v>
      </c>
    </row>
    <row r="431" spans="1:21" ht="25.5" customHeight="1" x14ac:dyDescent="0.2">
      <c r="A431" s="51">
        <v>430</v>
      </c>
      <c r="B431" s="50" t="s">
        <v>1355</v>
      </c>
      <c r="C431" s="51">
        <v>25</v>
      </c>
      <c r="D431" s="51" t="s">
        <v>34</v>
      </c>
      <c r="E431" s="43" t="s">
        <v>1327</v>
      </c>
      <c r="F431" s="44" t="s">
        <v>60</v>
      </c>
      <c r="G431" s="51">
        <v>185</v>
      </c>
      <c r="H431" s="43">
        <v>44166</v>
      </c>
      <c r="I431" s="44" t="s">
        <v>1304</v>
      </c>
      <c r="J431" s="43">
        <v>44166</v>
      </c>
      <c r="K431" s="42">
        <v>27.2</v>
      </c>
      <c r="L431" s="42">
        <v>27.5</v>
      </c>
      <c r="M431" s="43" t="s">
        <v>29</v>
      </c>
      <c r="N431" s="44" t="s">
        <v>1329</v>
      </c>
      <c r="O431" s="43">
        <v>44167</v>
      </c>
      <c r="P431" s="42" t="s">
        <v>36</v>
      </c>
      <c r="Q431" s="42">
        <v>26.4</v>
      </c>
      <c r="R431" s="46" t="s">
        <v>31</v>
      </c>
      <c r="S431" s="43">
        <v>44167</v>
      </c>
      <c r="T431" s="51">
        <f t="shared" si="18"/>
        <v>3</v>
      </c>
      <c r="U431" s="52" t="str">
        <f t="shared" si="19"/>
        <v>Não Detectável</v>
      </c>
    </row>
    <row r="432" spans="1:21" ht="25.5" customHeight="1" x14ac:dyDescent="0.2">
      <c r="A432" s="51">
        <v>431</v>
      </c>
      <c r="B432" s="50" t="s">
        <v>1356</v>
      </c>
      <c r="C432" s="51">
        <v>25</v>
      </c>
      <c r="D432" s="51" t="s">
        <v>25</v>
      </c>
      <c r="E432" s="43">
        <v>44166</v>
      </c>
      <c r="F432" s="44" t="s">
        <v>60</v>
      </c>
      <c r="G432" s="51">
        <v>186</v>
      </c>
      <c r="H432" s="43">
        <v>44167</v>
      </c>
      <c r="I432" s="44" t="s">
        <v>1329</v>
      </c>
      <c r="J432" s="43">
        <v>44167</v>
      </c>
      <c r="K432" s="42">
        <v>19.600000000000001</v>
      </c>
      <c r="L432" s="42">
        <v>27.1</v>
      </c>
      <c r="M432" s="43" t="s">
        <v>29</v>
      </c>
      <c r="N432" s="44" t="s">
        <v>1357</v>
      </c>
      <c r="O432" s="43">
        <v>44168</v>
      </c>
      <c r="P432" s="42" t="s">
        <v>36</v>
      </c>
      <c r="Q432" s="42">
        <v>27.2</v>
      </c>
      <c r="R432" s="46" t="s">
        <v>31</v>
      </c>
      <c r="S432" s="43">
        <v>44168</v>
      </c>
      <c r="T432" s="51">
        <f t="shared" si="18"/>
        <v>3</v>
      </c>
      <c r="U432" s="52" t="str">
        <f t="shared" si="19"/>
        <v>Não Detectável</v>
      </c>
    </row>
    <row r="433" spans="1:21" ht="25.5" customHeight="1" x14ac:dyDescent="0.2">
      <c r="A433" s="51">
        <v>432</v>
      </c>
      <c r="B433" s="50" t="s">
        <v>1358</v>
      </c>
      <c r="C433" s="51">
        <v>26</v>
      </c>
      <c r="D433" s="51" t="s">
        <v>34</v>
      </c>
      <c r="E433" s="43">
        <v>44166</v>
      </c>
      <c r="F433" s="44" t="s">
        <v>60</v>
      </c>
      <c r="G433" s="51">
        <v>186</v>
      </c>
      <c r="H433" s="43">
        <v>44167</v>
      </c>
      <c r="I433" s="44" t="s">
        <v>1329</v>
      </c>
      <c r="J433" s="43">
        <v>44167</v>
      </c>
      <c r="K433" s="42">
        <v>19.600000000000001</v>
      </c>
      <c r="L433" s="42">
        <v>27.1</v>
      </c>
      <c r="M433" s="43" t="s">
        <v>29</v>
      </c>
      <c r="N433" s="44" t="s">
        <v>1357</v>
      </c>
      <c r="O433" s="43">
        <v>44168</v>
      </c>
      <c r="P433" s="42">
        <v>16.3</v>
      </c>
      <c r="Q433" s="42">
        <v>27.1</v>
      </c>
      <c r="R433" s="46" t="s">
        <v>29</v>
      </c>
      <c r="S433" s="43">
        <v>44168</v>
      </c>
      <c r="T433" s="51">
        <f t="shared" si="18"/>
        <v>3</v>
      </c>
      <c r="U433" s="52" t="str">
        <f t="shared" si="19"/>
        <v>Detectável</v>
      </c>
    </row>
    <row r="434" spans="1:21" ht="25.5" customHeight="1" x14ac:dyDescent="0.2">
      <c r="A434" s="51">
        <v>433</v>
      </c>
      <c r="B434" s="50" t="s">
        <v>1359</v>
      </c>
      <c r="C434" s="51">
        <v>27</v>
      </c>
      <c r="D434" s="51" t="s">
        <v>25</v>
      </c>
      <c r="E434" s="43">
        <v>44166</v>
      </c>
      <c r="F434" s="44" t="s">
        <v>60</v>
      </c>
      <c r="G434" s="51">
        <v>186</v>
      </c>
      <c r="H434" s="43">
        <v>44167</v>
      </c>
      <c r="I434" s="44" t="s">
        <v>1329</v>
      </c>
      <c r="J434" s="43">
        <v>44167</v>
      </c>
      <c r="K434" s="42">
        <v>19.600000000000001</v>
      </c>
      <c r="L434" s="42">
        <v>27.1</v>
      </c>
      <c r="M434" s="43" t="s">
        <v>29</v>
      </c>
      <c r="N434" s="44" t="s">
        <v>1357</v>
      </c>
      <c r="O434" s="43">
        <v>44168</v>
      </c>
      <c r="P434" s="42" t="s">
        <v>36</v>
      </c>
      <c r="Q434" s="42">
        <v>27.6</v>
      </c>
      <c r="R434" s="46" t="s">
        <v>31</v>
      </c>
      <c r="S434" s="43">
        <v>44168</v>
      </c>
      <c r="T434" s="51">
        <f t="shared" si="18"/>
        <v>3</v>
      </c>
      <c r="U434" s="52" t="str">
        <f t="shared" si="19"/>
        <v>Não Detectável</v>
      </c>
    </row>
    <row r="435" spans="1:21" ht="25.5" customHeight="1" x14ac:dyDescent="0.2">
      <c r="A435" s="51">
        <v>434</v>
      </c>
      <c r="B435" s="50" t="s">
        <v>1360</v>
      </c>
      <c r="C435" s="51">
        <v>52</v>
      </c>
      <c r="D435" s="51" t="s">
        <v>25</v>
      </c>
      <c r="E435" s="43">
        <v>44166</v>
      </c>
      <c r="F435" s="44" t="s">
        <v>60</v>
      </c>
      <c r="G435" s="51">
        <v>187</v>
      </c>
      <c r="H435" s="43">
        <v>44167</v>
      </c>
      <c r="I435" s="44" t="s">
        <v>1329</v>
      </c>
      <c r="J435" s="43">
        <v>44167</v>
      </c>
      <c r="K435" s="42">
        <v>20.7</v>
      </c>
      <c r="L435" s="42">
        <v>25.5</v>
      </c>
      <c r="M435" s="43" t="s">
        <v>29</v>
      </c>
      <c r="N435" s="44" t="s">
        <v>1357</v>
      </c>
      <c r="O435" s="43">
        <v>44168</v>
      </c>
      <c r="P435" s="42">
        <v>19.2</v>
      </c>
      <c r="Q435" s="42">
        <v>25.9</v>
      </c>
      <c r="R435" s="46" t="s">
        <v>29</v>
      </c>
      <c r="S435" s="43">
        <v>44168</v>
      </c>
      <c r="T435" s="51">
        <f t="shared" si="18"/>
        <v>3</v>
      </c>
      <c r="U435" s="52" t="str">
        <f t="shared" si="19"/>
        <v>Detectável</v>
      </c>
    </row>
    <row r="436" spans="1:21" ht="25.5" customHeight="1" x14ac:dyDescent="0.2">
      <c r="A436" s="51">
        <v>435</v>
      </c>
      <c r="B436" s="50" t="s">
        <v>1361</v>
      </c>
      <c r="C436" s="51">
        <v>23</v>
      </c>
      <c r="D436" s="51" t="s">
        <v>25</v>
      </c>
      <c r="E436" s="43">
        <v>44166</v>
      </c>
      <c r="F436" s="44" t="s">
        <v>60</v>
      </c>
      <c r="G436" s="51">
        <v>187</v>
      </c>
      <c r="H436" s="43">
        <v>44167</v>
      </c>
      <c r="I436" s="44" t="s">
        <v>1329</v>
      </c>
      <c r="J436" s="43">
        <v>44167</v>
      </c>
      <c r="K436" s="42">
        <v>20.7</v>
      </c>
      <c r="L436" s="42">
        <v>25.5</v>
      </c>
      <c r="M436" s="43" t="s">
        <v>29</v>
      </c>
      <c r="N436" s="44" t="s">
        <v>1357</v>
      </c>
      <c r="O436" s="43">
        <v>44168</v>
      </c>
      <c r="P436" s="42">
        <v>16.600000000000001</v>
      </c>
      <c r="Q436" s="42">
        <v>26.4</v>
      </c>
      <c r="R436" s="46" t="s">
        <v>29</v>
      </c>
      <c r="S436" s="43">
        <v>44168</v>
      </c>
      <c r="T436" s="51">
        <f t="shared" si="18"/>
        <v>3</v>
      </c>
      <c r="U436" s="52" t="str">
        <f t="shared" si="19"/>
        <v>Detectável</v>
      </c>
    </row>
    <row r="437" spans="1:21" ht="25.5" customHeight="1" x14ac:dyDescent="0.2">
      <c r="A437" s="51">
        <v>436</v>
      </c>
      <c r="B437" s="50" t="s">
        <v>1362</v>
      </c>
      <c r="C437" s="51">
        <v>30</v>
      </c>
      <c r="D437" s="51" t="s">
        <v>34</v>
      </c>
      <c r="E437" s="43">
        <v>44166</v>
      </c>
      <c r="F437" s="44" t="s">
        <v>60</v>
      </c>
      <c r="G437" s="51">
        <v>187</v>
      </c>
      <c r="H437" s="43">
        <v>44167</v>
      </c>
      <c r="I437" s="44" t="s">
        <v>1329</v>
      </c>
      <c r="J437" s="43">
        <v>44167</v>
      </c>
      <c r="K437" s="42">
        <v>20.7</v>
      </c>
      <c r="L437" s="42">
        <v>25.5</v>
      </c>
      <c r="M437" s="43" t="s">
        <v>29</v>
      </c>
      <c r="N437" s="44" t="s">
        <v>1357</v>
      </c>
      <c r="O437" s="43">
        <v>44168</v>
      </c>
      <c r="P437" s="42" t="s">
        <v>36</v>
      </c>
      <c r="Q437" s="42">
        <v>25.5</v>
      </c>
      <c r="R437" s="46" t="s">
        <v>31</v>
      </c>
      <c r="S437" s="43">
        <v>44168</v>
      </c>
      <c r="T437" s="51">
        <f t="shared" si="18"/>
        <v>3</v>
      </c>
      <c r="U437" s="52" t="str">
        <f t="shared" si="19"/>
        <v>Não Detectável</v>
      </c>
    </row>
    <row r="438" spans="1:21" ht="25.5" customHeight="1" x14ac:dyDescent="0.2">
      <c r="A438" s="51">
        <v>437</v>
      </c>
      <c r="B438" s="50" t="s">
        <v>1363</v>
      </c>
      <c r="C438" s="51">
        <v>45</v>
      </c>
      <c r="D438" s="51" t="s">
        <v>25</v>
      </c>
      <c r="E438" s="43">
        <v>44166</v>
      </c>
      <c r="F438" s="44" t="s">
        <v>60</v>
      </c>
      <c r="G438" s="51">
        <v>188</v>
      </c>
      <c r="H438" s="43">
        <v>44167</v>
      </c>
      <c r="I438" s="44" t="s">
        <v>1329</v>
      </c>
      <c r="J438" s="43">
        <v>44167</v>
      </c>
      <c r="K438" s="42" t="s">
        <v>36</v>
      </c>
      <c r="L438" s="42">
        <v>27</v>
      </c>
      <c r="M438" s="45" t="s">
        <v>31</v>
      </c>
      <c r="N438" s="44" t="s">
        <v>60</v>
      </c>
      <c r="O438" s="43" t="s">
        <v>60</v>
      </c>
      <c r="P438" s="42" t="s">
        <v>60</v>
      </c>
      <c r="Q438" s="42" t="s">
        <v>60</v>
      </c>
      <c r="R438" s="46" t="s">
        <v>60</v>
      </c>
      <c r="S438" s="43">
        <v>44167</v>
      </c>
      <c r="T438" s="51">
        <f t="shared" si="18"/>
        <v>3</v>
      </c>
      <c r="U438" s="52" t="str">
        <f t="shared" si="19"/>
        <v>Não Detectável</v>
      </c>
    </row>
    <row r="439" spans="1:21" ht="25.5" customHeight="1" x14ac:dyDescent="0.2">
      <c r="A439" s="51">
        <v>438</v>
      </c>
      <c r="B439" s="50" t="s">
        <v>1364</v>
      </c>
      <c r="C439" s="51">
        <v>62</v>
      </c>
      <c r="D439" s="51" t="s">
        <v>25</v>
      </c>
      <c r="E439" s="43">
        <v>44166</v>
      </c>
      <c r="F439" s="44" t="s">
        <v>60</v>
      </c>
      <c r="G439" s="51">
        <v>188</v>
      </c>
      <c r="H439" s="43">
        <v>44167</v>
      </c>
      <c r="I439" s="44" t="s">
        <v>1329</v>
      </c>
      <c r="J439" s="43">
        <v>44167</v>
      </c>
      <c r="K439" s="42" t="s">
        <v>36</v>
      </c>
      <c r="L439" s="42">
        <v>27</v>
      </c>
      <c r="M439" s="45" t="s">
        <v>31</v>
      </c>
      <c r="N439" s="44" t="s">
        <v>60</v>
      </c>
      <c r="O439" s="43" t="s">
        <v>60</v>
      </c>
      <c r="P439" s="42" t="s">
        <v>60</v>
      </c>
      <c r="Q439" s="42" t="s">
        <v>60</v>
      </c>
      <c r="R439" s="46" t="s">
        <v>60</v>
      </c>
      <c r="S439" s="43">
        <v>44167</v>
      </c>
      <c r="T439" s="51">
        <f t="shared" si="18"/>
        <v>3</v>
      </c>
      <c r="U439" s="52" t="str">
        <f t="shared" si="19"/>
        <v>Não Detectável</v>
      </c>
    </row>
    <row r="440" spans="1:21" ht="25.5" customHeight="1" x14ac:dyDescent="0.2">
      <c r="A440" s="51">
        <v>439</v>
      </c>
      <c r="B440" s="50" t="s">
        <v>1365</v>
      </c>
      <c r="C440" s="51">
        <v>29</v>
      </c>
      <c r="D440" s="51" t="s">
        <v>25</v>
      </c>
      <c r="E440" s="43">
        <v>44166</v>
      </c>
      <c r="F440" s="44" t="s">
        <v>60</v>
      </c>
      <c r="G440" s="51">
        <v>188</v>
      </c>
      <c r="H440" s="43">
        <v>44167</v>
      </c>
      <c r="I440" s="44" t="s">
        <v>1329</v>
      </c>
      <c r="J440" s="43">
        <v>44167</v>
      </c>
      <c r="K440" s="42" t="s">
        <v>36</v>
      </c>
      <c r="L440" s="42">
        <v>27</v>
      </c>
      <c r="M440" s="45" t="s">
        <v>31</v>
      </c>
      <c r="N440" s="44" t="s">
        <v>60</v>
      </c>
      <c r="O440" s="43" t="s">
        <v>60</v>
      </c>
      <c r="P440" s="42" t="s">
        <v>60</v>
      </c>
      <c r="Q440" s="42" t="s">
        <v>60</v>
      </c>
      <c r="R440" s="46" t="s">
        <v>60</v>
      </c>
      <c r="S440" s="43">
        <v>44167</v>
      </c>
      <c r="T440" s="51">
        <f t="shared" si="18"/>
        <v>3</v>
      </c>
      <c r="U440" s="52" t="str">
        <f t="shared" si="19"/>
        <v>Não Detectável</v>
      </c>
    </row>
    <row r="441" spans="1:21" ht="25.5" customHeight="1" x14ac:dyDescent="0.2">
      <c r="A441" s="51">
        <v>440</v>
      </c>
      <c r="B441" s="50" t="s">
        <v>1366</v>
      </c>
      <c r="C441" s="51">
        <v>25</v>
      </c>
      <c r="D441" s="51" t="s">
        <v>25</v>
      </c>
      <c r="E441" s="43">
        <v>44166</v>
      </c>
      <c r="F441" s="44" t="s">
        <v>60</v>
      </c>
      <c r="G441" s="51">
        <v>189</v>
      </c>
      <c r="H441" s="43">
        <v>44167</v>
      </c>
      <c r="I441" s="44" t="s">
        <v>1329</v>
      </c>
      <c r="J441" s="43">
        <v>44167</v>
      </c>
      <c r="K441" s="42">
        <v>29.5</v>
      </c>
      <c r="L441" s="42">
        <v>25.9</v>
      </c>
      <c r="M441" s="43" t="s">
        <v>29</v>
      </c>
      <c r="N441" s="44" t="s">
        <v>1357</v>
      </c>
      <c r="O441" s="43">
        <v>44168</v>
      </c>
      <c r="P441" s="42" t="s">
        <v>36</v>
      </c>
      <c r="Q441" s="42">
        <v>26</v>
      </c>
      <c r="R441" s="46" t="s">
        <v>31</v>
      </c>
      <c r="S441" s="43">
        <v>44168</v>
      </c>
      <c r="T441" s="51">
        <f t="shared" si="18"/>
        <v>3</v>
      </c>
      <c r="U441" s="52" t="str">
        <f t="shared" si="19"/>
        <v>Não Detectável</v>
      </c>
    </row>
    <row r="442" spans="1:21" ht="25.5" customHeight="1" x14ac:dyDescent="0.2">
      <c r="A442" s="51">
        <v>441</v>
      </c>
      <c r="B442" s="50" t="s">
        <v>1367</v>
      </c>
      <c r="C442" s="51">
        <v>37</v>
      </c>
      <c r="D442" s="51" t="s">
        <v>25</v>
      </c>
      <c r="E442" s="43">
        <v>44166</v>
      </c>
      <c r="F442" s="44" t="s">
        <v>60</v>
      </c>
      <c r="G442" s="51">
        <v>189</v>
      </c>
      <c r="H442" s="43">
        <v>44167</v>
      </c>
      <c r="I442" s="44" t="s">
        <v>1329</v>
      </c>
      <c r="J442" s="43">
        <v>44167</v>
      </c>
      <c r="K442" s="42">
        <v>29.5</v>
      </c>
      <c r="L442" s="42">
        <v>25.9</v>
      </c>
      <c r="M442" s="43" t="s">
        <v>29</v>
      </c>
      <c r="N442" s="44" t="s">
        <v>1357</v>
      </c>
      <c r="O442" s="43">
        <v>44168</v>
      </c>
      <c r="P442" s="42" t="s">
        <v>36</v>
      </c>
      <c r="Q442" s="42">
        <v>26.3</v>
      </c>
      <c r="R442" s="46" t="s">
        <v>31</v>
      </c>
      <c r="S442" s="43">
        <v>44168</v>
      </c>
      <c r="T442" s="51">
        <f t="shared" si="18"/>
        <v>3</v>
      </c>
      <c r="U442" s="52" t="str">
        <f t="shared" si="19"/>
        <v>Não Detectável</v>
      </c>
    </row>
    <row r="443" spans="1:21" ht="25.5" customHeight="1" x14ac:dyDescent="0.2">
      <c r="A443" s="51">
        <v>442</v>
      </c>
      <c r="B443" s="50" t="s">
        <v>1368</v>
      </c>
      <c r="C443" s="51">
        <v>24</v>
      </c>
      <c r="D443" s="51" t="s">
        <v>25</v>
      </c>
      <c r="E443" s="43">
        <v>44166</v>
      </c>
      <c r="F443" s="44" t="s">
        <v>60</v>
      </c>
      <c r="G443" s="51">
        <v>189</v>
      </c>
      <c r="H443" s="43">
        <v>44167</v>
      </c>
      <c r="I443" s="44" t="s">
        <v>1329</v>
      </c>
      <c r="J443" s="43">
        <v>44167</v>
      </c>
      <c r="K443" s="42">
        <v>29.5</v>
      </c>
      <c r="L443" s="42">
        <v>25.9</v>
      </c>
      <c r="M443" s="43" t="s">
        <v>29</v>
      </c>
      <c r="N443" s="44" t="s">
        <v>1357</v>
      </c>
      <c r="O443" s="43">
        <v>44168</v>
      </c>
      <c r="P443" s="42">
        <v>25.8</v>
      </c>
      <c r="Q443" s="42">
        <v>26.8</v>
      </c>
      <c r="R443" s="46" t="s">
        <v>29</v>
      </c>
      <c r="S443" s="43">
        <v>44168</v>
      </c>
      <c r="T443" s="51">
        <f t="shared" si="18"/>
        <v>3</v>
      </c>
      <c r="U443" s="52" t="str">
        <f t="shared" si="19"/>
        <v>Detectável</v>
      </c>
    </row>
    <row r="444" spans="1:21" ht="25.5" customHeight="1" x14ac:dyDescent="0.2">
      <c r="A444" s="51">
        <v>443</v>
      </c>
      <c r="B444" s="50" t="s">
        <v>1369</v>
      </c>
      <c r="C444" s="51">
        <v>22</v>
      </c>
      <c r="D444" s="51" t="s">
        <v>25</v>
      </c>
      <c r="E444" s="43">
        <v>44166</v>
      </c>
      <c r="F444" s="44" t="s">
        <v>60</v>
      </c>
      <c r="G444" s="51">
        <v>190</v>
      </c>
      <c r="H444" s="43">
        <v>44167</v>
      </c>
      <c r="I444" s="44" t="s">
        <v>1329</v>
      </c>
      <c r="J444" s="43">
        <v>44167</v>
      </c>
      <c r="K444" s="42">
        <v>32.799999999999997</v>
      </c>
      <c r="L444" s="42">
        <v>27.4</v>
      </c>
      <c r="M444" s="43" t="s">
        <v>29</v>
      </c>
      <c r="N444" s="44" t="s">
        <v>1357</v>
      </c>
      <c r="O444" s="43">
        <v>44168</v>
      </c>
      <c r="P444" s="42" t="s">
        <v>36</v>
      </c>
      <c r="Q444" s="42">
        <v>27.2</v>
      </c>
      <c r="R444" s="46" t="s">
        <v>31</v>
      </c>
      <c r="S444" s="43">
        <v>44168</v>
      </c>
      <c r="T444" s="51">
        <f t="shared" si="18"/>
        <v>3</v>
      </c>
      <c r="U444" s="52" t="str">
        <f t="shared" si="19"/>
        <v>Não Detectável</v>
      </c>
    </row>
    <row r="445" spans="1:21" ht="25.5" customHeight="1" x14ac:dyDescent="0.2">
      <c r="A445" s="51">
        <v>444</v>
      </c>
      <c r="B445" s="50" t="s">
        <v>1370</v>
      </c>
      <c r="C445" s="51">
        <v>49</v>
      </c>
      <c r="D445" s="51" t="s">
        <v>25</v>
      </c>
      <c r="E445" s="43">
        <v>44166</v>
      </c>
      <c r="F445" s="44" t="s">
        <v>60</v>
      </c>
      <c r="G445" s="51">
        <v>190</v>
      </c>
      <c r="H445" s="43">
        <v>44167</v>
      </c>
      <c r="I445" s="44" t="s">
        <v>1329</v>
      </c>
      <c r="J445" s="43">
        <v>44167</v>
      </c>
      <c r="K445" s="42">
        <v>32.799999999999997</v>
      </c>
      <c r="L445" s="42">
        <v>27.4</v>
      </c>
      <c r="M445" s="43" t="s">
        <v>29</v>
      </c>
      <c r="N445" s="44" t="s">
        <v>1357</v>
      </c>
      <c r="O445" s="43">
        <v>44168</v>
      </c>
      <c r="P445" s="42" t="s">
        <v>36</v>
      </c>
      <c r="Q445" s="42">
        <v>27.8</v>
      </c>
      <c r="R445" s="46" t="s">
        <v>31</v>
      </c>
      <c r="S445" s="43">
        <v>44168</v>
      </c>
      <c r="T445" s="51">
        <f t="shared" si="18"/>
        <v>3</v>
      </c>
      <c r="U445" s="52" t="str">
        <f t="shared" si="19"/>
        <v>Não Detectável</v>
      </c>
    </row>
    <row r="446" spans="1:21" ht="25.5" customHeight="1" x14ac:dyDescent="0.2">
      <c r="A446" s="51">
        <v>445</v>
      </c>
      <c r="B446" s="50" t="s">
        <v>1371</v>
      </c>
      <c r="C446" s="51">
        <v>26</v>
      </c>
      <c r="D446" s="51" t="s">
        <v>34</v>
      </c>
      <c r="E446" s="43">
        <v>44166</v>
      </c>
      <c r="F446" s="44" t="s">
        <v>60</v>
      </c>
      <c r="G446" s="51">
        <v>190</v>
      </c>
      <c r="H446" s="43">
        <v>44167</v>
      </c>
      <c r="I446" s="44" t="s">
        <v>1329</v>
      </c>
      <c r="J446" s="43">
        <v>44167</v>
      </c>
      <c r="K446" s="42">
        <v>32.799999999999997</v>
      </c>
      <c r="L446" s="42">
        <v>27.4</v>
      </c>
      <c r="M446" s="43" t="s">
        <v>29</v>
      </c>
      <c r="N446" s="44" t="s">
        <v>1357</v>
      </c>
      <c r="O446" s="43">
        <v>44168</v>
      </c>
      <c r="P446" s="42">
        <v>29.6</v>
      </c>
      <c r="Q446" s="42">
        <v>27</v>
      </c>
      <c r="R446" s="46" t="s">
        <v>29</v>
      </c>
      <c r="S446" s="43">
        <v>44168</v>
      </c>
      <c r="T446" s="51">
        <f t="shared" si="18"/>
        <v>3</v>
      </c>
      <c r="U446" s="52" t="str">
        <f t="shared" si="19"/>
        <v>Detectável</v>
      </c>
    </row>
    <row r="447" spans="1:21" ht="25.5" customHeight="1" x14ac:dyDescent="0.2">
      <c r="A447" s="51">
        <v>446</v>
      </c>
      <c r="B447" s="50" t="s">
        <v>1372</v>
      </c>
      <c r="C447" s="51">
        <v>22</v>
      </c>
      <c r="D447" s="51" t="s">
        <v>25</v>
      </c>
      <c r="E447" s="43">
        <v>44166</v>
      </c>
      <c r="F447" s="44" t="s">
        <v>60</v>
      </c>
      <c r="G447" s="51">
        <v>191</v>
      </c>
      <c r="H447" s="43">
        <v>44167</v>
      </c>
      <c r="I447" s="44" t="s">
        <v>1329</v>
      </c>
      <c r="J447" s="43">
        <v>44167</v>
      </c>
      <c r="K447" s="42" t="s">
        <v>36</v>
      </c>
      <c r="L447" s="42">
        <v>25.2</v>
      </c>
      <c r="M447" s="45" t="s">
        <v>31</v>
      </c>
      <c r="N447" s="44" t="s">
        <v>60</v>
      </c>
      <c r="O447" s="43" t="s">
        <v>60</v>
      </c>
      <c r="P447" s="42" t="s">
        <v>60</v>
      </c>
      <c r="Q447" s="42" t="s">
        <v>60</v>
      </c>
      <c r="R447" s="46" t="s">
        <v>60</v>
      </c>
      <c r="S447" s="43">
        <v>44167</v>
      </c>
      <c r="T447" s="51">
        <f t="shared" si="18"/>
        <v>3</v>
      </c>
      <c r="U447" s="52" t="str">
        <f t="shared" si="19"/>
        <v>Não Detectável</v>
      </c>
    </row>
    <row r="448" spans="1:21" ht="25.5" customHeight="1" x14ac:dyDescent="0.2">
      <c r="A448" s="51">
        <v>447</v>
      </c>
      <c r="B448" s="50" t="s">
        <v>1373</v>
      </c>
      <c r="C448" s="51">
        <v>71</v>
      </c>
      <c r="D448" s="51" t="s">
        <v>25</v>
      </c>
      <c r="E448" s="43">
        <v>44166</v>
      </c>
      <c r="F448" s="44" t="s">
        <v>60</v>
      </c>
      <c r="G448" s="51">
        <v>191</v>
      </c>
      <c r="H448" s="43">
        <v>44167</v>
      </c>
      <c r="I448" s="44" t="s">
        <v>1329</v>
      </c>
      <c r="J448" s="43">
        <v>44167</v>
      </c>
      <c r="K448" s="42" t="s">
        <v>36</v>
      </c>
      <c r="L448" s="42">
        <v>25.2</v>
      </c>
      <c r="M448" s="45" t="s">
        <v>31</v>
      </c>
      <c r="N448" s="44" t="s">
        <v>60</v>
      </c>
      <c r="O448" s="43" t="s">
        <v>60</v>
      </c>
      <c r="P448" s="42" t="s">
        <v>60</v>
      </c>
      <c r="Q448" s="42" t="s">
        <v>60</v>
      </c>
      <c r="R448" s="46" t="s">
        <v>60</v>
      </c>
      <c r="S448" s="43">
        <v>44167</v>
      </c>
      <c r="T448" s="51">
        <f t="shared" si="18"/>
        <v>3</v>
      </c>
      <c r="U448" s="52" t="str">
        <f t="shared" si="19"/>
        <v>Não Detectável</v>
      </c>
    </row>
    <row r="449" spans="1:21" ht="25.5" customHeight="1" x14ac:dyDescent="0.2">
      <c r="A449" s="51">
        <v>448</v>
      </c>
      <c r="B449" s="50" t="s">
        <v>1374</v>
      </c>
      <c r="C449" s="51">
        <v>40</v>
      </c>
      <c r="D449" s="51" t="s">
        <v>34</v>
      </c>
      <c r="E449" s="43">
        <v>44166</v>
      </c>
      <c r="F449" s="44" t="s">
        <v>60</v>
      </c>
      <c r="G449" s="51">
        <v>191</v>
      </c>
      <c r="H449" s="43">
        <v>44167</v>
      </c>
      <c r="I449" s="44" t="s">
        <v>1329</v>
      </c>
      <c r="J449" s="43">
        <v>44167</v>
      </c>
      <c r="K449" s="42" t="s">
        <v>36</v>
      </c>
      <c r="L449" s="42">
        <v>25.2</v>
      </c>
      <c r="M449" s="45" t="s">
        <v>31</v>
      </c>
      <c r="N449" s="44" t="s">
        <v>60</v>
      </c>
      <c r="O449" s="43" t="s">
        <v>60</v>
      </c>
      <c r="P449" s="42" t="s">
        <v>60</v>
      </c>
      <c r="Q449" s="42" t="s">
        <v>60</v>
      </c>
      <c r="R449" s="46" t="s">
        <v>60</v>
      </c>
      <c r="S449" s="43">
        <v>44167</v>
      </c>
      <c r="T449" s="51">
        <f t="shared" si="18"/>
        <v>3</v>
      </c>
      <c r="U449" s="52" t="str">
        <f t="shared" si="19"/>
        <v>Não Detectável</v>
      </c>
    </row>
    <row r="450" spans="1:21" ht="25.5" customHeight="1" x14ac:dyDescent="0.2">
      <c r="A450" s="51">
        <v>449</v>
      </c>
      <c r="B450" s="50" t="s">
        <v>1375</v>
      </c>
      <c r="C450" s="51">
        <v>36</v>
      </c>
      <c r="D450" s="51" t="s">
        <v>25</v>
      </c>
      <c r="E450" s="43">
        <v>44166</v>
      </c>
      <c r="F450" s="44" t="s">
        <v>60</v>
      </c>
      <c r="G450" s="51">
        <v>192</v>
      </c>
      <c r="H450" s="43">
        <v>44167</v>
      </c>
      <c r="I450" s="44" t="s">
        <v>1357</v>
      </c>
      <c r="J450" s="43">
        <v>44168</v>
      </c>
      <c r="K450" s="42">
        <v>24.1</v>
      </c>
      <c r="L450" s="42">
        <v>26.9</v>
      </c>
      <c r="M450" s="43" t="s">
        <v>29</v>
      </c>
      <c r="N450" s="44" t="s">
        <v>1376</v>
      </c>
      <c r="O450" s="43">
        <v>44169</v>
      </c>
      <c r="P450" s="42" t="s">
        <v>36</v>
      </c>
      <c r="Q450" s="42">
        <v>28.6</v>
      </c>
      <c r="R450" s="46" t="s">
        <v>31</v>
      </c>
      <c r="S450" s="43">
        <v>44169</v>
      </c>
      <c r="T450" s="51">
        <f t="shared" si="18"/>
        <v>3</v>
      </c>
      <c r="U450" s="52" t="str">
        <f t="shared" si="19"/>
        <v>Não Detectável</v>
      </c>
    </row>
    <row r="451" spans="1:21" ht="25.5" customHeight="1" x14ac:dyDescent="0.2">
      <c r="A451" s="51">
        <v>450</v>
      </c>
      <c r="B451" s="50" t="s">
        <v>1377</v>
      </c>
      <c r="C451" s="51">
        <v>20</v>
      </c>
      <c r="D451" s="51" t="s">
        <v>34</v>
      </c>
      <c r="E451" s="43">
        <v>44166</v>
      </c>
      <c r="F451" s="44" t="s">
        <v>60</v>
      </c>
      <c r="G451" s="51">
        <v>192</v>
      </c>
      <c r="H451" s="43">
        <v>44167</v>
      </c>
      <c r="I451" s="44" t="s">
        <v>1357</v>
      </c>
      <c r="J451" s="43">
        <v>44168</v>
      </c>
      <c r="K451" s="42">
        <v>24.1</v>
      </c>
      <c r="L451" s="42">
        <v>26.9</v>
      </c>
      <c r="M451" s="43" t="s">
        <v>29</v>
      </c>
      <c r="N451" s="44" t="s">
        <v>1376</v>
      </c>
      <c r="O451" s="43">
        <v>44169</v>
      </c>
      <c r="P451" s="42">
        <v>22.8</v>
      </c>
      <c r="Q451" s="42">
        <v>28.5</v>
      </c>
      <c r="R451" s="46" t="s">
        <v>29</v>
      </c>
      <c r="S451" s="43">
        <v>44169</v>
      </c>
      <c r="T451" s="51">
        <f t="shared" si="18"/>
        <v>3</v>
      </c>
      <c r="U451" s="52" t="str">
        <f t="shared" si="19"/>
        <v>Detectável</v>
      </c>
    </row>
    <row r="452" spans="1:21" ht="25.5" customHeight="1" x14ac:dyDescent="0.2">
      <c r="A452" s="51">
        <v>451</v>
      </c>
      <c r="B452" s="50" t="s">
        <v>1378</v>
      </c>
      <c r="C452" s="51">
        <v>24</v>
      </c>
      <c r="D452" s="51" t="s">
        <v>25</v>
      </c>
      <c r="E452" s="43">
        <v>44167</v>
      </c>
      <c r="F452" s="44" t="s">
        <v>60</v>
      </c>
      <c r="G452" s="51">
        <v>192</v>
      </c>
      <c r="H452" s="43">
        <v>44168</v>
      </c>
      <c r="I452" s="44" t="s">
        <v>1357</v>
      </c>
      <c r="J452" s="43">
        <v>44168</v>
      </c>
      <c r="K452" s="42">
        <v>24.1</v>
      </c>
      <c r="L452" s="42">
        <v>26.9</v>
      </c>
      <c r="M452" s="43" t="s">
        <v>29</v>
      </c>
      <c r="N452" s="44" t="s">
        <v>1376</v>
      </c>
      <c r="O452" s="43">
        <v>44169</v>
      </c>
      <c r="P452" s="42" t="s">
        <v>36</v>
      </c>
      <c r="Q452" s="42">
        <v>26.5</v>
      </c>
      <c r="R452" s="46" t="s">
        <v>31</v>
      </c>
      <c r="S452" s="43">
        <v>44169</v>
      </c>
      <c r="T452" s="51">
        <f t="shared" si="18"/>
        <v>3</v>
      </c>
      <c r="U452" s="52" t="str">
        <f t="shared" si="19"/>
        <v>Não Detectável</v>
      </c>
    </row>
    <row r="453" spans="1:21" ht="25.5" customHeight="1" x14ac:dyDescent="0.2">
      <c r="A453" s="51">
        <v>452</v>
      </c>
      <c r="B453" s="50" t="s">
        <v>1379</v>
      </c>
      <c r="C453" s="51">
        <v>48</v>
      </c>
      <c r="D453" s="51" t="s">
        <v>34</v>
      </c>
      <c r="E453" s="43">
        <v>44167</v>
      </c>
      <c r="F453" s="44" t="s">
        <v>60</v>
      </c>
      <c r="G453" s="51">
        <v>193</v>
      </c>
      <c r="H453" s="43">
        <v>44168</v>
      </c>
      <c r="I453" s="44" t="s">
        <v>1357</v>
      </c>
      <c r="J453" s="43">
        <v>44168</v>
      </c>
      <c r="K453" s="42" t="s">
        <v>36</v>
      </c>
      <c r="L453" s="42">
        <v>27</v>
      </c>
      <c r="M453" s="45" t="s">
        <v>31</v>
      </c>
      <c r="N453" s="44" t="s">
        <v>60</v>
      </c>
      <c r="O453" s="43" t="s">
        <v>60</v>
      </c>
      <c r="P453" s="42" t="s">
        <v>60</v>
      </c>
      <c r="Q453" s="42" t="s">
        <v>60</v>
      </c>
      <c r="R453" s="46" t="s">
        <v>60</v>
      </c>
      <c r="S453" s="43">
        <v>44168</v>
      </c>
      <c r="T453" s="51">
        <f t="shared" si="18"/>
        <v>3</v>
      </c>
      <c r="U453" s="52" t="str">
        <f t="shared" si="19"/>
        <v>Não Detectável</v>
      </c>
    </row>
    <row r="454" spans="1:21" ht="25.5" customHeight="1" x14ac:dyDescent="0.2">
      <c r="A454" s="51">
        <v>453</v>
      </c>
      <c r="B454" s="50" t="s">
        <v>1380</v>
      </c>
      <c r="C454" s="51">
        <v>22</v>
      </c>
      <c r="D454" s="51" t="s">
        <v>34</v>
      </c>
      <c r="E454" s="43">
        <v>44167</v>
      </c>
      <c r="F454" s="44" t="s">
        <v>60</v>
      </c>
      <c r="G454" s="51">
        <v>193</v>
      </c>
      <c r="H454" s="43">
        <v>44168</v>
      </c>
      <c r="I454" s="44" t="s">
        <v>1357</v>
      </c>
      <c r="J454" s="43">
        <v>44168</v>
      </c>
      <c r="K454" s="42" t="s">
        <v>36</v>
      </c>
      <c r="L454" s="42">
        <v>27</v>
      </c>
      <c r="M454" s="45" t="s">
        <v>31</v>
      </c>
      <c r="N454" s="44" t="s">
        <v>60</v>
      </c>
      <c r="O454" s="43" t="s">
        <v>60</v>
      </c>
      <c r="P454" s="42" t="s">
        <v>60</v>
      </c>
      <c r="Q454" s="42" t="s">
        <v>60</v>
      </c>
      <c r="R454" s="46" t="s">
        <v>60</v>
      </c>
      <c r="S454" s="43">
        <v>44168</v>
      </c>
      <c r="T454" s="51">
        <f t="shared" si="18"/>
        <v>3</v>
      </c>
      <c r="U454" s="52" t="str">
        <f t="shared" si="19"/>
        <v>Não Detectável</v>
      </c>
    </row>
    <row r="455" spans="1:21" ht="25.5" customHeight="1" x14ac:dyDescent="0.2">
      <c r="A455" s="51">
        <v>454</v>
      </c>
      <c r="B455" s="50" t="s">
        <v>1381</v>
      </c>
      <c r="C455" s="51">
        <v>40</v>
      </c>
      <c r="D455" s="51" t="s">
        <v>34</v>
      </c>
      <c r="E455" s="43">
        <v>44167</v>
      </c>
      <c r="F455" s="44" t="s">
        <v>60</v>
      </c>
      <c r="G455" s="51">
        <v>193</v>
      </c>
      <c r="H455" s="43">
        <v>44168</v>
      </c>
      <c r="I455" s="44" t="s">
        <v>1357</v>
      </c>
      <c r="J455" s="43">
        <v>44168</v>
      </c>
      <c r="K455" s="42" t="s">
        <v>36</v>
      </c>
      <c r="L455" s="42">
        <v>27</v>
      </c>
      <c r="M455" s="45" t="s">
        <v>31</v>
      </c>
      <c r="N455" s="44" t="s">
        <v>60</v>
      </c>
      <c r="O455" s="43" t="s">
        <v>60</v>
      </c>
      <c r="P455" s="42" t="s">
        <v>60</v>
      </c>
      <c r="Q455" s="42" t="s">
        <v>60</v>
      </c>
      <c r="R455" s="46" t="s">
        <v>60</v>
      </c>
      <c r="S455" s="43">
        <v>44168</v>
      </c>
      <c r="T455" s="51">
        <f t="shared" si="18"/>
        <v>3</v>
      </c>
      <c r="U455" s="52" t="str">
        <f t="shared" si="19"/>
        <v>Não Detectável</v>
      </c>
    </row>
    <row r="456" spans="1:21" ht="25.5" customHeight="1" x14ac:dyDescent="0.2">
      <c r="A456" s="51">
        <v>455</v>
      </c>
      <c r="B456" s="50" t="s">
        <v>1382</v>
      </c>
      <c r="C456" s="51">
        <v>46</v>
      </c>
      <c r="D456" s="51" t="s">
        <v>25</v>
      </c>
      <c r="E456" s="43">
        <v>44167</v>
      </c>
      <c r="F456" s="44" t="s">
        <v>60</v>
      </c>
      <c r="G456" s="51">
        <v>194</v>
      </c>
      <c r="H456" s="43">
        <v>44168</v>
      </c>
      <c r="I456" s="44" t="s">
        <v>1357</v>
      </c>
      <c r="J456" s="43">
        <v>44168</v>
      </c>
      <c r="K456" s="42">
        <v>29.7</v>
      </c>
      <c r="L456" s="42">
        <v>26.6</v>
      </c>
      <c r="M456" s="43" t="s">
        <v>29</v>
      </c>
      <c r="N456" s="44" t="s">
        <v>1376</v>
      </c>
      <c r="O456" s="43">
        <v>44169</v>
      </c>
      <c r="P456" s="42">
        <v>29.1</v>
      </c>
      <c r="Q456" s="42">
        <v>27.7</v>
      </c>
      <c r="R456" s="46" t="s">
        <v>29</v>
      </c>
      <c r="S456" s="43">
        <v>44169</v>
      </c>
      <c r="T456" s="51">
        <f t="shared" ref="T456:T476" si="20">COUNTIF(G:G,G456)</f>
        <v>3</v>
      </c>
      <c r="U456" s="52" t="str">
        <f t="shared" ref="U456:U476" si="21">IF(M456="Não Detectável","Não Detectável",IF(R456="","",R456))</f>
        <v>Detectável</v>
      </c>
    </row>
    <row r="457" spans="1:21" ht="25.5" customHeight="1" x14ac:dyDescent="0.2">
      <c r="A457" s="51">
        <v>456</v>
      </c>
      <c r="B457" s="50" t="s">
        <v>1383</v>
      </c>
      <c r="C457" s="51">
        <v>45</v>
      </c>
      <c r="D457" s="51" t="s">
        <v>34</v>
      </c>
      <c r="E457" s="43">
        <v>44167</v>
      </c>
      <c r="F457" s="44" t="s">
        <v>60</v>
      </c>
      <c r="G457" s="51">
        <v>194</v>
      </c>
      <c r="H457" s="43">
        <v>44168</v>
      </c>
      <c r="I457" s="44" t="s">
        <v>1357</v>
      </c>
      <c r="J457" s="43">
        <v>44168</v>
      </c>
      <c r="K457" s="42">
        <v>29.7</v>
      </c>
      <c r="L457" s="42">
        <v>26.6</v>
      </c>
      <c r="M457" s="43" t="s">
        <v>29</v>
      </c>
      <c r="N457" s="44" t="s">
        <v>1376</v>
      </c>
      <c r="O457" s="43">
        <v>44169</v>
      </c>
      <c r="P457" s="42" t="s">
        <v>36</v>
      </c>
      <c r="Q457" s="42">
        <v>29.2</v>
      </c>
      <c r="R457" s="46" t="s">
        <v>31</v>
      </c>
      <c r="S457" s="43">
        <v>44169</v>
      </c>
      <c r="T457" s="51">
        <f t="shared" si="20"/>
        <v>3</v>
      </c>
      <c r="U457" s="52" t="str">
        <f t="shared" si="21"/>
        <v>Não Detectável</v>
      </c>
    </row>
    <row r="458" spans="1:21" ht="25.5" customHeight="1" x14ac:dyDescent="0.2">
      <c r="A458" s="51">
        <v>457</v>
      </c>
      <c r="B458" s="50" t="s">
        <v>1384</v>
      </c>
      <c r="C458" s="51">
        <v>61</v>
      </c>
      <c r="D458" s="51" t="s">
        <v>34</v>
      </c>
      <c r="E458" s="43">
        <v>44167</v>
      </c>
      <c r="F458" s="44" t="s">
        <v>60</v>
      </c>
      <c r="G458" s="51">
        <v>194</v>
      </c>
      <c r="H458" s="43">
        <v>44168</v>
      </c>
      <c r="I458" s="44" t="s">
        <v>1357</v>
      </c>
      <c r="J458" s="43">
        <v>44168</v>
      </c>
      <c r="K458" s="42">
        <v>29.7</v>
      </c>
      <c r="L458" s="42">
        <v>26.6</v>
      </c>
      <c r="M458" s="43" t="s">
        <v>29</v>
      </c>
      <c r="N458" s="44" t="s">
        <v>1376</v>
      </c>
      <c r="O458" s="43">
        <v>44169</v>
      </c>
      <c r="P458" s="42" t="s">
        <v>36</v>
      </c>
      <c r="Q458" s="42">
        <v>28</v>
      </c>
      <c r="R458" s="46" t="s">
        <v>31</v>
      </c>
      <c r="S458" s="43">
        <v>44169</v>
      </c>
      <c r="T458" s="51">
        <f t="shared" si="20"/>
        <v>3</v>
      </c>
      <c r="U458" s="52" t="str">
        <f t="shared" si="21"/>
        <v>Não Detectável</v>
      </c>
    </row>
    <row r="459" spans="1:21" ht="25.5" customHeight="1" x14ac:dyDescent="0.2">
      <c r="A459" s="51">
        <v>458</v>
      </c>
      <c r="B459" s="50" t="s">
        <v>1385</v>
      </c>
      <c r="C459" s="51">
        <v>36</v>
      </c>
      <c r="D459" s="51" t="s">
        <v>34</v>
      </c>
      <c r="E459" s="43">
        <v>44167</v>
      </c>
      <c r="F459" s="44" t="s">
        <v>60</v>
      </c>
      <c r="G459" s="51">
        <v>195</v>
      </c>
      <c r="H459" s="43">
        <v>44168</v>
      </c>
      <c r="I459" s="44" t="s">
        <v>1357</v>
      </c>
      <c r="J459" s="43">
        <v>44168</v>
      </c>
      <c r="K459" s="42">
        <v>16.600000000000001</v>
      </c>
      <c r="L459" s="42">
        <v>25.9</v>
      </c>
      <c r="M459" s="43" t="s">
        <v>29</v>
      </c>
      <c r="N459" s="44" t="s">
        <v>1376</v>
      </c>
      <c r="O459" s="43">
        <v>44169</v>
      </c>
      <c r="P459" s="42" t="s">
        <v>36</v>
      </c>
      <c r="Q459" s="42">
        <v>27.6</v>
      </c>
      <c r="R459" s="46" t="s">
        <v>31</v>
      </c>
      <c r="S459" s="43">
        <v>44169</v>
      </c>
      <c r="T459" s="51">
        <f t="shared" si="20"/>
        <v>3</v>
      </c>
      <c r="U459" s="52" t="str">
        <f t="shared" si="21"/>
        <v>Não Detectável</v>
      </c>
    </row>
    <row r="460" spans="1:21" ht="25.5" customHeight="1" x14ac:dyDescent="0.2">
      <c r="A460" s="51">
        <v>459</v>
      </c>
      <c r="B460" s="50" t="s">
        <v>1386</v>
      </c>
      <c r="C460" s="51">
        <v>59</v>
      </c>
      <c r="D460" s="51" t="s">
        <v>34</v>
      </c>
      <c r="E460" s="43">
        <v>44167</v>
      </c>
      <c r="F460" s="44" t="s">
        <v>60</v>
      </c>
      <c r="G460" s="51">
        <v>195</v>
      </c>
      <c r="H460" s="43">
        <v>44168</v>
      </c>
      <c r="I460" s="44" t="s">
        <v>1357</v>
      </c>
      <c r="J460" s="43">
        <v>44168</v>
      </c>
      <c r="K460" s="42">
        <v>16.600000000000001</v>
      </c>
      <c r="L460" s="42">
        <v>25.9</v>
      </c>
      <c r="M460" s="43" t="s">
        <v>29</v>
      </c>
      <c r="N460" s="44" t="s">
        <v>1376</v>
      </c>
      <c r="O460" s="43">
        <v>44169</v>
      </c>
      <c r="P460" s="42">
        <v>16.2</v>
      </c>
      <c r="Q460" s="42">
        <v>28</v>
      </c>
      <c r="R460" s="46" t="s">
        <v>29</v>
      </c>
      <c r="S460" s="43">
        <v>44169</v>
      </c>
      <c r="T460" s="51">
        <f t="shared" si="20"/>
        <v>3</v>
      </c>
      <c r="U460" s="52" t="str">
        <f t="shared" si="21"/>
        <v>Detectável</v>
      </c>
    </row>
    <row r="461" spans="1:21" ht="25.5" customHeight="1" x14ac:dyDescent="0.2">
      <c r="A461" s="51">
        <v>460</v>
      </c>
      <c r="B461" s="50" t="s">
        <v>1387</v>
      </c>
      <c r="C461" s="51">
        <v>31</v>
      </c>
      <c r="D461" s="51" t="s">
        <v>25</v>
      </c>
      <c r="E461" s="43">
        <v>44167</v>
      </c>
      <c r="F461" s="44" t="s">
        <v>60</v>
      </c>
      <c r="G461" s="51">
        <v>195</v>
      </c>
      <c r="H461" s="43">
        <v>44168</v>
      </c>
      <c r="I461" s="44" t="s">
        <v>1357</v>
      </c>
      <c r="J461" s="43">
        <v>44168</v>
      </c>
      <c r="K461" s="42">
        <v>16.600000000000001</v>
      </c>
      <c r="L461" s="42">
        <v>25.9</v>
      </c>
      <c r="M461" s="43" t="s">
        <v>29</v>
      </c>
      <c r="N461" s="44" t="s">
        <v>1376</v>
      </c>
      <c r="O461" s="43">
        <v>44169</v>
      </c>
      <c r="P461" s="42" t="s">
        <v>36</v>
      </c>
      <c r="Q461" s="42">
        <v>26.4</v>
      </c>
      <c r="R461" s="46" t="s">
        <v>31</v>
      </c>
      <c r="S461" s="43">
        <v>44169</v>
      </c>
      <c r="T461" s="51">
        <f t="shared" si="20"/>
        <v>3</v>
      </c>
      <c r="U461" s="52" t="str">
        <f t="shared" si="21"/>
        <v>Não Detectável</v>
      </c>
    </row>
    <row r="462" spans="1:21" ht="25.5" customHeight="1" x14ac:dyDescent="0.2">
      <c r="A462" s="51">
        <v>461</v>
      </c>
      <c r="B462" s="50" t="s">
        <v>1388</v>
      </c>
      <c r="C462" s="51">
        <v>33</v>
      </c>
      <c r="D462" s="51" t="s">
        <v>25</v>
      </c>
      <c r="E462" s="43">
        <v>44167</v>
      </c>
      <c r="F462" s="44" t="s">
        <v>60</v>
      </c>
      <c r="G462" s="51">
        <v>196</v>
      </c>
      <c r="H462" s="43">
        <v>44168</v>
      </c>
      <c r="I462" s="44" t="s">
        <v>1357</v>
      </c>
      <c r="J462" s="43">
        <v>44168</v>
      </c>
      <c r="K462" s="42">
        <v>22.4</v>
      </c>
      <c r="L462" s="42">
        <v>26.4</v>
      </c>
      <c r="M462" s="43" t="s">
        <v>29</v>
      </c>
      <c r="N462" s="44" t="s">
        <v>1376</v>
      </c>
      <c r="O462" s="43">
        <v>44169</v>
      </c>
      <c r="P462" s="42" t="s">
        <v>36</v>
      </c>
      <c r="Q462" s="42">
        <v>27.6</v>
      </c>
      <c r="R462" s="46" t="s">
        <v>31</v>
      </c>
      <c r="S462" s="43">
        <v>44169</v>
      </c>
      <c r="T462" s="51">
        <f t="shared" si="20"/>
        <v>3</v>
      </c>
      <c r="U462" s="52" t="str">
        <f t="shared" si="21"/>
        <v>Não Detectável</v>
      </c>
    </row>
    <row r="463" spans="1:21" ht="25.5" customHeight="1" x14ac:dyDescent="0.2">
      <c r="A463" s="51">
        <v>462</v>
      </c>
      <c r="B463" s="50" t="s">
        <v>1389</v>
      </c>
      <c r="C463" s="51">
        <v>28</v>
      </c>
      <c r="D463" s="51" t="s">
        <v>25</v>
      </c>
      <c r="E463" s="43">
        <v>44167</v>
      </c>
      <c r="F463" s="44" t="s">
        <v>60</v>
      </c>
      <c r="G463" s="51">
        <v>196</v>
      </c>
      <c r="H463" s="43">
        <v>44168</v>
      </c>
      <c r="I463" s="44" t="s">
        <v>1357</v>
      </c>
      <c r="J463" s="43">
        <v>44168</v>
      </c>
      <c r="K463" s="42">
        <v>22.4</v>
      </c>
      <c r="L463" s="42">
        <v>26.4</v>
      </c>
      <c r="M463" s="43" t="s">
        <v>29</v>
      </c>
      <c r="N463" s="44" t="s">
        <v>1376</v>
      </c>
      <c r="O463" s="43">
        <v>44169</v>
      </c>
      <c r="P463" s="42" t="s">
        <v>36</v>
      </c>
      <c r="Q463" s="42">
        <v>28.2</v>
      </c>
      <c r="R463" s="46" t="s">
        <v>31</v>
      </c>
      <c r="S463" s="43">
        <v>44169</v>
      </c>
      <c r="T463" s="51">
        <f t="shared" si="20"/>
        <v>3</v>
      </c>
      <c r="U463" s="52" t="str">
        <f t="shared" si="21"/>
        <v>Não Detectável</v>
      </c>
    </row>
    <row r="464" spans="1:21" ht="25.5" customHeight="1" x14ac:dyDescent="0.2">
      <c r="A464" s="51">
        <v>463</v>
      </c>
      <c r="B464" s="50" t="s">
        <v>1390</v>
      </c>
      <c r="C464" s="51">
        <v>35</v>
      </c>
      <c r="D464" s="51" t="s">
        <v>34</v>
      </c>
      <c r="E464" s="43">
        <v>44167</v>
      </c>
      <c r="F464" s="44" t="s">
        <v>60</v>
      </c>
      <c r="G464" s="51">
        <v>196</v>
      </c>
      <c r="H464" s="43">
        <v>44168</v>
      </c>
      <c r="I464" s="44" t="s">
        <v>1357</v>
      </c>
      <c r="J464" s="43">
        <v>44168</v>
      </c>
      <c r="K464" s="42">
        <v>22.4</v>
      </c>
      <c r="L464" s="42">
        <v>26.4</v>
      </c>
      <c r="M464" s="43" t="s">
        <v>29</v>
      </c>
      <c r="N464" s="44" t="s">
        <v>1376</v>
      </c>
      <c r="O464" s="43">
        <v>44169</v>
      </c>
      <c r="P464" s="42">
        <v>21.8</v>
      </c>
      <c r="Q464" s="42">
        <v>27.6</v>
      </c>
      <c r="R464" s="46" t="s">
        <v>29</v>
      </c>
      <c r="S464" s="43">
        <v>44169</v>
      </c>
      <c r="T464" s="51">
        <f t="shared" si="20"/>
        <v>3</v>
      </c>
      <c r="U464" s="52" t="str">
        <f t="shared" si="21"/>
        <v>Detectável</v>
      </c>
    </row>
    <row r="465" spans="1:21" ht="25.5" customHeight="1" x14ac:dyDescent="0.2">
      <c r="A465" s="51">
        <v>464</v>
      </c>
      <c r="B465" s="50" t="s">
        <v>1391</v>
      </c>
      <c r="C465" s="51">
        <v>47</v>
      </c>
      <c r="D465" s="51" t="s">
        <v>25</v>
      </c>
      <c r="E465" s="43">
        <v>44167</v>
      </c>
      <c r="F465" s="44" t="s">
        <v>60</v>
      </c>
      <c r="G465" s="51">
        <v>197</v>
      </c>
      <c r="H465" s="43">
        <v>44168</v>
      </c>
      <c r="I465" s="44" t="s">
        <v>1357</v>
      </c>
      <c r="J465" s="43">
        <v>44168</v>
      </c>
      <c r="K465" s="42" t="s">
        <v>36</v>
      </c>
      <c r="L465" s="42">
        <v>26.2</v>
      </c>
      <c r="M465" s="45" t="s">
        <v>31</v>
      </c>
      <c r="N465" s="44" t="s">
        <v>60</v>
      </c>
      <c r="O465" s="43" t="s">
        <v>60</v>
      </c>
      <c r="P465" s="42" t="s">
        <v>60</v>
      </c>
      <c r="Q465" s="42" t="s">
        <v>60</v>
      </c>
      <c r="R465" s="46" t="s">
        <v>60</v>
      </c>
      <c r="S465" s="43">
        <v>44168</v>
      </c>
      <c r="T465" s="51">
        <f t="shared" si="20"/>
        <v>3</v>
      </c>
      <c r="U465" s="52" t="str">
        <f t="shared" si="21"/>
        <v>Não Detectável</v>
      </c>
    </row>
    <row r="466" spans="1:21" ht="25.5" customHeight="1" x14ac:dyDescent="0.2">
      <c r="A466" s="51">
        <v>465</v>
      </c>
      <c r="B466" s="50" t="s">
        <v>1392</v>
      </c>
      <c r="C466" s="51">
        <v>29</v>
      </c>
      <c r="D466" s="51" t="s">
        <v>34</v>
      </c>
      <c r="E466" s="43">
        <v>44167</v>
      </c>
      <c r="F466" s="44" t="s">
        <v>60</v>
      </c>
      <c r="G466" s="51">
        <v>197</v>
      </c>
      <c r="H466" s="43">
        <v>44168</v>
      </c>
      <c r="I466" s="44" t="s">
        <v>1357</v>
      </c>
      <c r="J466" s="43">
        <v>44168</v>
      </c>
      <c r="K466" s="42" t="s">
        <v>36</v>
      </c>
      <c r="L466" s="42">
        <v>26.2</v>
      </c>
      <c r="M466" s="45" t="s">
        <v>31</v>
      </c>
      <c r="N466" s="44" t="s">
        <v>60</v>
      </c>
      <c r="O466" s="43" t="s">
        <v>60</v>
      </c>
      <c r="P466" s="42" t="s">
        <v>60</v>
      </c>
      <c r="Q466" s="42" t="s">
        <v>60</v>
      </c>
      <c r="R466" s="46" t="s">
        <v>60</v>
      </c>
      <c r="S466" s="43">
        <v>44168</v>
      </c>
      <c r="T466" s="51">
        <f t="shared" si="20"/>
        <v>3</v>
      </c>
      <c r="U466" s="52" t="str">
        <f t="shared" si="21"/>
        <v>Não Detectável</v>
      </c>
    </row>
    <row r="467" spans="1:21" ht="25.5" customHeight="1" x14ac:dyDescent="0.2">
      <c r="A467" s="51">
        <v>466</v>
      </c>
      <c r="B467" s="50" t="s">
        <v>1393</v>
      </c>
      <c r="C467" s="51">
        <v>58</v>
      </c>
      <c r="D467" s="51" t="s">
        <v>25</v>
      </c>
      <c r="E467" s="43">
        <v>44167</v>
      </c>
      <c r="F467" s="44" t="s">
        <v>60</v>
      </c>
      <c r="G467" s="51">
        <v>197</v>
      </c>
      <c r="H467" s="43">
        <v>44168</v>
      </c>
      <c r="I467" s="44" t="s">
        <v>1357</v>
      </c>
      <c r="J467" s="43">
        <v>44168</v>
      </c>
      <c r="K467" s="42" t="s">
        <v>36</v>
      </c>
      <c r="L467" s="42">
        <v>26.2</v>
      </c>
      <c r="M467" s="45" t="s">
        <v>31</v>
      </c>
      <c r="N467" s="44" t="s">
        <v>60</v>
      </c>
      <c r="O467" s="43" t="s">
        <v>60</v>
      </c>
      <c r="P467" s="42" t="s">
        <v>60</v>
      </c>
      <c r="Q467" s="42" t="s">
        <v>60</v>
      </c>
      <c r="R467" s="46" t="s">
        <v>60</v>
      </c>
      <c r="S467" s="43">
        <v>44168</v>
      </c>
      <c r="T467" s="51">
        <f t="shared" si="20"/>
        <v>3</v>
      </c>
      <c r="U467" s="52" t="str">
        <f t="shared" si="21"/>
        <v>Não Detectável</v>
      </c>
    </row>
    <row r="468" spans="1:21" ht="25.5" customHeight="1" x14ac:dyDescent="0.2">
      <c r="A468" s="51">
        <v>467</v>
      </c>
      <c r="B468" s="50" t="s">
        <v>1394</v>
      </c>
      <c r="C468" s="51">
        <v>29</v>
      </c>
      <c r="D468" s="51" t="s">
        <v>25</v>
      </c>
      <c r="E468" s="43">
        <v>44167</v>
      </c>
      <c r="F468" s="44" t="s">
        <v>60</v>
      </c>
      <c r="G468" s="51">
        <v>198</v>
      </c>
      <c r="H468" s="43">
        <v>44168</v>
      </c>
      <c r="I468" s="44" t="s">
        <v>1357</v>
      </c>
      <c r="J468" s="43">
        <v>44168</v>
      </c>
      <c r="K468" s="42" t="s">
        <v>36</v>
      </c>
      <c r="L468" s="42">
        <v>26.7</v>
      </c>
      <c r="M468" s="45" t="s">
        <v>31</v>
      </c>
      <c r="N468" s="44" t="s">
        <v>60</v>
      </c>
      <c r="O468" s="43" t="s">
        <v>60</v>
      </c>
      <c r="P468" s="42" t="s">
        <v>60</v>
      </c>
      <c r="Q468" s="42" t="s">
        <v>60</v>
      </c>
      <c r="R468" s="46" t="s">
        <v>60</v>
      </c>
      <c r="S468" s="43">
        <v>44168</v>
      </c>
      <c r="T468" s="51">
        <f t="shared" si="20"/>
        <v>3</v>
      </c>
      <c r="U468" s="52" t="str">
        <f t="shared" si="21"/>
        <v>Não Detectável</v>
      </c>
    </row>
    <row r="469" spans="1:21" ht="25.5" customHeight="1" x14ac:dyDescent="0.2">
      <c r="A469" s="51">
        <v>468</v>
      </c>
      <c r="B469" s="50" t="s">
        <v>1395</v>
      </c>
      <c r="C469" s="51">
        <v>47</v>
      </c>
      <c r="D469" s="51" t="s">
        <v>34</v>
      </c>
      <c r="E469" s="43">
        <v>44167</v>
      </c>
      <c r="F469" s="44" t="s">
        <v>60</v>
      </c>
      <c r="G469" s="51">
        <v>198</v>
      </c>
      <c r="H469" s="43">
        <v>44168</v>
      </c>
      <c r="I469" s="44" t="s">
        <v>1357</v>
      </c>
      <c r="J469" s="43">
        <v>44168</v>
      </c>
      <c r="K469" s="42" t="s">
        <v>36</v>
      </c>
      <c r="L469" s="42">
        <v>26.7</v>
      </c>
      <c r="M469" s="45" t="s">
        <v>31</v>
      </c>
      <c r="N469" s="44" t="s">
        <v>60</v>
      </c>
      <c r="O469" s="43" t="s">
        <v>60</v>
      </c>
      <c r="P469" s="42" t="s">
        <v>60</v>
      </c>
      <c r="Q469" s="42" t="s">
        <v>60</v>
      </c>
      <c r="R469" s="46" t="s">
        <v>60</v>
      </c>
      <c r="S469" s="43">
        <v>44168</v>
      </c>
      <c r="T469" s="51">
        <f t="shared" si="20"/>
        <v>3</v>
      </c>
      <c r="U469" s="52" t="str">
        <f t="shared" si="21"/>
        <v>Não Detectável</v>
      </c>
    </row>
    <row r="470" spans="1:21" ht="25.5" customHeight="1" x14ac:dyDescent="0.2">
      <c r="A470" s="51">
        <v>469</v>
      </c>
      <c r="B470" s="50" t="s">
        <v>1396</v>
      </c>
      <c r="C470" s="51">
        <v>47</v>
      </c>
      <c r="D470" s="51" t="s">
        <v>34</v>
      </c>
      <c r="E470" s="43">
        <v>44167</v>
      </c>
      <c r="F470" s="44" t="s">
        <v>60</v>
      </c>
      <c r="G470" s="51">
        <v>198</v>
      </c>
      <c r="H470" s="43">
        <v>44168</v>
      </c>
      <c r="I470" s="44" t="s">
        <v>1357</v>
      </c>
      <c r="J470" s="43">
        <v>44168</v>
      </c>
      <c r="K470" s="42" t="s">
        <v>36</v>
      </c>
      <c r="L470" s="42">
        <v>26.7</v>
      </c>
      <c r="M470" s="45" t="s">
        <v>31</v>
      </c>
      <c r="N470" s="44" t="s">
        <v>60</v>
      </c>
      <c r="O470" s="43" t="s">
        <v>60</v>
      </c>
      <c r="P470" s="42" t="s">
        <v>60</v>
      </c>
      <c r="Q470" s="42" t="s">
        <v>60</v>
      </c>
      <c r="R470" s="46" t="s">
        <v>60</v>
      </c>
      <c r="S470" s="43">
        <v>44168</v>
      </c>
      <c r="T470" s="51">
        <f t="shared" si="20"/>
        <v>3</v>
      </c>
      <c r="U470" s="52" t="str">
        <f t="shared" si="21"/>
        <v>Não Detectável</v>
      </c>
    </row>
    <row r="471" spans="1:21" ht="25.5" customHeight="1" x14ac:dyDescent="0.2">
      <c r="A471" s="51">
        <v>470</v>
      </c>
      <c r="B471" s="50" t="s">
        <v>1397</v>
      </c>
      <c r="C471" s="51">
        <v>32</v>
      </c>
      <c r="D471" s="51" t="s">
        <v>25</v>
      </c>
      <c r="E471" s="43">
        <v>44167</v>
      </c>
      <c r="F471" s="44" t="s">
        <v>60</v>
      </c>
      <c r="G471" s="51">
        <v>199</v>
      </c>
      <c r="H471" s="43">
        <v>44168</v>
      </c>
      <c r="I471" s="44" t="s">
        <v>1357</v>
      </c>
      <c r="J471" s="43">
        <v>44168</v>
      </c>
      <c r="K471" s="42">
        <v>18.3</v>
      </c>
      <c r="L471" s="42">
        <v>27.4</v>
      </c>
      <c r="M471" s="43" t="s">
        <v>29</v>
      </c>
      <c r="N471" s="44" t="s">
        <v>1376</v>
      </c>
      <c r="O471" s="43">
        <v>44169</v>
      </c>
      <c r="P471" s="42">
        <v>35.299999999999997</v>
      </c>
      <c r="Q471" s="42">
        <v>27.9</v>
      </c>
      <c r="R471" s="46" t="s">
        <v>29</v>
      </c>
      <c r="S471" s="43">
        <v>44169</v>
      </c>
      <c r="T471" s="51">
        <f t="shared" si="20"/>
        <v>3</v>
      </c>
      <c r="U471" s="52" t="str">
        <f t="shared" si="21"/>
        <v>Detectável</v>
      </c>
    </row>
    <row r="472" spans="1:21" ht="25.5" customHeight="1" x14ac:dyDescent="0.2">
      <c r="A472" s="51">
        <v>471</v>
      </c>
      <c r="B472" s="50" t="s">
        <v>1398</v>
      </c>
      <c r="C472" s="51">
        <v>46</v>
      </c>
      <c r="D472" s="51" t="s">
        <v>25</v>
      </c>
      <c r="E472" s="43">
        <v>44167</v>
      </c>
      <c r="F472" s="44" t="s">
        <v>60</v>
      </c>
      <c r="G472" s="51">
        <v>199</v>
      </c>
      <c r="H472" s="43">
        <v>44168</v>
      </c>
      <c r="I472" s="44" t="s">
        <v>1357</v>
      </c>
      <c r="J472" s="43">
        <v>44168</v>
      </c>
      <c r="K472" s="42">
        <v>18.3</v>
      </c>
      <c r="L472" s="42">
        <v>27.4</v>
      </c>
      <c r="M472" s="43" t="s">
        <v>29</v>
      </c>
      <c r="N472" s="44" t="s">
        <v>1376</v>
      </c>
      <c r="O472" s="43">
        <v>44169</v>
      </c>
      <c r="P472" s="42">
        <v>17.600000000000001</v>
      </c>
      <c r="Q472" s="42">
        <v>29.4</v>
      </c>
      <c r="R472" s="46" t="s">
        <v>29</v>
      </c>
      <c r="S472" s="43">
        <v>44169</v>
      </c>
      <c r="T472" s="51">
        <f t="shared" si="20"/>
        <v>3</v>
      </c>
      <c r="U472" s="52" t="str">
        <f t="shared" si="21"/>
        <v>Detectável</v>
      </c>
    </row>
    <row r="473" spans="1:21" ht="25.5" customHeight="1" x14ac:dyDescent="0.2">
      <c r="A473" s="51">
        <v>472</v>
      </c>
      <c r="B473" s="50" t="s">
        <v>1399</v>
      </c>
      <c r="C473" s="51">
        <v>43</v>
      </c>
      <c r="D473" s="51" t="s">
        <v>25</v>
      </c>
      <c r="E473" s="43">
        <v>44167</v>
      </c>
      <c r="F473" s="44" t="s">
        <v>60</v>
      </c>
      <c r="G473" s="51">
        <v>199</v>
      </c>
      <c r="H473" s="43">
        <v>44168</v>
      </c>
      <c r="I473" s="44" t="s">
        <v>1357</v>
      </c>
      <c r="J473" s="43">
        <v>44168</v>
      </c>
      <c r="K473" s="42">
        <v>18.3</v>
      </c>
      <c r="L473" s="42">
        <v>27.4</v>
      </c>
      <c r="M473" s="43" t="s">
        <v>29</v>
      </c>
      <c r="N473" s="44" t="s">
        <v>1376</v>
      </c>
      <c r="O473" s="43">
        <v>44169</v>
      </c>
      <c r="P473" s="42" t="s">
        <v>36</v>
      </c>
      <c r="Q473" s="42">
        <v>29.3</v>
      </c>
      <c r="R473" s="46" t="s">
        <v>31</v>
      </c>
      <c r="S473" s="43">
        <v>44169</v>
      </c>
      <c r="T473" s="51">
        <f t="shared" si="20"/>
        <v>3</v>
      </c>
      <c r="U473" s="52" t="str">
        <f t="shared" si="21"/>
        <v>Não Detectável</v>
      </c>
    </row>
    <row r="474" spans="1:21" ht="25.5" customHeight="1" x14ac:dyDescent="0.2">
      <c r="A474" s="51">
        <v>473</v>
      </c>
      <c r="B474" s="50" t="s">
        <v>1400</v>
      </c>
      <c r="C474" s="51">
        <v>25</v>
      </c>
      <c r="D474" s="51" t="s">
        <v>25</v>
      </c>
      <c r="E474" s="43">
        <v>44167</v>
      </c>
      <c r="F474" s="44" t="s">
        <v>60</v>
      </c>
      <c r="G474" s="51">
        <v>200</v>
      </c>
      <c r="H474" s="43">
        <v>44168</v>
      </c>
      <c r="I474" s="44" t="s">
        <v>1357</v>
      </c>
      <c r="J474" s="43">
        <v>44168</v>
      </c>
      <c r="K474" s="42" t="s">
        <v>36</v>
      </c>
      <c r="L474" s="42">
        <v>27.5</v>
      </c>
      <c r="M474" s="45" t="s">
        <v>31</v>
      </c>
      <c r="N474" s="44" t="s">
        <v>60</v>
      </c>
      <c r="O474" s="43" t="s">
        <v>60</v>
      </c>
      <c r="P474" s="42" t="s">
        <v>60</v>
      </c>
      <c r="Q474" s="42" t="s">
        <v>60</v>
      </c>
      <c r="R474" s="46" t="s">
        <v>60</v>
      </c>
      <c r="S474" s="43">
        <v>44168</v>
      </c>
      <c r="T474" s="51">
        <f t="shared" si="20"/>
        <v>3</v>
      </c>
      <c r="U474" s="52" t="str">
        <f t="shared" si="21"/>
        <v>Não Detectável</v>
      </c>
    </row>
    <row r="475" spans="1:21" ht="25.5" customHeight="1" x14ac:dyDescent="0.2">
      <c r="A475" s="51">
        <v>474</v>
      </c>
      <c r="B475" s="50" t="s">
        <v>1401</v>
      </c>
      <c r="C475" s="51">
        <v>42</v>
      </c>
      <c r="D475" s="51" t="s">
        <v>34</v>
      </c>
      <c r="E475" s="43">
        <v>44167</v>
      </c>
      <c r="F475" s="44" t="s">
        <v>60</v>
      </c>
      <c r="G475" s="51">
        <v>200</v>
      </c>
      <c r="H475" s="43">
        <v>44168</v>
      </c>
      <c r="I475" s="44" t="s">
        <v>1357</v>
      </c>
      <c r="J475" s="43">
        <v>44168</v>
      </c>
      <c r="K475" s="42" t="s">
        <v>36</v>
      </c>
      <c r="L475" s="42">
        <v>27.5</v>
      </c>
      <c r="M475" s="45" t="s">
        <v>31</v>
      </c>
      <c r="N475" s="44" t="s">
        <v>60</v>
      </c>
      <c r="O475" s="43" t="s">
        <v>60</v>
      </c>
      <c r="P475" s="42" t="s">
        <v>60</v>
      </c>
      <c r="Q475" s="42" t="s">
        <v>60</v>
      </c>
      <c r="R475" s="46" t="s">
        <v>60</v>
      </c>
      <c r="S475" s="43">
        <v>44168</v>
      </c>
      <c r="T475" s="51">
        <f t="shared" si="20"/>
        <v>3</v>
      </c>
      <c r="U475" s="52" t="str">
        <f t="shared" si="21"/>
        <v>Não Detectável</v>
      </c>
    </row>
    <row r="476" spans="1:21" ht="25.5" customHeight="1" x14ac:dyDescent="0.2">
      <c r="A476" s="51">
        <v>475</v>
      </c>
      <c r="B476" s="50" t="s">
        <v>1402</v>
      </c>
      <c r="C476" s="51">
        <v>37</v>
      </c>
      <c r="D476" s="51" t="s">
        <v>25</v>
      </c>
      <c r="E476" s="43">
        <v>44167</v>
      </c>
      <c r="F476" s="44" t="s">
        <v>60</v>
      </c>
      <c r="G476" s="51">
        <v>200</v>
      </c>
      <c r="H476" s="43">
        <v>44168</v>
      </c>
      <c r="I476" s="44" t="s">
        <v>1357</v>
      </c>
      <c r="J476" s="43">
        <v>44168</v>
      </c>
      <c r="K476" s="42" t="s">
        <v>36</v>
      </c>
      <c r="L476" s="42">
        <v>27.5</v>
      </c>
      <c r="M476" s="45" t="s">
        <v>31</v>
      </c>
      <c r="N476" s="44" t="s">
        <v>60</v>
      </c>
      <c r="O476" s="43" t="s">
        <v>60</v>
      </c>
      <c r="P476" s="42" t="s">
        <v>60</v>
      </c>
      <c r="Q476" s="42" t="s">
        <v>60</v>
      </c>
      <c r="R476" s="46" t="s">
        <v>60</v>
      </c>
      <c r="S476" s="43">
        <v>44168</v>
      </c>
      <c r="T476" s="51">
        <f t="shared" si="20"/>
        <v>3</v>
      </c>
      <c r="U476" s="52" t="str">
        <f t="shared" si="21"/>
        <v>Não Detectável</v>
      </c>
    </row>
    <row r="477" spans="1:21" ht="25.5" customHeight="1" x14ac:dyDescent="0.2">
      <c r="A477" s="51">
        <v>476</v>
      </c>
      <c r="B477" s="50" t="s">
        <v>1403</v>
      </c>
      <c r="C477" s="51">
        <v>16</v>
      </c>
      <c r="D477" s="51" t="s">
        <v>25</v>
      </c>
      <c r="E477" s="43">
        <v>44167</v>
      </c>
      <c r="F477" s="44" t="s">
        <v>60</v>
      </c>
      <c r="G477" s="51" t="s">
        <v>60</v>
      </c>
      <c r="H477" s="43" t="s">
        <v>60</v>
      </c>
      <c r="I477" s="43" t="s">
        <v>60</v>
      </c>
      <c r="J477" s="43" t="s">
        <v>60</v>
      </c>
      <c r="K477" s="42" t="s">
        <v>60</v>
      </c>
      <c r="L477" s="42" t="s">
        <v>60</v>
      </c>
      <c r="M477" s="43" t="s">
        <v>60</v>
      </c>
      <c r="N477" s="43" t="s">
        <v>60</v>
      </c>
      <c r="O477" s="43" t="s">
        <v>60</v>
      </c>
      <c r="P477" s="42" t="s">
        <v>60</v>
      </c>
      <c r="Q477" s="42" t="s">
        <v>60</v>
      </c>
      <c r="R477" s="45" t="s">
        <v>60</v>
      </c>
      <c r="S477" s="43" t="s">
        <v>60</v>
      </c>
      <c r="T477" s="43" t="s">
        <v>60</v>
      </c>
      <c r="U477" s="43" t="s">
        <v>60</v>
      </c>
    </row>
    <row r="478" spans="1:21" ht="25.5" customHeight="1" x14ac:dyDescent="0.2">
      <c r="A478" s="51">
        <v>477</v>
      </c>
      <c r="B478" s="50" t="s">
        <v>1404</v>
      </c>
      <c r="C478" s="51">
        <v>45</v>
      </c>
      <c r="D478" s="51" t="s">
        <v>34</v>
      </c>
      <c r="E478" s="43">
        <v>44167</v>
      </c>
      <c r="F478" s="44" t="s">
        <v>60</v>
      </c>
      <c r="G478" s="51">
        <v>201</v>
      </c>
      <c r="H478" s="43">
        <v>44168</v>
      </c>
      <c r="I478" s="44" t="s">
        <v>1357</v>
      </c>
      <c r="J478" s="43">
        <v>44168</v>
      </c>
      <c r="K478" s="42">
        <v>18.600000000000001</v>
      </c>
      <c r="L478" s="42">
        <v>27</v>
      </c>
      <c r="M478" s="43" t="s">
        <v>29</v>
      </c>
      <c r="N478" s="44" t="s">
        <v>1376</v>
      </c>
      <c r="O478" s="43">
        <v>44169</v>
      </c>
      <c r="P478" s="42" t="s">
        <v>36</v>
      </c>
      <c r="Q478" s="42">
        <v>29.6</v>
      </c>
      <c r="R478" s="46" t="s">
        <v>31</v>
      </c>
      <c r="S478" s="43">
        <v>44169</v>
      </c>
      <c r="T478" s="51">
        <f t="shared" ref="T478:T498" si="22">COUNTIF(G:G,G478)</f>
        <v>3</v>
      </c>
      <c r="U478" s="52" t="str">
        <f t="shared" ref="U478:U493" si="23">IF(M478="Não Detectável","Não Detectável",IF(R478="","",R478))</f>
        <v>Não Detectável</v>
      </c>
    </row>
    <row r="479" spans="1:21" ht="25.5" customHeight="1" x14ac:dyDescent="0.2">
      <c r="A479" s="51">
        <v>478</v>
      </c>
      <c r="B479" s="50" t="s">
        <v>1405</v>
      </c>
      <c r="C479" s="51">
        <v>32</v>
      </c>
      <c r="D479" s="51" t="s">
        <v>25</v>
      </c>
      <c r="E479" s="43">
        <v>44167</v>
      </c>
      <c r="F479" s="44" t="s">
        <v>60</v>
      </c>
      <c r="G479" s="51">
        <v>201</v>
      </c>
      <c r="H479" s="43">
        <v>44168</v>
      </c>
      <c r="I479" s="44" t="s">
        <v>1357</v>
      </c>
      <c r="J479" s="43">
        <v>44168</v>
      </c>
      <c r="K479" s="42">
        <v>18.600000000000001</v>
      </c>
      <c r="L479" s="42">
        <v>27</v>
      </c>
      <c r="M479" s="43" t="s">
        <v>29</v>
      </c>
      <c r="N479" s="44" t="s">
        <v>1376</v>
      </c>
      <c r="O479" s="43">
        <v>44169</v>
      </c>
      <c r="P479" s="42">
        <v>17.8</v>
      </c>
      <c r="Q479" s="42">
        <v>29.8</v>
      </c>
      <c r="R479" s="46" t="s">
        <v>29</v>
      </c>
      <c r="S479" s="43">
        <v>44169</v>
      </c>
      <c r="T479" s="51">
        <f t="shared" si="22"/>
        <v>3</v>
      </c>
      <c r="U479" s="52" t="str">
        <f t="shared" si="23"/>
        <v>Detectável</v>
      </c>
    </row>
    <row r="480" spans="1:21" ht="25.5" customHeight="1" x14ac:dyDescent="0.2">
      <c r="A480" s="51">
        <v>479</v>
      </c>
      <c r="B480" s="50" t="s">
        <v>1406</v>
      </c>
      <c r="C480" s="51">
        <v>22</v>
      </c>
      <c r="D480" s="51" t="s">
        <v>34</v>
      </c>
      <c r="E480" s="43">
        <v>44167</v>
      </c>
      <c r="F480" s="44" t="s">
        <v>60</v>
      </c>
      <c r="G480" s="51">
        <v>202</v>
      </c>
      <c r="H480" s="43">
        <v>44168</v>
      </c>
      <c r="I480" s="44" t="s">
        <v>1357</v>
      </c>
      <c r="J480" s="43">
        <v>44168</v>
      </c>
      <c r="K480" s="42" t="s">
        <v>36</v>
      </c>
      <c r="L480" s="42">
        <v>26.6</v>
      </c>
      <c r="M480" s="45" t="s">
        <v>31</v>
      </c>
      <c r="N480" s="44" t="s">
        <v>60</v>
      </c>
      <c r="O480" s="43" t="s">
        <v>60</v>
      </c>
      <c r="P480" s="42" t="s">
        <v>60</v>
      </c>
      <c r="Q480" s="42" t="s">
        <v>60</v>
      </c>
      <c r="R480" s="46" t="s">
        <v>60</v>
      </c>
      <c r="S480" s="43">
        <v>44168</v>
      </c>
      <c r="T480" s="51">
        <f t="shared" si="22"/>
        <v>3</v>
      </c>
      <c r="U480" s="52" t="str">
        <f t="shared" si="23"/>
        <v>Não Detectável</v>
      </c>
    </row>
    <row r="481" spans="1:21" ht="25.5" customHeight="1" x14ac:dyDescent="0.2">
      <c r="A481" s="51">
        <v>480</v>
      </c>
      <c r="B481" s="50" t="s">
        <v>1407</v>
      </c>
      <c r="C481" s="51">
        <v>42</v>
      </c>
      <c r="D481" s="51" t="s">
        <v>25</v>
      </c>
      <c r="E481" s="43">
        <v>44167</v>
      </c>
      <c r="F481" s="44" t="s">
        <v>60</v>
      </c>
      <c r="G481" s="51">
        <v>202</v>
      </c>
      <c r="H481" s="43">
        <v>44168</v>
      </c>
      <c r="I481" s="44" t="s">
        <v>1357</v>
      </c>
      <c r="J481" s="43">
        <v>44168</v>
      </c>
      <c r="K481" s="42" t="s">
        <v>36</v>
      </c>
      <c r="L481" s="42">
        <v>26.6</v>
      </c>
      <c r="M481" s="45" t="s">
        <v>31</v>
      </c>
      <c r="N481" s="44" t="s">
        <v>60</v>
      </c>
      <c r="O481" s="43" t="s">
        <v>60</v>
      </c>
      <c r="P481" s="42" t="s">
        <v>60</v>
      </c>
      <c r="Q481" s="42" t="s">
        <v>60</v>
      </c>
      <c r="R481" s="46" t="s">
        <v>60</v>
      </c>
      <c r="S481" s="43">
        <v>44168</v>
      </c>
      <c r="T481" s="51">
        <f t="shared" si="22"/>
        <v>3</v>
      </c>
      <c r="U481" s="52" t="str">
        <f t="shared" si="23"/>
        <v>Não Detectável</v>
      </c>
    </row>
    <row r="482" spans="1:21" ht="25.5" customHeight="1" x14ac:dyDescent="0.2">
      <c r="A482" s="51">
        <v>481</v>
      </c>
      <c r="B482" s="50" t="s">
        <v>1408</v>
      </c>
      <c r="C482" s="51">
        <v>32</v>
      </c>
      <c r="D482" s="51" t="s">
        <v>25</v>
      </c>
      <c r="E482" s="43">
        <v>44168</v>
      </c>
      <c r="F482" s="44" t="s">
        <v>60</v>
      </c>
      <c r="G482" s="51">
        <v>202</v>
      </c>
      <c r="H482" s="43">
        <v>44168</v>
      </c>
      <c r="I482" s="44" t="s">
        <v>1357</v>
      </c>
      <c r="J482" s="43">
        <v>44168</v>
      </c>
      <c r="K482" s="42" t="s">
        <v>36</v>
      </c>
      <c r="L482" s="42">
        <v>26.6</v>
      </c>
      <c r="M482" s="45" t="s">
        <v>31</v>
      </c>
      <c r="N482" s="44" t="s">
        <v>60</v>
      </c>
      <c r="O482" s="43" t="s">
        <v>60</v>
      </c>
      <c r="P482" s="42" t="s">
        <v>60</v>
      </c>
      <c r="Q482" s="42" t="s">
        <v>60</v>
      </c>
      <c r="R482" s="46" t="s">
        <v>60</v>
      </c>
      <c r="S482" s="43">
        <v>44168</v>
      </c>
      <c r="T482" s="51">
        <f t="shared" si="22"/>
        <v>3</v>
      </c>
      <c r="U482" s="52" t="str">
        <f t="shared" si="23"/>
        <v>Não Detectável</v>
      </c>
    </row>
    <row r="483" spans="1:21" ht="25.5" customHeight="1" x14ac:dyDescent="0.2">
      <c r="A483" s="51">
        <v>482</v>
      </c>
      <c r="B483" s="50" t="s">
        <v>1409</v>
      </c>
      <c r="C483" s="51">
        <v>38</v>
      </c>
      <c r="D483" s="51" t="s">
        <v>25</v>
      </c>
      <c r="E483" s="43">
        <v>44168</v>
      </c>
      <c r="F483" s="44" t="s">
        <v>60</v>
      </c>
      <c r="G483" s="51">
        <v>201</v>
      </c>
      <c r="H483" s="43">
        <v>44168</v>
      </c>
      <c r="I483" s="44" t="s">
        <v>1357</v>
      </c>
      <c r="J483" s="43">
        <v>44168</v>
      </c>
      <c r="K483" s="42">
        <v>18.600000000000001</v>
      </c>
      <c r="L483" s="42">
        <v>27</v>
      </c>
      <c r="M483" s="43" t="s">
        <v>29</v>
      </c>
      <c r="N483" s="44" t="s">
        <v>1376</v>
      </c>
      <c r="O483" s="43">
        <v>44169</v>
      </c>
      <c r="P483" s="42" t="s">
        <v>36</v>
      </c>
      <c r="Q483" s="42">
        <v>27.9</v>
      </c>
      <c r="R483" s="46" t="s">
        <v>31</v>
      </c>
      <c r="S483" s="43">
        <v>44169</v>
      </c>
      <c r="T483" s="51">
        <f t="shared" si="22"/>
        <v>3</v>
      </c>
      <c r="U483" s="52" t="str">
        <f t="shared" si="23"/>
        <v>Não Detectável</v>
      </c>
    </row>
    <row r="484" spans="1:21" ht="25.5" customHeight="1" x14ac:dyDescent="0.2">
      <c r="A484" s="51">
        <v>483</v>
      </c>
      <c r="B484" s="50" t="s">
        <v>1410</v>
      </c>
      <c r="C484" s="51">
        <v>58</v>
      </c>
      <c r="D484" s="51" t="s">
        <v>34</v>
      </c>
      <c r="E484" s="43">
        <v>44168</v>
      </c>
      <c r="F484" s="44" t="s">
        <v>60</v>
      </c>
      <c r="G484" s="51">
        <v>203</v>
      </c>
      <c r="H484" s="43">
        <v>44169</v>
      </c>
      <c r="I484" s="44" t="s">
        <v>1376</v>
      </c>
      <c r="J484" s="43">
        <v>44169</v>
      </c>
      <c r="K484" s="42">
        <v>25.9</v>
      </c>
      <c r="L484" s="42">
        <v>28.5</v>
      </c>
      <c r="M484" s="43" t="s">
        <v>29</v>
      </c>
      <c r="N484" s="44" t="s">
        <v>1411</v>
      </c>
      <c r="O484" s="43">
        <v>44169</v>
      </c>
      <c r="P484" s="42" t="s">
        <v>36</v>
      </c>
      <c r="Q484" s="42">
        <v>27.7</v>
      </c>
      <c r="R484" s="46" t="s">
        <v>31</v>
      </c>
      <c r="S484" s="43">
        <v>44169</v>
      </c>
      <c r="T484" s="51">
        <f t="shared" si="22"/>
        <v>3</v>
      </c>
      <c r="U484" s="52" t="str">
        <f t="shared" si="23"/>
        <v>Não Detectável</v>
      </c>
    </row>
    <row r="485" spans="1:21" ht="25.5" customHeight="1" x14ac:dyDescent="0.2">
      <c r="A485" s="51">
        <v>484</v>
      </c>
      <c r="B485" s="50" t="s">
        <v>1412</v>
      </c>
      <c r="C485" s="51">
        <v>40</v>
      </c>
      <c r="D485" s="51" t="s">
        <v>25</v>
      </c>
      <c r="E485" s="43">
        <v>44168</v>
      </c>
      <c r="F485" s="44" t="s">
        <v>60</v>
      </c>
      <c r="G485" s="51">
        <v>203</v>
      </c>
      <c r="H485" s="43">
        <v>44169</v>
      </c>
      <c r="I485" s="44" t="s">
        <v>1376</v>
      </c>
      <c r="J485" s="43">
        <v>44169</v>
      </c>
      <c r="K485" s="42">
        <v>25.9</v>
      </c>
      <c r="L485" s="42">
        <v>28.5</v>
      </c>
      <c r="M485" s="43" t="s">
        <v>29</v>
      </c>
      <c r="N485" s="44" t="s">
        <v>1411</v>
      </c>
      <c r="O485" s="43">
        <v>44169</v>
      </c>
      <c r="P485" s="42" t="s">
        <v>36</v>
      </c>
      <c r="Q485" s="42">
        <v>27.7</v>
      </c>
      <c r="R485" s="46" t="s">
        <v>31</v>
      </c>
      <c r="S485" s="43">
        <v>44169</v>
      </c>
      <c r="T485" s="51">
        <f t="shared" si="22"/>
        <v>3</v>
      </c>
      <c r="U485" s="52" t="str">
        <f t="shared" si="23"/>
        <v>Não Detectável</v>
      </c>
    </row>
    <row r="486" spans="1:21" ht="25.5" customHeight="1" x14ac:dyDescent="0.2">
      <c r="A486" s="51">
        <v>485</v>
      </c>
      <c r="B486" s="50" t="s">
        <v>1413</v>
      </c>
      <c r="C486" s="51">
        <v>21</v>
      </c>
      <c r="D486" s="51" t="s">
        <v>34</v>
      </c>
      <c r="E486" s="43">
        <v>44168</v>
      </c>
      <c r="F486" s="44" t="s">
        <v>60</v>
      </c>
      <c r="G486" s="51">
        <v>203</v>
      </c>
      <c r="H486" s="43">
        <v>44169</v>
      </c>
      <c r="I486" s="44" t="s">
        <v>1376</v>
      </c>
      <c r="J486" s="43">
        <v>44169</v>
      </c>
      <c r="K486" s="42">
        <v>25.9</v>
      </c>
      <c r="L486" s="42">
        <v>28.5</v>
      </c>
      <c r="M486" s="43" t="s">
        <v>29</v>
      </c>
      <c r="N486" s="44" t="s">
        <v>1411</v>
      </c>
      <c r="O486" s="43">
        <v>44169</v>
      </c>
      <c r="P486" s="42">
        <v>23.5</v>
      </c>
      <c r="Q486" s="42">
        <v>28.4</v>
      </c>
      <c r="R486" s="46" t="s">
        <v>29</v>
      </c>
      <c r="S486" s="43">
        <v>44169</v>
      </c>
      <c r="T486" s="51">
        <f t="shared" si="22"/>
        <v>3</v>
      </c>
      <c r="U486" s="52" t="str">
        <f t="shared" si="23"/>
        <v>Detectável</v>
      </c>
    </row>
    <row r="487" spans="1:21" ht="25.5" customHeight="1" x14ac:dyDescent="0.2">
      <c r="A487" s="51">
        <v>486</v>
      </c>
      <c r="B487" s="50" t="s">
        <v>1414</v>
      </c>
      <c r="C487" s="51">
        <v>27</v>
      </c>
      <c r="D487" s="51" t="s">
        <v>34</v>
      </c>
      <c r="E487" s="43">
        <v>44168</v>
      </c>
      <c r="F487" s="44" t="s">
        <v>60</v>
      </c>
      <c r="G487" s="51">
        <v>204</v>
      </c>
      <c r="H487" s="43">
        <v>44169</v>
      </c>
      <c r="I487" s="44" t="s">
        <v>1376</v>
      </c>
      <c r="J487" s="43">
        <v>44169</v>
      </c>
      <c r="K487" s="42" t="s">
        <v>36</v>
      </c>
      <c r="L487" s="42">
        <v>27.7</v>
      </c>
      <c r="M487" s="45" t="s">
        <v>31</v>
      </c>
      <c r="N487" s="44" t="s">
        <v>60</v>
      </c>
      <c r="O487" s="43" t="s">
        <v>60</v>
      </c>
      <c r="P487" s="42" t="s">
        <v>60</v>
      </c>
      <c r="Q487" s="42" t="s">
        <v>60</v>
      </c>
      <c r="R487" s="46" t="s">
        <v>60</v>
      </c>
      <c r="S487" s="43">
        <v>44169</v>
      </c>
      <c r="T487" s="51">
        <f t="shared" si="22"/>
        <v>3</v>
      </c>
      <c r="U487" s="52" t="str">
        <f t="shared" si="23"/>
        <v>Não Detectável</v>
      </c>
    </row>
    <row r="488" spans="1:21" ht="25.5" customHeight="1" x14ac:dyDescent="0.2">
      <c r="A488" s="51">
        <v>487</v>
      </c>
      <c r="B488" s="50" t="s">
        <v>1415</v>
      </c>
      <c r="C488" s="51">
        <v>52</v>
      </c>
      <c r="D488" s="51" t="s">
        <v>25</v>
      </c>
      <c r="E488" s="43">
        <v>44168</v>
      </c>
      <c r="F488" s="44" t="s">
        <v>60</v>
      </c>
      <c r="G488" s="51">
        <v>204</v>
      </c>
      <c r="H488" s="43">
        <v>44169</v>
      </c>
      <c r="I488" s="44" t="s">
        <v>1376</v>
      </c>
      <c r="J488" s="43">
        <v>44169</v>
      </c>
      <c r="K488" s="42" t="s">
        <v>36</v>
      </c>
      <c r="L488" s="42">
        <v>27.7</v>
      </c>
      <c r="M488" s="45" t="s">
        <v>31</v>
      </c>
      <c r="N488" s="44" t="s">
        <v>60</v>
      </c>
      <c r="O488" s="43" t="s">
        <v>60</v>
      </c>
      <c r="P488" s="42" t="s">
        <v>60</v>
      </c>
      <c r="Q488" s="42" t="s">
        <v>60</v>
      </c>
      <c r="R488" s="46" t="s">
        <v>60</v>
      </c>
      <c r="S488" s="43">
        <v>44169</v>
      </c>
      <c r="T488" s="51">
        <f t="shared" si="22"/>
        <v>3</v>
      </c>
      <c r="U488" s="52" t="str">
        <f t="shared" si="23"/>
        <v>Não Detectável</v>
      </c>
    </row>
    <row r="489" spans="1:21" ht="25.5" customHeight="1" x14ac:dyDescent="0.2">
      <c r="A489" s="51">
        <v>488</v>
      </c>
      <c r="B489" s="50" t="s">
        <v>1416</v>
      </c>
      <c r="C489" s="51">
        <v>32</v>
      </c>
      <c r="D489" s="51" t="s">
        <v>25</v>
      </c>
      <c r="E489" s="43">
        <v>44168</v>
      </c>
      <c r="F489" s="44" t="s">
        <v>60</v>
      </c>
      <c r="G489" s="51">
        <v>204</v>
      </c>
      <c r="H489" s="43">
        <v>44169</v>
      </c>
      <c r="I489" s="44" t="s">
        <v>1376</v>
      </c>
      <c r="J489" s="43">
        <v>44169</v>
      </c>
      <c r="K489" s="42" t="s">
        <v>36</v>
      </c>
      <c r="L489" s="42">
        <v>27.7</v>
      </c>
      <c r="M489" s="45" t="s">
        <v>31</v>
      </c>
      <c r="N489" s="44" t="s">
        <v>60</v>
      </c>
      <c r="O489" s="43" t="s">
        <v>60</v>
      </c>
      <c r="P489" s="42" t="s">
        <v>60</v>
      </c>
      <c r="Q489" s="42" t="s">
        <v>60</v>
      </c>
      <c r="R489" s="46" t="s">
        <v>60</v>
      </c>
      <c r="S489" s="43">
        <v>44169</v>
      </c>
      <c r="T489" s="51">
        <f t="shared" si="22"/>
        <v>3</v>
      </c>
      <c r="U489" s="52" t="str">
        <f t="shared" si="23"/>
        <v>Não Detectável</v>
      </c>
    </row>
    <row r="490" spans="1:21" ht="25.5" customHeight="1" x14ac:dyDescent="0.2">
      <c r="A490" s="51">
        <v>489</v>
      </c>
      <c r="B490" s="50" t="s">
        <v>1417</v>
      </c>
      <c r="C490" s="51">
        <v>24</v>
      </c>
      <c r="D490" s="51" t="s">
        <v>34</v>
      </c>
      <c r="E490" s="43">
        <v>44168</v>
      </c>
      <c r="F490" s="44" t="s">
        <v>60</v>
      </c>
      <c r="G490" s="51">
        <v>205</v>
      </c>
      <c r="H490" s="43">
        <v>44169</v>
      </c>
      <c r="I490" s="44" t="s">
        <v>1376</v>
      </c>
      <c r="J490" s="43">
        <v>44169</v>
      </c>
      <c r="K490" s="42" t="s">
        <v>36</v>
      </c>
      <c r="L490" s="42">
        <v>28.1</v>
      </c>
      <c r="M490" s="45" t="s">
        <v>31</v>
      </c>
      <c r="N490" s="44" t="s">
        <v>60</v>
      </c>
      <c r="O490" s="43" t="s">
        <v>60</v>
      </c>
      <c r="P490" s="42" t="s">
        <v>60</v>
      </c>
      <c r="Q490" s="42" t="s">
        <v>60</v>
      </c>
      <c r="R490" s="46" t="s">
        <v>60</v>
      </c>
      <c r="S490" s="43">
        <v>44169</v>
      </c>
      <c r="T490" s="51">
        <f t="shared" si="22"/>
        <v>3</v>
      </c>
      <c r="U490" s="52" t="str">
        <f t="shared" si="23"/>
        <v>Não Detectável</v>
      </c>
    </row>
    <row r="491" spans="1:21" ht="25.5" customHeight="1" x14ac:dyDescent="0.2">
      <c r="A491" s="51">
        <v>490</v>
      </c>
      <c r="B491" s="50" t="s">
        <v>1418</v>
      </c>
      <c r="C491" s="51">
        <v>22</v>
      </c>
      <c r="D491" s="51" t="s">
        <v>34</v>
      </c>
      <c r="E491" s="43">
        <v>44168</v>
      </c>
      <c r="F491" s="44" t="s">
        <v>60</v>
      </c>
      <c r="G491" s="51">
        <v>205</v>
      </c>
      <c r="H491" s="43">
        <v>44169</v>
      </c>
      <c r="I491" s="44" t="s">
        <v>1376</v>
      </c>
      <c r="J491" s="43">
        <v>44169</v>
      </c>
      <c r="K491" s="42" t="s">
        <v>36</v>
      </c>
      <c r="L491" s="42">
        <v>28.1</v>
      </c>
      <c r="M491" s="45" t="s">
        <v>31</v>
      </c>
      <c r="N491" s="44" t="s">
        <v>60</v>
      </c>
      <c r="O491" s="43" t="s">
        <v>60</v>
      </c>
      <c r="P491" s="42" t="s">
        <v>60</v>
      </c>
      <c r="Q491" s="42" t="s">
        <v>60</v>
      </c>
      <c r="R491" s="46" t="s">
        <v>60</v>
      </c>
      <c r="S491" s="43">
        <v>44169</v>
      </c>
      <c r="T491" s="51">
        <f t="shared" si="22"/>
        <v>3</v>
      </c>
      <c r="U491" s="52" t="str">
        <f t="shared" si="23"/>
        <v>Não Detectável</v>
      </c>
    </row>
    <row r="492" spans="1:21" ht="25.5" customHeight="1" x14ac:dyDescent="0.2">
      <c r="A492" s="51">
        <v>491</v>
      </c>
      <c r="B492" s="50" t="s">
        <v>1419</v>
      </c>
      <c r="C492" s="51">
        <v>64</v>
      </c>
      <c r="D492" s="51" t="s">
        <v>25</v>
      </c>
      <c r="E492" s="43">
        <v>44168</v>
      </c>
      <c r="F492" s="44" t="s">
        <v>60</v>
      </c>
      <c r="G492" s="51">
        <v>205</v>
      </c>
      <c r="H492" s="43">
        <v>44169</v>
      </c>
      <c r="I492" s="44" t="s">
        <v>1376</v>
      </c>
      <c r="J492" s="43">
        <v>44169</v>
      </c>
      <c r="K492" s="42" t="s">
        <v>36</v>
      </c>
      <c r="L492" s="42">
        <v>28.1</v>
      </c>
      <c r="M492" s="45" t="s">
        <v>31</v>
      </c>
      <c r="N492" s="44" t="s">
        <v>60</v>
      </c>
      <c r="O492" s="43" t="s">
        <v>60</v>
      </c>
      <c r="P492" s="42" t="s">
        <v>60</v>
      </c>
      <c r="Q492" s="42" t="s">
        <v>60</v>
      </c>
      <c r="R492" s="46" t="s">
        <v>60</v>
      </c>
      <c r="S492" s="43">
        <v>44169</v>
      </c>
      <c r="T492" s="51">
        <f t="shared" si="22"/>
        <v>3</v>
      </c>
      <c r="U492" s="52" t="str">
        <f t="shared" si="23"/>
        <v>Não Detectável</v>
      </c>
    </row>
    <row r="493" spans="1:21" ht="25.5" customHeight="1" x14ac:dyDescent="0.2">
      <c r="A493" s="51">
        <v>492</v>
      </c>
      <c r="B493" s="50" t="s">
        <v>1420</v>
      </c>
      <c r="C493" s="51">
        <v>20</v>
      </c>
      <c r="D493" s="51" t="s">
        <v>25</v>
      </c>
      <c r="E493" s="43">
        <v>44168</v>
      </c>
      <c r="F493" s="44" t="s">
        <v>60</v>
      </c>
      <c r="G493" s="51">
        <v>206</v>
      </c>
      <c r="H493" s="43">
        <v>44169</v>
      </c>
      <c r="I493" s="44" t="s">
        <v>1376</v>
      </c>
      <c r="J493" s="43">
        <v>44169</v>
      </c>
      <c r="K493" s="42">
        <v>33.299999999999997</v>
      </c>
      <c r="L493" s="42">
        <v>28.1</v>
      </c>
      <c r="M493" s="43" t="s">
        <v>29</v>
      </c>
      <c r="N493" s="44" t="s">
        <v>1411</v>
      </c>
      <c r="O493" s="43">
        <v>44169</v>
      </c>
      <c r="P493" s="42">
        <v>26.6</v>
      </c>
      <c r="Q493" s="42">
        <v>29.1</v>
      </c>
      <c r="R493" s="46" t="s">
        <v>29</v>
      </c>
      <c r="S493" s="43">
        <v>44169</v>
      </c>
      <c r="T493" s="51">
        <f t="shared" si="22"/>
        <v>3</v>
      </c>
      <c r="U493" s="52" t="str">
        <f t="shared" si="23"/>
        <v>Detectável</v>
      </c>
    </row>
    <row r="494" spans="1:21" ht="25.5" customHeight="1" x14ac:dyDescent="0.2">
      <c r="A494" s="51">
        <v>493</v>
      </c>
      <c r="B494" s="50" t="s">
        <v>1421</v>
      </c>
      <c r="C494" s="51">
        <v>40</v>
      </c>
      <c r="D494" s="51" t="s">
        <v>25</v>
      </c>
      <c r="E494" s="43">
        <v>44168</v>
      </c>
      <c r="F494" s="44" t="s">
        <v>60</v>
      </c>
      <c r="G494" s="51">
        <v>206</v>
      </c>
      <c r="H494" s="43">
        <v>44169</v>
      </c>
      <c r="I494" s="44" t="s">
        <v>1376</v>
      </c>
      <c r="J494" s="43">
        <v>44169</v>
      </c>
      <c r="K494" s="42">
        <v>33.299999999999997</v>
      </c>
      <c r="L494" s="42">
        <v>28.1</v>
      </c>
      <c r="M494" s="43" t="s">
        <v>29</v>
      </c>
      <c r="N494" s="44" t="s">
        <v>1411</v>
      </c>
      <c r="O494" s="43">
        <v>44169</v>
      </c>
      <c r="P494" s="42" t="s">
        <v>36</v>
      </c>
      <c r="Q494" s="42">
        <v>28.7</v>
      </c>
      <c r="R494" s="46" t="s">
        <v>31</v>
      </c>
      <c r="S494" s="43">
        <v>44169</v>
      </c>
      <c r="T494" s="51">
        <f t="shared" si="22"/>
        <v>3</v>
      </c>
      <c r="U494" s="52" t="str">
        <f>IF(M494="Não Detectável","Não Detectável",IF(R499="","",R499))</f>
        <v>Não Detectável</v>
      </c>
    </row>
    <row r="495" spans="1:21" ht="25.5" customHeight="1" x14ac:dyDescent="0.2">
      <c r="A495" s="51">
        <v>494</v>
      </c>
      <c r="B495" s="50" t="s">
        <v>1422</v>
      </c>
      <c r="C495" s="51">
        <v>47</v>
      </c>
      <c r="D495" s="51" t="s">
        <v>34</v>
      </c>
      <c r="E495" s="43">
        <v>44168</v>
      </c>
      <c r="F495" s="44" t="s">
        <v>60</v>
      </c>
      <c r="G495" s="51">
        <v>206</v>
      </c>
      <c r="H495" s="43">
        <v>44169</v>
      </c>
      <c r="I495" s="44" t="s">
        <v>1376</v>
      </c>
      <c r="J495" s="43">
        <v>44169</v>
      </c>
      <c r="K495" s="42">
        <v>33.299999999999997</v>
      </c>
      <c r="L495" s="42">
        <v>28.1</v>
      </c>
      <c r="M495" s="43" t="s">
        <v>29</v>
      </c>
      <c r="N495" s="44" t="s">
        <v>1411</v>
      </c>
      <c r="O495" s="43">
        <v>44169</v>
      </c>
      <c r="P495" s="42">
        <v>32.1</v>
      </c>
      <c r="Q495" s="42">
        <v>27.4</v>
      </c>
      <c r="R495" s="46" t="s">
        <v>29</v>
      </c>
      <c r="S495" s="43">
        <v>44169</v>
      </c>
      <c r="T495" s="51">
        <f t="shared" si="22"/>
        <v>3</v>
      </c>
      <c r="U495" s="52" t="str">
        <f>IF(M495="Não Detectável","Não Detectável",IF(R495="","",R495))</f>
        <v>Detectável</v>
      </c>
    </row>
    <row r="496" spans="1:21" ht="25.5" customHeight="1" x14ac:dyDescent="0.2">
      <c r="A496" s="51">
        <v>495</v>
      </c>
      <c r="B496" s="50" t="s">
        <v>1423</v>
      </c>
      <c r="C496" s="51">
        <v>13</v>
      </c>
      <c r="D496" s="51" t="s">
        <v>25</v>
      </c>
      <c r="E496" s="43">
        <v>44168</v>
      </c>
      <c r="F496" s="44" t="s">
        <v>60</v>
      </c>
      <c r="G496" s="51">
        <v>207</v>
      </c>
      <c r="H496" s="43">
        <v>44169</v>
      </c>
      <c r="I496" s="44" t="s">
        <v>1376</v>
      </c>
      <c r="J496" s="43">
        <v>44169</v>
      </c>
      <c r="K496" s="42" t="s">
        <v>36</v>
      </c>
      <c r="L496" s="42">
        <v>28.7</v>
      </c>
      <c r="M496" s="45" t="s">
        <v>31</v>
      </c>
      <c r="N496" s="44" t="s">
        <v>60</v>
      </c>
      <c r="O496" s="43" t="s">
        <v>60</v>
      </c>
      <c r="P496" s="42" t="s">
        <v>60</v>
      </c>
      <c r="Q496" s="42" t="s">
        <v>60</v>
      </c>
      <c r="R496" s="46" t="s">
        <v>60</v>
      </c>
      <c r="S496" s="43">
        <v>44169</v>
      </c>
      <c r="T496" s="51">
        <f t="shared" si="22"/>
        <v>3</v>
      </c>
      <c r="U496" s="52" t="str">
        <f>IF(M496="Não Detectável","Não Detectável",IF(R496="","",R496))</f>
        <v>Não Detectável</v>
      </c>
    </row>
    <row r="497" spans="1:21" ht="25.5" customHeight="1" x14ac:dyDescent="0.2">
      <c r="A497" s="51">
        <v>496</v>
      </c>
      <c r="B497" s="50" t="s">
        <v>1424</v>
      </c>
      <c r="C497" s="51">
        <v>44</v>
      </c>
      <c r="D497" s="51" t="s">
        <v>25</v>
      </c>
      <c r="E497" s="43">
        <v>44168</v>
      </c>
      <c r="F497" s="44" t="s">
        <v>60</v>
      </c>
      <c r="G497" s="51">
        <v>207</v>
      </c>
      <c r="H497" s="43">
        <v>44169</v>
      </c>
      <c r="I497" s="44" t="s">
        <v>1376</v>
      </c>
      <c r="J497" s="43">
        <v>44169</v>
      </c>
      <c r="K497" s="42" t="s">
        <v>36</v>
      </c>
      <c r="L497" s="42">
        <v>28.7</v>
      </c>
      <c r="M497" s="45" t="s">
        <v>31</v>
      </c>
      <c r="N497" s="44" t="s">
        <v>60</v>
      </c>
      <c r="O497" s="43" t="s">
        <v>60</v>
      </c>
      <c r="P497" s="42" t="s">
        <v>60</v>
      </c>
      <c r="Q497" s="42" t="s">
        <v>60</v>
      </c>
      <c r="R497" s="46" t="s">
        <v>60</v>
      </c>
      <c r="S497" s="43">
        <v>44169</v>
      </c>
      <c r="T497" s="51">
        <f t="shared" si="22"/>
        <v>3</v>
      </c>
      <c r="U497" s="52" t="str">
        <f>IF(M497="Não Detectável","Não Detectável",IF(R497="","",R497))</f>
        <v>Não Detectável</v>
      </c>
    </row>
    <row r="498" spans="1:21" ht="25.5" customHeight="1" x14ac:dyDescent="0.2">
      <c r="A498" s="51">
        <v>497</v>
      </c>
      <c r="B498" s="50" t="s">
        <v>1425</v>
      </c>
      <c r="C498" s="51">
        <v>23</v>
      </c>
      <c r="D498" s="51" t="s">
        <v>25</v>
      </c>
      <c r="E498" s="43">
        <v>44168</v>
      </c>
      <c r="F498" s="44" t="s">
        <v>60</v>
      </c>
      <c r="G498" s="51">
        <v>207</v>
      </c>
      <c r="H498" s="43">
        <v>44169</v>
      </c>
      <c r="I498" s="44" t="s">
        <v>1376</v>
      </c>
      <c r="J498" s="43">
        <v>44169</v>
      </c>
      <c r="K498" s="42" t="s">
        <v>36</v>
      </c>
      <c r="L498" s="42">
        <v>28.7</v>
      </c>
      <c r="M498" s="45" t="s">
        <v>31</v>
      </c>
      <c r="N498" s="44" t="s">
        <v>60</v>
      </c>
      <c r="O498" s="43" t="s">
        <v>60</v>
      </c>
      <c r="P498" s="42" t="s">
        <v>60</v>
      </c>
      <c r="Q498" s="42" t="s">
        <v>60</v>
      </c>
      <c r="R498" s="46" t="s">
        <v>60</v>
      </c>
      <c r="S498" s="43">
        <v>44169</v>
      </c>
      <c r="T498" s="51">
        <f t="shared" si="22"/>
        <v>3</v>
      </c>
      <c r="U498" s="52" t="str">
        <f>IF(M498="Não Detectável","Não Detectável",IF(R498="","",R498))</f>
        <v>Não Detectável</v>
      </c>
    </row>
    <row r="499" spans="1:21" ht="25.5" customHeight="1" x14ac:dyDescent="0.2">
      <c r="A499" s="51">
        <v>498</v>
      </c>
      <c r="B499" s="50" t="s">
        <v>1426</v>
      </c>
      <c r="C499" s="51">
        <v>28</v>
      </c>
      <c r="D499" s="51" t="s">
        <v>34</v>
      </c>
      <c r="E499" s="43">
        <v>44169</v>
      </c>
      <c r="F499" s="44" t="s">
        <v>60</v>
      </c>
      <c r="G499" s="51" t="s">
        <v>60</v>
      </c>
      <c r="H499" s="43">
        <v>44169</v>
      </c>
      <c r="I499" s="44" t="s">
        <v>60</v>
      </c>
      <c r="J499" s="43" t="s">
        <v>60</v>
      </c>
      <c r="K499" s="42" t="s">
        <v>60</v>
      </c>
      <c r="L499" s="42" t="s">
        <v>60</v>
      </c>
      <c r="M499" s="47" t="s">
        <v>60</v>
      </c>
      <c r="N499" s="44" t="s">
        <v>1411</v>
      </c>
      <c r="O499" s="43">
        <v>44169</v>
      </c>
      <c r="P499" s="42" t="s">
        <v>36</v>
      </c>
      <c r="Q499" s="42">
        <v>28.4</v>
      </c>
      <c r="R499" s="46" t="s">
        <v>31</v>
      </c>
      <c r="S499" s="43">
        <v>44169</v>
      </c>
      <c r="T499" s="51" t="s">
        <v>60</v>
      </c>
      <c r="U499" s="52" t="s">
        <v>60</v>
      </c>
    </row>
    <row r="500" spans="1:21" ht="25.5" customHeight="1" x14ac:dyDescent="0.2">
      <c r="A500" s="51">
        <v>499</v>
      </c>
      <c r="B500" s="50" t="s">
        <v>1427</v>
      </c>
      <c r="C500" s="51">
        <v>23</v>
      </c>
      <c r="D500" s="51" t="s">
        <v>25</v>
      </c>
      <c r="E500" s="43">
        <v>44169</v>
      </c>
      <c r="F500" s="44" t="s">
        <v>60</v>
      </c>
      <c r="G500" s="51" t="s">
        <v>60</v>
      </c>
      <c r="H500" s="43">
        <v>44169</v>
      </c>
      <c r="I500" s="44" t="s">
        <v>60</v>
      </c>
      <c r="J500" s="43" t="s">
        <v>60</v>
      </c>
      <c r="K500" s="42" t="s">
        <v>60</v>
      </c>
      <c r="L500" s="42" t="s">
        <v>60</v>
      </c>
      <c r="M500" s="47" t="s">
        <v>60</v>
      </c>
      <c r="N500" s="44" t="s">
        <v>1411</v>
      </c>
      <c r="O500" s="43">
        <v>44169</v>
      </c>
      <c r="P500" s="42" t="s">
        <v>36</v>
      </c>
      <c r="Q500" s="42">
        <v>27.4</v>
      </c>
      <c r="R500" s="46" t="s">
        <v>31</v>
      </c>
      <c r="S500" s="43">
        <v>44169</v>
      </c>
      <c r="T500" s="51" t="s">
        <v>60</v>
      </c>
      <c r="U500" s="52" t="s">
        <v>60</v>
      </c>
    </row>
    <row r="501" spans="1:21" ht="25.5" customHeight="1" x14ac:dyDescent="0.2">
      <c r="A501" s="51">
        <v>500</v>
      </c>
      <c r="B501" s="50" t="s">
        <v>1428</v>
      </c>
      <c r="C501" s="51">
        <v>25</v>
      </c>
      <c r="D501" s="51" t="s">
        <v>34</v>
      </c>
      <c r="E501" s="43">
        <v>44169</v>
      </c>
      <c r="F501" s="44" t="s">
        <v>60</v>
      </c>
      <c r="G501" s="51">
        <v>208</v>
      </c>
      <c r="H501" s="43">
        <v>44169</v>
      </c>
      <c r="I501" s="44" t="s">
        <v>1411</v>
      </c>
      <c r="J501" s="43">
        <v>44169</v>
      </c>
      <c r="K501" s="42" t="s">
        <v>36</v>
      </c>
      <c r="L501" s="42">
        <v>27.2</v>
      </c>
      <c r="M501" s="45" t="s">
        <v>31</v>
      </c>
      <c r="N501" s="44" t="s">
        <v>60</v>
      </c>
      <c r="O501" s="43" t="s">
        <v>60</v>
      </c>
      <c r="P501" s="42" t="s">
        <v>60</v>
      </c>
      <c r="Q501" s="42" t="s">
        <v>60</v>
      </c>
      <c r="R501" s="46" t="s">
        <v>60</v>
      </c>
      <c r="S501" s="43">
        <v>44169</v>
      </c>
      <c r="T501" s="51">
        <f t="shared" ref="T501:T564" si="24">COUNTIF(G:G,G501)</f>
        <v>3</v>
      </c>
      <c r="U501" s="52" t="str">
        <f t="shared" ref="U501:U564" si="25">IF(M501="Não Detectável","Não Detectável",IF(R501="","",R501))</f>
        <v>Não Detectável</v>
      </c>
    </row>
    <row r="502" spans="1:21" ht="25.5" customHeight="1" x14ac:dyDescent="0.2">
      <c r="A502" s="51">
        <v>501</v>
      </c>
      <c r="B502" s="50" t="s">
        <v>1429</v>
      </c>
      <c r="C502" s="51">
        <v>46</v>
      </c>
      <c r="D502" s="51" t="s">
        <v>25</v>
      </c>
      <c r="E502" s="43">
        <v>44169</v>
      </c>
      <c r="F502" s="44" t="s">
        <v>60</v>
      </c>
      <c r="G502" s="51">
        <v>208</v>
      </c>
      <c r="H502" s="43">
        <v>44169</v>
      </c>
      <c r="I502" s="44" t="s">
        <v>1411</v>
      </c>
      <c r="J502" s="43">
        <v>44169</v>
      </c>
      <c r="K502" s="42" t="s">
        <v>36</v>
      </c>
      <c r="L502" s="42">
        <v>27.2</v>
      </c>
      <c r="M502" s="45" t="s">
        <v>31</v>
      </c>
      <c r="N502" s="44" t="s">
        <v>60</v>
      </c>
      <c r="O502" s="43" t="s">
        <v>60</v>
      </c>
      <c r="P502" s="42" t="s">
        <v>60</v>
      </c>
      <c r="Q502" s="42" t="s">
        <v>60</v>
      </c>
      <c r="R502" s="46" t="s">
        <v>60</v>
      </c>
      <c r="S502" s="43">
        <v>44169</v>
      </c>
      <c r="T502" s="51">
        <f t="shared" si="24"/>
        <v>3</v>
      </c>
      <c r="U502" s="52" t="str">
        <f t="shared" si="25"/>
        <v>Não Detectável</v>
      </c>
    </row>
    <row r="503" spans="1:21" ht="25.5" customHeight="1" x14ac:dyDescent="0.2">
      <c r="A503" s="51">
        <v>502</v>
      </c>
      <c r="B503" s="50" t="s">
        <v>1430</v>
      </c>
      <c r="C503" s="51">
        <v>22</v>
      </c>
      <c r="D503" s="51" t="s">
        <v>34</v>
      </c>
      <c r="E503" s="43">
        <v>44169</v>
      </c>
      <c r="F503" s="44" t="s">
        <v>60</v>
      </c>
      <c r="G503" s="51">
        <v>208</v>
      </c>
      <c r="H503" s="43">
        <v>44169</v>
      </c>
      <c r="I503" s="44" t="s">
        <v>1411</v>
      </c>
      <c r="J503" s="43">
        <v>44169</v>
      </c>
      <c r="K503" s="42" t="s">
        <v>36</v>
      </c>
      <c r="L503" s="42">
        <v>27.2</v>
      </c>
      <c r="M503" s="45" t="s">
        <v>31</v>
      </c>
      <c r="N503" s="44" t="s">
        <v>60</v>
      </c>
      <c r="O503" s="43" t="s">
        <v>60</v>
      </c>
      <c r="P503" s="42" t="s">
        <v>60</v>
      </c>
      <c r="Q503" s="42" t="s">
        <v>60</v>
      </c>
      <c r="R503" s="46" t="s">
        <v>60</v>
      </c>
      <c r="S503" s="43">
        <v>44169</v>
      </c>
      <c r="T503" s="51">
        <f t="shared" si="24"/>
        <v>3</v>
      </c>
      <c r="U503" s="52" t="str">
        <f t="shared" si="25"/>
        <v>Não Detectável</v>
      </c>
    </row>
    <row r="504" spans="1:21" ht="25.5" customHeight="1" x14ac:dyDescent="0.2">
      <c r="A504" s="51">
        <v>503</v>
      </c>
      <c r="B504" s="50" t="s">
        <v>1431</v>
      </c>
      <c r="C504" s="51">
        <v>29</v>
      </c>
      <c r="D504" s="51" t="s">
        <v>34</v>
      </c>
      <c r="E504" s="43">
        <v>44169</v>
      </c>
      <c r="F504" s="44" t="s">
        <v>60</v>
      </c>
      <c r="G504" s="51">
        <v>209</v>
      </c>
      <c r="H504" s="43">
        <v>44169</v>
      </c>
      <c r="I504" s="43" t="s">
        <v>1411</v>
      </c>
      <c r="J504" s="43">
        <v>44169</v>
      </c>
      <c r="K504" s="42">
        <v>18.3</v>
      </c>
      <c r="L504" s="42">
        <v>26.4</v>
      </c>
      <c r="M504" s="43" t="s">
        <v>29</v>
      </c>
      <c r="N504" s="43" t="s">
        <v>1432</v>
      </c>
      <c r="O504" s="43">
        <v>44174</v>
      </c>
      <c r="P504" s="42" t="s">
        <v>36</v>
      </c>
      <c r="Q504" s="42">
        <v>25.7</v>
      </c>
      <c r="R504" s="46" t="s">
        <v>31</v>
      </c>
      <c r="S504" s="43">
        <v>44174</v>
      </c>
      <c r="T504" s="51">
        <f t="shared" si="24"/>
        <v>3</v>
      </c>
      <c r="U504" s="52" t="str">
        <f t="shared" si="25"/>
        <v>Não Detectável</v>
      </c>
    </row>
    <row r="505" spans="1:21" ht="25.5" customHeight="1" x14ac:dyDescent="0.2">
      <c r="A505" s="51">
        <v>504</v>
      </c>
      <c r="B505" s="50" t="s">
        <v>1433</v>
      </c>
      <c r="C505" s="51">
        <v>35</v>
      </c>
      <c r="D505" s="51" t="s">
        <v>34</v>
      </c>
      <c r="E505" s="43">
        <v>44169</v>
      </c>
      <c r="F505" s="44" t="s">
        <v>60</v>
      </c>
      <c r="G505" s="51">
        <v>209</v>
      </c>
      <c r="H505" s="43">
        <v>44169</v>
      </c>
      <c r="I505" s="43" t="s">
        <v>1411</v>
      </c>
      <c r="J505" s="43">
        <v>44169</v>
      </c>
      <c r="K505" s="42">
        <v>18.3</v>
      </c>
      <c r="L505" s="42">
        <v>26.4</v>
      </c>
      <c r="M505" s="43" t="s">
        <v>29</v>
      </c>
      <c r="N505" s="43" t="s">
        <v>1432</v>
      </c>
      <c r="O505" s="43">
        <v>44174</v>
      </c>
      <c r="P505" s="42" t="s">
        <v>36</v>
      </c>
      <c r="Q505" s="42">
        <v>27.9</v>
      </c>
      <c r="R505" s="46" t="s">
        <v>31</v>
      </c>
      <c r="S505" s="43">
        <v>44174</v>
      </c>
      <c r="T505" s="51">
        <f t="shared" si="24"/>
        <v>3</v>
      </c>
      <c r="U505" s="52" t="str">
        <f t="shared" si="25"/>
        <v>Não Detectável</v>
      </c>
    </row>
    <row r="506" spans="1:21" ht="25.5" customHeight="1" x14ac:dyDescent="0.2">
      <c r="A506" s="51">
        <v>505</v>
      </c>
      <c r="B506" s="50" t="s">
        <v>1434</v>
      </c>
      <c r="C506" s="51">
        <v>53</v>
      </c>
      <c r="D506" s="51" t="s">
        <v>25</v>
      </c>
      <c r="E506" s="43">
        <v>44169</v>
      </c>
      <c r="F506" s="44" t="s">
        <v>60</v>
      </c>
      <c r="G506" s="51">
        <v>209</v>
      </c>
      <c r="H506" s="43">
        <v>44169</v>
      </c>
      <c r="I506" s="43" t="s">
        <v>1411</v>
      </c>
      <c r="J506" s="43">
        <v>44169</v>
      </c>
      <c r="K506" s="42">
        <v>18.3</v>
      </c>
      <c r="L506" s="42">
        <v>26.4</v>
      </c>
      <c r="M506" s="43" t="s">
        <v>29</v>
      </c>
      <c r="N506" s="43" t="s">
        <v>1432</v>
      </c>
      <c r="O506" s="43">
        <v>44174</v>
      </c>
      <c r="P506" s="42">
        <v>17.100000000000001</v>
      </c>
      <c r="Q506" s="42">
        <v>26.8</v>
      </c>
      <c r="R506" s="46" t="s">
        <v>29</v>
      </c>
      <c r="S506" s="43">
        <v>44174</v>
      </c>
      <c r="T506" s="51">
        <f t="shared" si="24"/>
        <v>3</v>
      </c>
      <c r="U506" s="52" t="str">
        <f t="shared" si="25"/>
        <v>Detectável</v>
      </c>
    </row>
    <row r="507" spans="1:21" ht="25.5" customHeight="1" x14ac:dyDescent="0.2">
      <c r="A507" s="51">
        <v>506</v>
      </c>
      <c r="B507" s="50" t="s">
        <v>1435</v>
      </c>
      <c r="C507" s="51">
        <v>56</v>
      </c>
      <c r="D507" s="51" t="s">
        <v>34</v>
      </c>
      <c r="E507" s="43">
        <v>44169</v>
      </c>
      <c r="F507" s="44" t="s">
        <v>60</v>
      </c>
      <c r="G507" s="51">
        <v>210</v>
      </c>
      <c r="H507" s="43">
        <v>44169</v>
      </c>
      <c r="I507" s="43" t="s">
        <v>1411</v>
      </c>
      <c r="J507" s="43">
        <v>44169</v>
      </c>
      <c r="K507" s="42">
        <v>28.8</v>
      </c>
      <c r="L507" s="42">
        <v>27.6</v>
      </c>
      <c r="M507" s="43" t="s">
        <v>29</v>
      </c>
      <c r="N507" s="43" t="s">
        <v>1432</v>
      </c>
      <c r="O507" s="43">
        <v>44174</v>
      </c>
      <c r="P507" s="42">
        <v>27.8</v>
      </c>
      <c r="Q507" s="42">
        <v>28.9</v>
      </c>
      <c r="R507" s="46" t="s">
        <v>29</v>
      </c>
      <c r="S507" s="43">
        <v>44174</v>
      </c>
      <c r="T507" s="51">
        <f t="shared" si="24"/>
        <v>3</v>
      </c>
      <c r="U507" s="52" t="str">
        <f t="shared" si="25"/>
        <v>Detectável</v>
      </c>
    </row>
    <row r="508" spans="1:21" ht="25.5" customHeight="1" x14ac:dyDescent="0.2">
      <c r="A508" s="51">
        <v>507</v>
      </c>
      <c r="B508" s="50" t="s">
        <v>1436</v>
      </c>
      <c r="C508" s="51">
        <v>36</v>
      </c>
      <c r="D508" s="51" t="s">
        <v>25</v>
      </c>
      <c r="E508" s="43">
        <v>44169</v>
      </c>
      <c r="F508" s="44" t="s">
        <v>60</v>
      </c>
      <c r="G508" s="51">
        <v>210</v>
      </c>
      <c r="H508" s="43">
        <v>44169</v>
      </c>
      <c r="I508" s="43" t="s">
        <v>1411</v>
      </c>
      <c r="J508" s="43">
        <v>44169</v>
      </c>
      <c r="K508" s="42">
        <v>28.8</v>
      </c>
      <c r="L508" s="42">
        <v>27.6</v>
      </c>
      <c r="M508" s="43" t="s">
        <v>29</v>
      </c>
      <c r="N508" s="43" t="s">
        <v>1432</v>
      </c>
      <c r="O508" s="43">
        <v>44174</v>
      </c>
      <c r="P508" s="42" t="s">
        <v>36</v>
      </c>
      <c r="Q508" s="42">
        <v>27.8</v>
      </c>
      <c r="R508" s="46" t="s">
        <v>31</v>
      </c>
      <c r="S508" s="43">
        <v>44174</v>
      </c>
      <c r="T508" s="51">
        <f t="shared" si="24"/>
        <v>3</v>
      </c>
      <c r="U508" s="52" t="str">
        <f t="shared" si="25"/>
        <v>Não Detectável</v>
      </c>
    </row>
    <row r="509" spans="1:21" ht="25.5" customHeight="1" x14ac:dyDescent="0.2">
      <c r="A509" s="51">
        <v>508</v>
      </c>
      <c r="B509" s="50" t="s">
        <v>1437</v>
      </c>
      <c r="C509" s="51">
        <v>36</v>
      </c>
      <c r="D509" s="51" t="s">
        <v>34</v>
      </c>
      <c r="E509" s="43">
        <v>44169</v>
      </c>
      <c r="F509" s="44" t="s">
        <v>60</v>
      </c>
      <c r="G509" s="51">
        <v>210</v>
      </c>
      <c r="H509" s="43">
        <v>44169</v>
      </c>
      <c r="I509" s="43" t="s">
        <v>1411</v>
      </c>
      <c r="J509" s="43">
        <v>44169</v>
      </c>
      <c r="K509" s="42">
        <v>28.8</v>
      </c>
      <c r="L509" s="42">
        <v>27.6</v>
      </c>
      <c r="M509" s="43" t="s">
        <v>29</v>
      </c>
      <c r="N509" s="43" t="s">
        <v>1432</v>
      </c>
      <c r="O509" s="43">
        <v>44174</v>
      </c>
      <c r="P509" s="42" t="s">
        <v>36</v>
      </c>
      <c r="Q509" s="42">
        <v>27.3</v>
      </c>
      <c r="R509" s="46" t="s">
        <v>31</v>
      </c>
      <c r="S509" s="43">
        <v>44174</v>
      </c>
      <c r="T509" s="51">
        <f t="shared" si="24"/>
        <v>3</v>
      </c>
      <c r="U509" s="52" t="str">
        <f t="shared" si="25"/>
        <v>Não Detectável</v>
      </c>
    </row>
    <row r="510" spans="1:21" ht="25.5" customHeight="1" x14ac:dyDescent="0.2">
      <c r="A510" s="51">
        <v>509</v>
      </c>
      <c r="B510" s="50" t="s">
        <v>1438</v>
      </c>
      <c r="C510" s="51">
        <v>46</v>
      </c>
      <c r="D510" s="51" t="s">
        <v>34</v>
      </c>
      <c r="E510" s="43">
        <v>44169</v>
      </c>
      <c r="F510" s="44" t="s">
        <v>60</v>
      </c>
      <c r="G510" s="51">
        <v>211</v>
      </c>
      <c r="H510" s="43">
        <v>44174</v>
      </c>
      <c r="I510" s="43" t="s">
        <v>1432</v>
      </c>
      <c r="J510" s="43">
        <v>44174</v>
      </c>
      <c r="K510" s="42" t="s">
        <v>36</v>
      </c>
      <c r="L510" s="42">
        <v>28.5</v>
      </c>
      <c r="M510" s="45" t="s">
        <v>31</v>
      </c>
      <c r="N510" s="44" t="s">
        <v>60</v>
      </c>
      <c r="O510" s="43" t="s">
        <v>60</v>
      </c>
      <c r="P510" s="42" t="s">
        <v>60</v>
      </c>
      <c r="Q510" s="42" t="s">
        <v>60</v>
      </c>
      <c r="R510" s="46" t="s">
        <v>60</v>
      </c>
      <c r="S510" s="43">
        <v>44174</v>
      </c>
      <c r="T510" s="51">
        <f t="shared" si="24"/>
        <v>3</v>
      </c>
      <c r="U510" s="52" t="str">
        <f t="shared" si="25"/>
        <v>Não Detectável</v>
      </c>
    </row>
    <row r="511" spans="1:21" ht="25.5" customHeight="1" x14ac:dyDescent="0.2">
      <c r="A511" s="51">
        <v>510</v>
      </c>
      <c r="B511" s="50" t="s">
        <v>1439</v>
      </c>
      <c r="C511" s="51">
        <v>35</v>
      </c>
      <c r="D511" s="51" t="s">
        <v>34</v>
      </c>
      <c r="E511" s="43">
        <v>44169</v>
      </c>
      <c r="F511" s="44" t="s">
        <v>60</v>
      </c>
      <c r="G511" s="51">
        <v>211</v>
      </c>
      <c r="H511" s="43">
        <v>44174</v>
      </c>
      <c r="I511" s="43" t="s">
        <v>1432</v>
      </c>
      <c r="J511" s="43">
        <v>44174</v>
      </c>
      <c r="K511" s="42" t="s">
        <v>36</v>
      </c>
      <c r="L511" s="42">
        <v>28.5</v>
      </c>
      <c r="M511" s="45" t="s">
        <v>31</v>
      </c>
      <c r="N511" s="44" t="s">
        <v>60</v>
      </c>
      <c r="O511" s="43" t="s">
        <v>60</v>
      </c>
      <c r="P511" s="42" t="s">
        <v>60</v>
      </c>
      <c r="Q511" s="42" t="s">
        <v>60</v>
      </c>
      <c r="R511" s="46" t="s">
        <v>60</v>
      </c>
      <c r="S511" s="43">
        <v>44174</v>
      </c>
      <c r="T511" s="51">
        <f t="shared" si="24"/>
        <v>3</v>
      </c>
      <c r="U511" s="52" t="str">
        <f t="shared" si="25"/>
        <v>Não Detectável</v>
      </c>
    </row>
    <row r="512" spans="1:21" ht="25.5" customHeight="1" x14ac:dyDescent="0.2">
      <c r="A512" s="51">
        <v>511</v>
      </c>
      <c r="B512" s="50" t="s">
        <v>1440</v>
      </c>
      <c r="C512" s="51">
        <v>38</v>
      </c>
      <c r="D512" s="51" t="s">
        <v>34</v>
      </c>
      <c r="E512" s="43">
        <v>44172</v>
      </c>
      <c r="F512" s="44" t="s">
        <v>60</v>
      </c>
      <c r="G512" s="51">
        <v>211</v>
      </c>
      <c r="H512" s="43">
        <v>44174</v>
      </c>
      <c r="I512" s="43" t="s">
        <v>1432</v>
      </c>
      <c r="J512" s="43">
        <v>44174</v>
      </c>
      <c r="K512" s="42" t="s">
        <v>36</v>
      </c>
      <c r="L512" s="42">
        <v>28.5</v>
      </c>
      <c r="M512" s="45" t="s">
        <v>31</v>
      </c>
      <c r="N512" s="44" t="s">
        <v>60</v>
      </c>
      <c r="O512" s="43" t="s">
        <v>60</v>
      </c>
      <c r="P512" s="42" t="s">
        <v>60</v>
      </c>
      <c r="Q512" s="42" t="s">
        <v>60</v>
      </c>
      <c r="R512" s="46" t="s">
        <v>60</v>
      </c>
      <c r="S512" s="43">
        <v>44174</v>
      </c>
      <c r="T512" s="51">
        <f t="shared" si="24"/>
        <v>3</v>
      </c>
      <c r="U512" s="52" t="str">
        <f t="shared" si="25"/>
        <v>Não Detectável</v>
      </c>
    </row>
    <row r="513" spans="1:21" ht="25.5" customHeight="1" x14ac:dyDescent="0.2">
      <c r="A513" s="51">
        <v>512</v>
      </c>
      <c r="B513" s="50" t="s">
        <v>1441</v>
      </c>
      <c r="C513" s="51">
        <v>30</v>
      </c>
      <c r="D513" s="51" t="s">
        <v>34</v>
      </c>
      <c r="E513" s="43">
        <v>44172</v>
      </c>
      <c r="F513" s="44" t="s">
        <v>60</v>
      </c>
      <c r="G513" s="51">
        <v>212</v>
      </c>
      <c r="H513" s="43">
        <v>44174</v>
      </c>
      <c r="I513" s="43" t="s">
        <v>1432</v>
      </c>
      <c r="J513" s="43">
        <v>44174</v>
      </c>
      <c r="K513" s="42">
        <v>24.4</v>
      </c>
      <c r="L513" s="42">
        <v>26.5</v>
      </c>
      <c r="M513" s="43" t="s">
        <v>29</v>
      </c>
      <c r="N513" s="43" t="s">
        <v>1442</v>
      </c>
      <c r="O513" s="43">
        <v>44175</v>
      </c>
      <c r="P513" s="42">
        <v>23.5</v>
      </c>
      <c r="Q513" s="42">
        <v>27.1</v>
      </c>
      <c r="R513" s="46" t="s">
        <v>29</v>
      </c>
      <c r="S513" s="43">
        <v>44175</v>
      </c>
      <c r="T513" s="51">
        <f t="shared" si="24"/>
        <v>3</v>
      </c>
      <c r="U513" s="52" t="str">
        <f t="shared" si="25"/>
        <v>Detectável</v>
      </c>
    </row>
    <row r="514" spans="1:21" ht="25.5" customHeight="1" x14ac:dyDescent="0.2">
      <c r="A514" s="51">
        <v>513</v>
      </c>
      <c r="B514" s="50" t="s">
        <v>1443</v>
      </c>
      <c r="C514" s="51">
        <v>33</v>
      </c>
      <c r="D514" s="51" t="s">
        <v>25</v>
      </c>
      <c r="E514" s="43">
        <v>44172</v>
      </c>
      <c r="F514" s="44" t="s">
        <v>60</v>
      </c>
      <c r="G514" s="51">
        <v>212</v>
      </c>
      <c r="H514" s="43">
        <v>44174</v>
      </c>
      <c r="I514" s="43" t="s">
        <v>1432</v>
      </c>
      <c r="J514" s="43">
        <v>44174</v>
      </c>
      <c r="K514" s="42">
        <v>24.4</v>
      </c>
      <c r="L514" s="42">
        <v>26.5</v>
      </c>
      <c r="M514" s="43" t="s">
        <v>29</v>
      </c>
      <c r="N514" s="43" t="s">
        <v>1442</v>
      </c>
      <c r="O514" s="43">
        <v>44175</v>
      </c>
      <c r="P514" s="42" t="s">
        <v>36</v>
      </c>
      <c r="Q514" s="42">
        <v>26.1</v>
      </c>
      <c r="R514" s="46" t="s">
        <v>31</v>
      </c>
      <c r="S514" s="43">
        <v>44175</v>
      </c>
      <c r="T514" s="51">
        <f t="shared" si="24"/>
        <v>3</v>
      </c>
      <c r="U514" s="52" t="str">
        <f t="shared" si="25"/>
        <v>Não Detectável</v>
      </c>
    </row>
    <row r="515" spans="1:21" ht="25.5" customHeight="1" x14ac:dyDescent="0.2">
      <c r="A515" s="51">
        <v>514</v>
      </c>
      <c r="B515" s="50" t="s">
        <v>1444</v>
      </c>
      <c r="C515" s="51">
        <v>68</v>
      </c>
      <c r="D515" s="51" t="s">
        <v>34</v>
      </c>
      <c r="E515" s="43">
        <v>44172</v>
      </c>
      <c r="F515" s="44" t="s">
        <v>60</v>
      </c>
      <c r="G515" s="51">
        <v>212</v>
      </c>
      <c r="H515" s="43">
        <v>44174</v>
      </c>
      <c r="I515" s="43" t="s">
        <v>1432</v>
      </c>
      <c r="J515" s="43">
        <v>44174</v>
      </c>
      <c r="K515" s="42">
        <v>24.4</v>
      </c>
      <c r="L515" s="42">
        <v>26.5</v>
      </c>
      <c r="M515" s="43" t="s">
        <v>29</v>
      </c>
      <c r="N515" s="43" t="s">
        <v>1442</v>
      </c>
      <c r="O515" s="43">
        <v>44175</v>
      </c>
      <c r="P515" s="42">
        <v>24.6</v>
      </c>
      <c r="Q515" s="42">
        <v>28.5</v>
      </c>
      <c r="R515" s="46" t="s">
        <v>29</v>
      </c>
      <c r="S515" s="43">
        <v>44175</v>
      </c>
      <c r="T515" s="51">
        <f t="shared" si="24"/>
        <v>3</v>
      </c>
      <c r="U515" s="52" t="str">
        <f t="shared" si="25"/>
        <v>Detectável</v>
      </c>
    </row>
    <row r="516" spans="1:21" ht="25.5" customHeight="1" x14ac:dyDescent="0.2">
      <c r="A516" s="51">
        <v>515</v>
      </c>
      <c r="B516" s="50" t="s">
        <v>1445</v>
      </c>
      <c r="C516" s="51">
        <v>58</v>
      </c>
      <c r="D516" s="51" t="s">
        <v>25</v>
      </c>
      <c r="E516" s="43">
        <v>44172</v>
      </c>
      <c r="F516" s="44" t="s">
        <v>60</v>
      </c>
      <c r="G516" s="51">
        <v>213</v>
      </c>
      <c r="H516" s="43">
        <v>44174</v>
      </c>
      <c r="I516" s="43" t="s">
        <v>1432</v>
      </c>
      <c r="J516" s="43">
        <v>44174</v>
      </c>
      <c r="K516" s="42" t="s">
        <v>36</v>
      </c>
      <c r="L516" s="42">
        <v>28.1</v>
      </c>
      <c r="M516" s="45" t="s">
        <v>31</v>
      </c>
      <c r="N516" s="44" t="s">
        <v>60</v>
      </c>
      <c r="O516" s="43" t="s">
        <v>60</v>
      </c>
      <c r="P516" s="42" t="s">
        <v>60</v>
      </c>
      <c r="Q516" s="42" t="s">
        <v>60</v>
      </c>
      <c r="R516" s="46" t="s">
        <v>60</v>
      </c>
      <c r="S516" s="43">
        <v>44174</v>
      </c>
      <c r="T516" s="51">
        <f t="shared" si="24"/>
        <v>3</v>
      </c>
      <c r="U516" s="52" t="str">
        <f t="shared" si="25"/>
        <v>Não Detectável</v>
      </c>
    </row>
    <row r="517" spans="1:21" ht="25.5" customHeight="1" x14ac:dyDescent="0.2">
      <c r="A517" s="51">
        <v>516</v>
      </c>
      <c r="B517" s="50" t="s">
        <v>1446</v>
      </c>
      <c r="C517" s="51">
        <v>47</v>
      </c>
      <c r="D517" s="51" t="s">
        <v>34</v>
      </c>
      <c r="E517" s="43">
        <v>44172</v>
      </c>
      <c r="F517" s="44" t="s">
        <v>60</v>
      </c>
      <c r="G517" s="51">
        <v>213</v>
      </c>
      <c r="H517" s="43">
        <v>44174</v>
      </c>
      <c r="I517" s="43" t="s">
        <v>1432</v>
      </c>
      <c r="J517" s="43">
        <v>44174</v>
      </c>
      <c r="K517" s="42" t="s">
        <v>36</v>
      </c>
      <c r="L517" s="42">
        <v>28.1</v>
      </c>
      <c r="M517" s="45" t="s">
        <v>31</v>
      </c>
      <c r="N517" s="44" t="s">
        <v>60</v>
      </c>
      <c r="O517" s="43" t="s">
        <v>60</v>
      </c>
      <c r="P517" s="42" t="s">
        <v>60</v>
      </c>
      <c r="Q517" s="42" t="s">
        <v>60</v>
      </c>
      <c r="R517" s="46" t="s">
        <v>60</v>
      </c>
      <c r="S517" s="43">
        <v>44174</v>
      </c>
      <c r="T517" s="51">
        <f t="shared" si="24"/>
        <v>3</v>
      </c>
      <c r="U517" s="52" t="str">
        <f t="shared" si="25"/>
        <v>Não Detectável</v>
      </c>
    </row>
    <row r="518" spans="1:21" ht="25.5" customHeight="1" x14ac:dyDescent="0.2">
      <c r="A518" s="51">
        <v>517</v>
      </c>
      <c r="B518" s="50" t="s">
        <v>1447</v>
      </c>
      <c r="C518" s="51">
        <v>28</v>
      </c>
      <c r="D518" s="51" t="s">
        <v>34</v>
      </c>
      <c r="E518" s="43">
        <v>44172</v>
      </c>
      <c r="F518" s="44" t="s">
        <v>60</v>
      </c>
      <c r="G518" s="51">
        <v>213</v>
      </c>
      <c r="H518" s="43">
        <v>44174</v>
      </c>
      <c r="I518" s="43" t="s">
        <v>1432</v>
      </c>
      <c r="J518" s="43">
        <v>44174</v>
      </c>
      <c r="K518" s="42" t="s">
        <v>36</v>
      </c>
      <c r="L518" s="42">
        <v>28.1</v>
      </c>
      <c r="M518" s="45" t="s">
        <v>31</v>
      </c>
      <c r="N518" s="44" t="s">
        <v>60</v>
      </c>
      <c r="O518" s="43" t="s">
        <v>60</v>
      </c>
      <c r="P518" s="42" t="s">
        <v>60</v>
      </c>
      <c r="Q518" s="42" t="s">
        <v>60</v>
      </c>
      <c r="R518" s="46" t="s">
        <v>60</v>
      </c>
      <c r="S518" s="43">
        <v>44174</v>
      </c>
      <c r="T518" s="51">
        <f t="shared" si="24"/>
        <v>3</v>
      </c>
      <c r="U518" s="52" t="str">
        <f t="shared" si="25"/>
        <v>Não Detectável</v>
      </c>
    </row>
    <row r="519" spans="1:21" ht="25.5" customHeight="1" x14ac:dyDescent="0.2">
      <c r="A519" s="51">
        <v>518</v>
      </c>
      <c r="B519" s="50" t="s">
        <v>1448</v>
      </c>
      <c r="C519" s="51">
        <v>39</v>
      </c>
      <c r="D519" s="51" t="s">
        <v>34</v>
      </c>
      <c r="E519" s="43">
        <v>44172</v>
      </c>
      <c r="F519" s="44" t="s">
        <v>60</v>
      </c>
      <c r="G519" s="51">
        <v>214</v>
      </c>
      <c r="H519" s="43">
        <v>44174</v>
      </c>
      <c r="I519" s="43" t="s">
        <v>1432</v>
      </c>
      <c r="J519" s="43">
        <v>44174</v>
      </c>
      <c r="K519" s="42">
        <v>30.7</v>
      </c>
      <c r="L519" s="42">
        <v>27.3</v>
      </c>
      <c r="M519" s="43" t="s">
        <v>29</v>
      </c>
      <c r="N519" s="43" t="s">
        <v>1442</v>
      </c>
      <c r="O519" s="43">
        <v>44175</v>
      </c>
      <c r="P519" s="42" t="s">
        <v>36</v>
      </c>
      <c r="Q519" s="42">
        <v>26.9</v>
      </c>
      <c r="R519" s="46" t="s">
        <v>31</v>
      </c>
      <c r="S519" s="43">
        <v>44175</v>
      </c>
      <c r="T519" s="51">
        <f t="shared" si="24"/>
        <v>3</v>
      </c>
      <c r="U519" s="52" t="str">
        <f t="shared" si="25"/>
        <v>Não Detectável</v>
      </c>
    </row>
    <row r="520" spans="1:21" ht="25.5" customHeight="1" x14ac:dyDescent="0.2">
      <c r="A520" s="51">
        <v>519</v>
      </c>
      <c r="B520" s="50" t="s">
        <v>1449</v>
      </c>
      <c r="C520" s="51">
        <v>31</v>
      </c>
      <c r="D520" s="51" t="s">
        <v>25</v>
      </c>
      <c r="E520" s="43">
        <v>44172</v>
      </c>
      <c r="F520" s="44" t="s">
        <v>60</v>
      </c>
      <c r="G520" s="51">
        <v>214</v>
      </c>
      <c r="H520" s="43">
        <v>44174</v>
      </c>
      <c r="I520" s="43" t="s">
        <v>1432</v>
      </c>
      <c r="J520" s="43">
        <v>44174</v>
      </c>
      <c r="K520" s="42">
        <v>30.7</v>
      </c>
      <c r="L520" s="42">
        <v>27.3</v>
      </c>
      <c r="M520" s="43" t="s">
        <v>29</v>
      </c>
      <c r="N520" s="43" t="s">
        <v>1442</v>
      </c>
      <c r="O520" s="43">
        <v>44175</v>
      </c>
      <c r="P520" s="42" t="s">
        <v>36</v>
      </c>
      <c r="Q520" s="42">
        <v>29.3</v>
      </c>
      <c r="R520" s="46" t="s">
        <v>31</v>
      </c>
      <c r="S520" s="43">
        <v>44175</v>
      </c>
      <c r="T520" s="51">
        <f t="shared" si="24"/>
        <v>3</v>
      </c>
      <c r="U520" s="52" t="str">
        <f t="shared" si="25"/>
        <v>Não Detectável</v>
      </c>
    </row>
    <row r="521" spans="1:21" ht="25.5" customHeight="1" x14ac:dyDescent="0.2">
      <c r="A521" s="51">
        <v>520</v>
      </c>
      <c r="B521" s="50" t="s">
        <v>1450</v>
      </c>
      <c r="C521" s="51">
        <v>34</v>
      </c>
      <c r="D521" s="51" t="s">
        <v>25</v>
      </c>
      <c r="E521" s="43">
        <v>44172</v>
      </c>
      <c r="F521" s="44" t="s">
        <v>60</v>
      </c>
      <c r="G521" s="51">
        <v>214</v>
      </c>
      <c r="H521" s="43">
        <v>44174</v>
      </c>
      <c r="I521" s="43" t="s">
        <v>1432</v>
      </c>
      <c r="J521" s="43">
        <v>44174</v>
      </c>
      <c r="K521" s="42">
        <v>30.7</v>
      </c>
      <c r="L521" s="42">
        <v>27.3</v>
      </c>
      <c r="M521" s="43" t="s">
        <v>29</v>
      </c>
      <c r="N521" s="43" t="s">
        <v>1442</v>
      </c>
      <c r="O521" s="43">
        <v>44175</v>
      </c>
      <c r="P521" s="42">
        <v>29</v>
      </c>
      <c r="Q521" s="42">
        <v>26.6</v>
      </c>
      <c r="R521" s="46" t="s">
        <v>29</v>
      </c>
      <c r="S521" s="43">
        <v>44175</v>
      </c>
      <c r="T521" s="51">
        <f t="shared" si="24"/>
        <v>3</v>
      </c>
      <c r="U521" s="52" t="str">
        <f t="shared" si="25"/>
        <v>Detectável</v>
      </c>
    </row>
    <row r="522" spans="1:21" ht="25.5" customHeight="1" x14ac:dyDescent="0.2">
      <c r="A522" s="51">
        <v>521</v>
      </c>
      <c r="B522" s="50" t="s">
        <v>1451</v>
      </c>
      <c r="C522" s="51">
        <v>39</v>
      </c>
      <c r="D522" s="51" t="s">
        <v>25</v>
      </c>
      <c r="E522" s="43">
        <v>44172</v>
      </c>
      <c r="F522" s="44" t="s">
        <v>60</v>
      </c>
      <c r="G522" s="51">
        <v>215</v>
      </c>
      <c r="H522" s="43">
        <v>44174</v>
      </c>
      <c r="I522" s="43" t="s">
        <v>1432</v>
      </c>
      <c r="J522" s="43">
        <v>44174</v>
      </c>
      <c r="K522" s="42">
        <v>15.4</v>
      </c>
      <c r="L522" s="42">
        <v>28.1</v>
      </c>
      <c r="M522" s="43" t="s">
        <v>29</v>
      </c>
      <c r="N522" s="43" t="s">
        <v>1442</v>
      </c>
      <c r="O522" s="43">
        <v>44175</v>
      </c>
      <c r="P522" s="42">
        <v>14.2</v>
      </c>
      <c r="Q522" s="42">
        <v>27.7</v>
      </c>
      <c r="R522" s="46" t="s">
        <v>29</v>
      </c>
      <c r="S522" s="43">
        <v>44175</v>
      </c>
      <c r="T522" s="51">
        <f t="shared" si="24"/>
        <v>3</v>
      </c>
      <c r="U522" s="52" t="str">
        <f t="shared" si="25"/>
        <v>Detectável</v>
      </c>
    </row>
    <row r="523" spans="1:21" ht="25.5" customHeight="1" x14ac:dyDescent="0.2">
      <c r="A523" s="51">
        <v>522</v>
      </c>
      <c r="B523" s="50" t="s">
        <v>1452</v>
      </c>
      <c r="C523" s="51">
        <v>38</v>
      </c>
      <c r="D523" s="51" t="s">
        <v>34</v>
      </c>
      <c r="E523" s="43">
        <v>44172</v>
      </c>
      <c r="F523" s="44" t="s">
        <v>60</v>
      </c>
      <c r="G523" s="51">
        <v>215</v>
      </c>
      <c r="H523" s="43">
        <v>44174</v>
      </c>
      <c r="I523" s="43" t="s">
        <v>1432</v>
      </c>
      <c r="J523" s="43">
        <v>44174</v>
      </c>
      <c r="K523" s="42">
        <v>15.4</v>
      </c>
      <c r="L523" s="42">
        <v>28.1</v>
      </c>
      <c r="M523" s="43" t="s">
        <v>29</v>
      </c>
      <c r="N523" s="43" t="s">
        <v>1442</v>
      </c>
      <c r="O523" s="43">
        <v>44175</v>
      </c>
      <c r="P523" s="42" t="s">
        <v>36</v>
      </c>
      <c r="Q523" s="42">
        <v>28.7</v>
      </c>
      <c r="R523" s="46" t="s">
        <v>31</v>
      </c>
      <c r="S523" s="43">
        <v>44175</v>
      </c>
      <c r="T523" s="51">
        <f t="shared" si="24"/>
        <v>3</v>
      </c>
      <c r="U523" s="52" t="str">
        <f t="shared" si="25"/>
        <v>Não Detectável</v>
      </c>
    </row>
    <row r="524" spans="1:21" ht="25.5" customHeight="1" x14ac:dyDescent="0.2">
      <c r="A524" s="51">
        <v>523</v>
      </c>
      <c r="B524" s="50" t="s">
        <v>1453</v>
      </c>
      <c r="C524" s="51">
        <v>21</v>
      </c>
      <c r="D524" s="51" t="s">
        <v>25</v>
      </c>
      <c r="E524" s="43">
        <v>44172</v>
      </c>
      <c r="F524" s="44" t="s">
        <v>60</v>
      </c>
      <c r="G524" s="51">
        <v>215</v>
      </c>
      <c r="H524" s="43">
        <v>44174</v>
      </c>
      <c r="I524" s="43" t="s">
        <v>1432</v>
      </c>
      <c r="J524" s="43">
        <v>44174</v>
      </c>
      <c r="K524" s="42">
        <v>15.4</v>
      </c>
      <c r="L524" s="42">
        <v>28.1</v>
      </c>
      <c r="M524" s="43" t="s">
        <v>29</v>
      </c>
      <c r="N524" s="43" t="s">
        <v>1442</v>
      </c>
      <c r="O524" s="43">
        <v>44175</v>
      </c>
      <c r="P524" s="42" t="s">
        <v>36</v>
      </c>
      <c r="Q524" s="42">
        <v>28.1</v>
      </c>
      <c r="R524" s="46" t="s">
        <v>31</v>
      </c>
      <c r="S524" s="43">
        <v>44175</v>
      </c>
      <c r="T524" s="51">
        <f t="shared" si="24"/>
        <v>3</v>
      </c>
      <c r="U524" s="52" t="str">
        <f t="shared" si="25"/>
        <v>Não Detectável</v>
      </c>
    </row>
    <row r="525" spans="1:21" ht="25.5" customHeight="1" x14ac:dyDescent="0.2">
      <c r="A525" s="51">
        <v>524</v>
      </c>
      <c r="B525" s="50" t="s">
        <v>1454</v>
      </c>
      <c r="C525" s="51">
        <v>30</v>
      </c>
      <c r="D525" s="51" t="s">
        <v>25</v>
      </c>
      <c r="E525" s="43">
        <v>44172</v>
      </c>
      <c r="F525" s="44" t="s">
        <v>60</v>
      </c>
      <c r="G525" s="51">
        <v>216</v>
      </c>
      <c r="H525" s="43">
        <v>44174</v>
      </c>
      <c r="I525" s="43" t="s">
        <v>1432</v>
      </c>
      <c r="J525" s="43">
        <v>44174</v>
      </c>
      <c r="K525" s="42">
        <v>18.8</v>
      </c>
      <c r="L525" s="42">
        <v>28.6</v>
      </c>
      <c r="M525" s="43" t="s">
        <v>29</v>
      </c>
      <c r="N525" s="43" t="s">
        <v>1442</v>
      </c>
      <c r="O525" s="43">
        <v>44175</v>
      </c>
      <c r="P525" s="42">
        <v>21.7</v>
      </c>
      <c r="Q525" s="42">
        <v>28.5</v>
      </c>
      <c r="R525" s="46" t="s">
        <v>29</v>
      </c>
      <c r="S525" s="43">
        <v>44175</v>
      </c>
      <c r="T525" s="51">
        <f t="shared" si="24"/>
        <v>3</v>
      </c>
      <c r="U525" s="52" t="str">
        <f t="shared" si="25"/>
        <v>Detectável</v>
      </c>
    </row>
    <row r="526" spans="1:21" ht="25.5" customHeight="1" x14ac:dyDescent="0.2">
      <c r="A526" s="51">
        <v>525</v>
      </c>
      <c r="B526" s="50" t="s">
        <v>1455</v>
      </c>
      <c r="C526" s="51">
        <v>31</v>
      </c>
      <c r="D526" s="51" t="s">
        <v>34</v>
      </c>
      <c r="E526" s="43">
        <v>44172</v>
      </c>
      <c r="F526" s="44" t="s">
        <v>60</v>
      </c>
      <c r="G526" s="51">
        <v>216</v>
      </c>
      <c r="H526" s="43">
        <v>44174</v>
      </c>
      <c r="I526" s="43" t="s">
        <v>1432</v>
      </c>
      <c r="J526" s="43">
        <v>44174</v>
      </c>
      <c r="K526" s="42">
        <v>18.8</v>
      </c>
      <c r="L526" s="42">
        <v>28.6</v>
      </c>
      <c r="M526" s="43" t="s">
        <v>29</v>
      </c>
      <c r="N526" s="43" t="s">
        <v>1442</v>
      </c>
      <c r="O526" s="43">
        <v>44175</v>
      </c>
      <c r="P526" s="42">
        <v>17.2</v>
      </c>
      <c r="Q526" s="42">
        <v>28.8</v>
      </c>
      <c r="R526" s="46" t="s">
        <v>29</v>
      </c>
      <c r="S526" s="43">
        <v>44175</v>
      </c>
      <c r="T526" s="51">
        <f t="shared" si="24"/>
        <v>3</v>
      </c>
      <c r="U526" s="52" t="str">
        <f t="shared" si="25"/>
        <v>Detectável</v>
      </c>
    </row>
    <row r="527" spans="1:21" ht="25.5" customHeight="1" x14ac:dyDescent="0.2">
      <c r="A527" s="51">
        <v>526</v>
      </c>
      <c r="B527" s="50" t="s">
        <v>1456</v>
      </c>
      <c r="C527" s="51">
        <v>61</v>
      </c>
      <c r="D527" s="51" t="s">
        <v>25</v>
      </c>
      <c r="E527" s="43">
        <v>44172</v>
      </c>
      <c r="F527" s="44" t="s">
        <v>60</v>
      </c>
      <c r="G527" s="51">
        <v>216</v>
      </c>
      <c r="H527" s="43">
        <v>44174</v>
      </c>
      <c r="I527" s="43" t="s">
        <v>1432</v>
      </c>
      <c r="J527" s="43">
        <v>44174</v>
      </c>
      <c r="K527" s="42">
        <v>18.8</v>
      </c>
      <c r="L527" s="42">
        <v>28.6</v>
      </c>
      <c r="M527" s="43" t="s">
        <v>29</v>
      </c>
      <c r="N527" s="43" t="s">
        <v>1442</v>
      </c>
      <c r="O527" s="43">
        <v>44175</v>
      </c>
      <c r="P527" s="42" t="s">
        <v>36</v>
      </c>
      <c r="Q527" s="42">
        <v>29.1</v>
      </c>
      <c r="R527" s="46" t="s">
        <v>31</v>
      </c>
      <c r="S527" s="43">
        <v>44175</v>
      </c>
      <c r="T527" s="51">
        <f t="shared" si="24"/>
        <v>3</v>
      </c>
      <c r="U527" s="52" t="str">
        <f t="shared" si="25"/>
        <v>Não Detectável</v>
      </c>
    </row>
    <row r="528" spans="1:21" ht="25.5" customHeight="1" x14ac:dyDescent="0.2">
      <c r="A528" s="51">
        <v>527</v>
      </c>
      <c r="B528" s="50" t="s">
        <v>1457</v>
      </c>
      <c r="C528" s="51">
        <v>26</v>
      </c>
      <c r="D528" s="51" t="s">
        <v>25</v>
      </c>
      <c r="E528" s="43">
        <v>44172</v>
      </c>
      <c r="F528" s="44" t="s">
        <v>60</v>
      </c>
      <c r="G528" s="51">
        <v>217</v>
      </c>
      <c r="H528" s="43">
        <v>44174</v>
      </c>
      <c r="I528" s="43" t="s">
        <v>1442</v>
      </c>
      <c r="J528" s="43">
        <v>44175</v>
      </c>
      <c r="K528" s="42" t="s">
        <v>36</v>
      </c>
      <c r="L528" s="42">
        <v>29.4</v>
      </c>
      <c r="M528" s="45" t="s">
        <v>31</v>
      </c>
      <c r="N528" s="43" t="s">
        <v>60</v>
      </c>
      <c r="O528" s="43" t="s">
        <v>60</v>
      </c>
      <c r="P528" s="42" t="s">
        <v>60</v>
      </c>
      <c r="Q528" s="42" t="s">
        <v>60</v>
      </c>
      <c r="R528" s="46" t="s">
        <v>60</v>
      </c>
      <c r="S528" s="43">
        <v>44175</v>
      </c>
      <c r="T528" s="51">
        <f t="shared" si="24"/>
        <v>3</v>
      </c>
      <c r="U528" s="52" t="str">
        <f t="shared" si="25"/>
        <v>Não Detectável</v>
      </c>
    </row>
    <row r="529" spans="1:21" ht="25.5" customHeight="1" x14ac:dyDescent="0.2">
      <c r="A529" s="51">
        <v>528</v>
      </c>
      <c r="B529" s="50" t="s">
        <v>1458</v>
      </c>
      <c r="C529" s="51">
        <v>46</v>
      </c>
      <c r="D529" s="51" t="s">
        <v>25</v>
      </c>
      <c r="E529" s="43">
        <v>44172</v>
      </c>
      <c r="F529" s="44" t="s">
        <v>60</v>
      </c>
      <c r="G529" s="51">
        <v>217</v>
      </c>
      <c r="H529" s="43">
        <v>44174</v>
      </c>
      <c r="I529" s="43" t="s">
        <v>1442</v>
      </c>
      <c r="J529" s="43">
        <v>44175</v>
      </c>
      <c r="K529" s="42" t="s">
        <v>36</v>
      </c>
      <c r="L529" s="42">
        <v>29.4</v>
      </c>
      <c r="M529" s="45" t="s">
        <v>31</v>
      </c>
      <c r="N529" s="43" t="s">
        <v>60</v>
      </c>
      <c r="O529" s="43" t="s">
        <v>60</v>
      </c>
      <c r="P529" s="42" t="s">
        <v>60</v>
      </c>
      <c r="Q529" s="42" t="s">
        <v>60</v>
      </c>
      <c r="R529" s="46" t="s">
        <v>60</v>
      </c>
      <c r="S529" s="43">
        <v>44175</v>
      </c>
      <c r="T529" s="51">
        <f t="shared" si="24"/>
        <v>3</v>
      </c>
      <c r="U529" s="52" t="str">
        <f t="shared" si="25"/>
        <v>Não Detectável</v>
      </c>
    </row>
    <row r="530" spans="1:21" ht="25.5" customHeight="1" x14ac:dyDescent="0.2">
      <c r="A530" s="51">
        <v>529</v>
      </c>
      <c r="B530" s="50" t="s">
        <v>1459</v>
      </c>
      <c r="C530" s="51">
        <v>60</v>
      </c>
      <c r="D530" s="51" t="s">
        <v>34</v>
      </c>
      <c r="E530" s="43">
        <v>44172</v>
      </c>
      <c r="F530" s="44" t="s">
        <v>60</v>
      </c>
      <c r="G530" s="51">
        <v>217</v>
      </c>
      <c r="H530" s="43">
        <v>44174</v>
      </c>
      <c r="I530" s="43" t="s">
        <v>1442</v>
      </c>
      <c r="J530" s="43">
        <v>44175</v>
      </c>
      <c r="K530" s="42" t="s">
        <v>36</v>
      </c>
      <c r="L530" s="42">
        <v>29.4</v>
      </c>
      <c r="M530" s="45" t="s">
        <v>31</v>
      </c>
      <c r="N530" s="43" t="s">
        <v>60</v>
      </c>
      <c r="O530" s="43" t="s">
        <v>60</v>
      </c>
      <c r="P530" s="42" t="s">
        <v>60</v>
      </c>
      <c r="Q530" s="42" t="s">
        <v>60</v>
      </c>
      <c r="R530" s="46" t="s">
        <v>60</v>
      </c>
      <c r="S530" s="43">
        <v>44175</v>
      </c>
      <c r="T530" s="51">
        <f t="shared" si="24"/>
        <v>3</v>
      </c>
      <c r="U530" s="52" t="str">
        <f t="shared" si="25"/>
        <v>Não Detectável</v>
      </c>
    </row>
    <row r="531" spans="1:21" ht="25.5" customHeight="1" x14ac:dyDescent="0.2">
      <c r="A531" s="51">
        <v>530</v>
      </c>
      <c r="B531" s="50" t="s">
        <v>1460</v>
      </c>
      <c r="C531" s="51">
        <v>40</v>
      </c>
      <c r="D531" s="51" t="s">
        <v>34</v>
      </c>
      <c r="E531" s="43">
        <v>44174</v>
      </c>
      <c r="F531" s="44" t="s">
        <v>60</v>
      </c>
      <c r="G531" s="51">
        <v>218</v>
      </c>
      <c r="H531" s="43">
        <v>44175</v>
      </c>
      <c r="I531" s="43" t="s">
        <v>1442</v>
      </c>
      <c r="J531" s="43">
        <v>44175</v>
      </c>
      <c r="K531" s="42">
        <v>23.1</v>
      </c>
      <c r="L531" s="42">
        <v>27.1</v>
      </c>
      <c r="M531" s="43" t="s">
        <v>29</v>
      </c>
      <c r="N531" s="43" t="s">
        <v>1461</v>
      </c>
      <c r="O531" s="43">
        <v>44176</v>
      </c>
      <c r="P531" s="42" t="s">
        <v>36</v>
      </c>
      <c r="Q531" s="42">
        <v>26.7</v>
      </c>
      <c r="R531" s="45" t="s">
        <v>31</v>
      </c>
      <c r="S531" s="43">
        <v>44176</v>
      </c>
      <c r="T531" s="51">
        <f t="shared" si="24"/>
        <v>3</v>
      </c>
      <c r="U531" s="52" t="str">
        <f t="shared" si="25"/>
        <v>Não Detectável</v>
      </c>
    </row>
    <row r="532" spans="1:21" ht="25.5" customHeight="1" x14ac:dyDescent="0.2">
      <c r="A532" s="51">
        <v>531</v>
      </c>
      <c r="B532" s="50" t="s">
        <v>1462</v>
      </c>
      <c r="C532" s="51">
        <v>46</v>
      </c>
      <c r="D532" s="51" t="s">
        <v>34</v>
      </c>
      <c r="E532" s="43">
        <v>44174</v>
      </c>
      <c r="F532" s="44" t="s">
        <v>60</v>
      </c>
      <c r="G532" s="51">
        <v>218</v>
      </c>
      <c r="H532" s="43">
        <v>44175</v>
      </c>
      <c r="I532" s="43" t="s">
        <v>1442</v>
      </c>
      <c r="J532" s="43">
        <v>44175</v>
      </c>
      <c r="K532" s="42">
        <v>23.1</v>
      </c>
      <c r="L532" s="42">
        <v>27.1</v>
      </c>
      <c r="M532" s="43" t="s">
        <v>29</v>
      </c>
      <c r="N532" s="43" t="s">
        <v>1461</v>
      </c>
      <c r="O532" s="43">
        <v>44176</v>
      </c>
      <c r="P532" s="42">
        <v>21.5</v>
      </c>
      <c r="Q532" s="42">
        <v>27</v>
      </c>
      <c r="R532" s="45" t="s">
        <v>29</v>
      </c>
      <c r="S532" s="43">
        <v>44176</v>
      </c>
      <c r="T532" s="51">
        <f t="shared" si="24"/>
        <v>3</v>
      </c>
      <c r="U532" s="52" t="str">
        <f t="shared" si="25"/>
        <v>Detectável</v>
      </c>
    </row>
    <row r="533" spans="1:21" ht="25.5" customHeight="1" x14ac:dyDescent="0.2">
      <c r="A533" s="51">
        <v>532</v>
      </c>
      <c r="B533" s="50" t="s">
        <v>1463</v>
      </c>
      <c r="C533" s="51">
        <v>63</v>
      </c>
      <c r="D533" s="51" t="s">
        <v>25</v>
      </c>
      <c r="E533" s="43">
        <v>44174</v>
      </c>
      <c r="F533" s="44" t="s">
        <v>60</v>
      </c>
      <c r="G533" s="51">
        <v>218</v>
      </c>
      <c r="H533" s="43">
        <v>44175</v>
      </c>
      <c r="I533" s="43" t="s">
        <v>1442</v>
      </c>
      <c r="J533" s="43">
        <v>44175</v>
      </c>
      <c r="K533" s="42">
        <v>23.1</v>
      </c>
      <c r="L533" s="42">
        <v>27.1</v>
      </c>
      <c r="M533" s="43" t="s">
        <v>29</v>
      </c>
      <c r="N533" s="43" t="s">
        <v>1461</v>
      </c>
      <c r="O533" s="43">
        <v>44176</v>
      </c>
      <c r="P533" s="42" t="s">
        <v>36</v>
      </c>
      <c r="Q533" s="42">
        <v>28.2</v>
      </c>
      <c r="R533" s="45" t="s">
        <v>31</v>
      </c>
      <c r="S533" s="43">
        <v>44176</v>
      </c>
      <c r="T533" s="51">
        <f t="shared" si="24"/>
        <v>3</v>
      </c>
      <c r="U533" s="52" t="str">
        <f t="shared" si="25"/>
        <v>Não Detectável</v>
      </c>
    </row>
    <row r="534" spans="1:21" ht="25.5" customHeight="1" x14ac:dyDescent="0.2">
      <c r="A534" s="51">
        <v>533</v>
      </c>
      <c r="B534" s="50" t="s">
        <v>1464</v>
      </c>
      <c r="C534" s="51">
        <v>22</v>
      </c>
      <c r="D534" s="51" t="s">
        <v>25</v>
      </c>
      <c r="E534" s="43">
        <v>44174</v>
      </c>
      <c r="F534" s="44" t="s">
        <v>60</v>
      </c>
      <c r="G534" s="51">
        <v>219</v>
      </c>
      <c r="H534" s="43">
        <v>44175</v>
      </c>
      <c r="I534" s="43" t="s">
        <v>1442</v>
      </c>
      <c r="J534" s="43">
        <v>44175</v>
      </c>
      <c r="K534" s="42">
        <v>27.9</v>
      </c>
      <c r="L534" s="42">
        <v>19.600000000000001</v>
      </c>
      <c r="M534" s="43" t="s">
        <v>29</v>
      </c>
      <c r="N534" s="43" t="s">
        <v>1461</v>
      </c>
      <c r="O534" s="43">
        <v>44176</v>
      </c>
      <c r="P534" s="42">
        <v>14.8</v>
      </c>
      <c r="Q534" s="42">
        <v>27.4</v>
      </c>
      <c r="R534" s="45" t="s">
        <v>29</v>
      </c>
      <c r="S534" s="43">
        <v>44176</v>
      </c>
      <c r="T534" s="51">
        <f t="shared" si="24"/>
        <v>3</v>
      </c>
      <c r="U534" s="52" t="str">
        <f t="shared" si="25"/>
        <v>Detectável</v>
      </c>
    </row>
    <row r="535" spans="1:21" ht="25.5" customHeight="1" x14ac:dyDescent="0.2">
      <c r="A535" s="51">
        <v>534</v>
      </c>
      <c r="B535" s="50" t="s">
        <v>1465</v>
      </c>
      <c r="C535" s="51">
        <v>24</v>
      </c>
      <c r="D535" s="51" t="s">
        <v>25</v>
      </c>
      <c r="E535" s="43">
        <v>44174</v>
      </c>
      <c r="F535" s="44" t="s">
        <v>60</v>
      </c>
      <c r="G535" s="51">
        <v>219</v>
      </c>
      <c r="H535" s="43">
        <v>44175</v>
      </c>
      <c r="I535" s="43" t="s">
        <v>1442</v>
      </c>
      <c r="J535" s="43">
        <v>44175</v>
      </c>
      <c r="K535" s="42">
        <v>27.9</v>
      </c>
      <c r="L535" s="42">
        <v>19.600000000000001</v>
      </c>
      <c r="M535" s="43" t="s">
        <v>29</v>
      </c>
      <c r="N535" s="43" t="s">
        <v>1461</v>
      </c>
      <c r="O535" s="43">
        <v>44176</v>
      </c>
      <c r="P535" s="42" t="s">
        <v>36</v>
      </c>
      <c r="Q535" s="42">
        <v>27.5</v>
      </c>
      <c r="R535" s="45" t="s">
        <v>31</v>
      </c>
      <c r="S535" s="43">
        <v>44176</v>
      </c>
      <c r="T535" s="51">
        <f t="shared" si="24"/>
        <v>3</v>
      </c>
      <c r="U535" s="52" t="str">
        <f t="shared" si="25"/>
        <v>Não Detectável</v>
      </c>
    </row>
    <row r="536" spans="1:21" ht="25.5" customHeight="1" x14ac:dyDescent="0.2">
      <c r="A536" s="51">
        <v>535</v>
      </c>
      <c r="B536" s="50" t="s">
        <v>1466</v>
      </c>
      <c r="C536" s="51">
        <v>34</v>
      </c>
      <c r="D536" s="51" t="s">
        <v>25</v>
      </c>
      <c r="E536" s="43">
        <v>44174</v>
      </c>
      <c r="F536" s="44" t="s">
        <v>60</v>
      </c>
      <c r="G536" s="51">
        <v>219</v>
      </c>
      <c r="H536" s="43">
        <v>44175</v>
      </c>
      <c r="I536" s="43" t="s">
        <v>1442</v>
      </c>
      <c r="J536" s="43">
        <v>44175</v>
      </c>
      <c r="K536" s="42">
        <v>27.9</v>
      </c>
      <c r="L536" s="42">
        <v>19.600000000000001</v>
      </c>
      <c r="M536" s="43" t="s">
        <v>29</v>
      </c>
      <c r="N536" s="43" t="s">
        <v>1461</v>
      </c>
      <c r="O536" s="43">
        <v>44176</v>
      </c>
      <c r="P536" s="42">
        <v>19</v>
      </c>
      <c r="Q536" s="42">
        <v>28.7</v>
      </c>
      <c r="R536" s="45" t="s">
        <v>29</v>
      </c>
      <c r="S536" s="43">
        <v>44176</v>
      </c>
      <c r="T536" s="51">
        <f t="shared" si="24"/>
        <v>3</v>
      </c>
      <c r="U536" s="52" t="str">
        <f t="shared" si="25"/>
        <v>Detectável</v>
      </c>
    </row>
    <row r="537" spans="1:21" ht="25.5" customHeight="1" x14ac:dyDescent="0.2">
      <c r="A537" s="51">
        <v>536</v>
      </c>
      <c r="B537" s="50" t="s">
        <v>1467</v>
      </c>
      <c r="C537" s="51">
        <v>26</v>
      </c>
      <c r="D537" s="51" t="s">
        <v>34</v>
      </c>
      <c r="E537" s="43">
        <v>44174</v>
      </c>
      <c r="F537" s="44" t="s">
        <v>60</v>
      </c>
      <c r="G537" s="51">
        <v>220</v>
      </c>
      <c r="H537" s="43">
        <v>44175</v>
      </c>
      <c r="I537" s="43" t="s">
        <v>1442</v>
      </c>
      <c r="J537" s="43">
        <v>44175</v>
      </c>
      <c r="K537" s="42">
        <v>19.600000000000001</v>
      </c>
      <c r="L537" s="42">
        <v>28.3</v>
      </c>
      <c r="M537" s="43" t="s">
        <v>29</v>
      </c>
      <c r="N537" s="43" t="s">
        <v>1461</v>
      </c>
      <c r="O537" s="43">
        <v>44176</v>
      </c>
      <c r="P537" s="42">
        <v>18</v>
      </c>
      <c r="Q537" s="42">
        <v>27.2</v>
      </c>
      <c r="R537" s="45" t="s">
        <v>29</v>
      </c>
      <c r="S537" s="43">
        <v>44176</v>
      </c>
      <c r="T537" s="51">
        <f t="shared" si="24"/>
        <v>3</v>
      </c>
      <c r="U537" s="52" t="str">
        <f t="shared" si="25"/>
        <v>Detectável</v>
      </c>
    </row>
    <row r="538" spans="1:21" ht="25.5" customHeight="1" x14ac:dyDescent="0.2">
      <c r="A538" s="51">
        <v>537</v>
      </c>
      <c r="B538" s="50" t="s">
        <v>1468</v>
      </c>
      <c r="C538" s="51">
        <v>31</v>
      </c>
      <c r="D538" s="51" t="s">
        <v>34</v>
      </c>
      <c r="E538" s="43">
        <v>44174</v>
      </c>
      <c r="F538" s="44" t="s">
        <v>60</v>
      </c>
      <c r="G538" s="51">
        <v>220</v>
      </c>
      <c r="H538" s="43">
        <v>44175</v>
      </c>
      <c r="I538" s="43" t="s">
        <v>1442</v>
      </c>
      <c r="J538" s="43">
        <v>44175</v>
      </c>
      <c r="K538" s="42">
        <v>19.600000000000001</v>
      </c>
      <c r="L538" s="42">
        <v>28.3</v>
      </c>
      <c r="M538" s="43" t="s">
        <v>29</v>
      </c>
      <c r="N538" s="43" t="s">
        <v>1461</v>
      </c>
      <c r="O538" s="43">
        <v>44176</v>
      </c>
      <c r="P538" s="42" t="s">
        <v>36</v>
      </c>
      <c r="Q538" s="42">
        <v>29.1</v>
      </c>
      <c r="R538" s="45" t="s">
        <v>31</v>
      </c>
      <c r="S538" s="43">
        <v>44176</v>
      </c>
      <c r="T538" s="51">
        <f t="shared" si="24"/>
        <v>3</v>
      </c>
      <c r="U538" s="52" t="str">
        <f t="shared" si="25"/>
        <v>Não Detectável</v>
      </c>
    </row>
    <row r="539" spans="1:21" ht="25.5" customHeight="1" x14ac:dyDescent="0.2">
      <c r="A539" s="51">
        <v>538</v>
      </c>
      <c r="B539" s="50" t="s">
        <v>1469</v>
      </c>
      <c r="C539" s="51">
        <v>42</v>
      </c>
      <c r="D539" s="51" t="s">
        <v>25</v>
      </c>
      <c r="E539" s="43">
        <v>44174</v>
      </c>
      <c r="F539" s="44" t="s">
        <v>60</v>
      </c>
      <c r="G539" s="51">
        <v>220</v>
      </c>
      <c r="H539" s="43">
        <v>44175</v>
      </c>
      <c r="I539" s="43" t="s">
        <v>1442</v>
      </c>
      <c r="J539" s="43">
        <v>44175</v>
      </c>
      <c r="K539" s="42">
        <v>19.600000000000001</v>
      </c>
      <c r="L539" s="42">
        <v>28.3</v>
      </c>
      <c r="M539" s="43" t="s">
        <v>29</v>
      </c>
      <c r="N539" s="43" t="s">
        <v>1461</v>
      </c>
      <c r="O539" s="43">
        <v>44176</v>
      </c>
      <c r="P539" s="42" t="s">
        <v>36</v>
      </c>
      <c r="Q539" s="42">
        <v>29</v>
      </c>
      <c r="R539" s="45" t="s">
        <v>31</v>
      </c>
      <c r="S539" s="43">
        <v>44176</v>
      </c>
      <c r="T539" s="51">
        <f t="shared" si="24"/>
        <v>3</v>
      </c>
      <c r="U539" s="52" t="str">
        <f t="shared" si="25"/>
        <v>Não Detectável</v>
      </c>
    </row>
    <row r="540" spans="1:21" ht="25.5" customHeight="1" x14ac:dyDescent="0.2">
      <c r="A540" s="51">
        <v>539</v>
      </c>
      <c r="B540" s="50" t="s">
        <v>1470</v>
      </c>
      <c r="C540" s="51">
        <v>53</v>
      </c>
      <c r="D540" s="51" t="s">
        <v>34</v>
      </c>
      <c r="E540" s="43">
        <v>44174</v>
      </c>
      <c r="F540" s="44" t="s">
        <v>60</v>
      </c>
      <c r="G540" s="51">
        <v>221</v>
      </c>
      <c r="H540" s="43">
        <v>44175</v>
      </c>
      <c r="I540" s="43" t="s">
        <v>1442</v>
      </c>
      <c r="J540" s="43">
        <v>44175</v>
      </c>
      <c r="K540" s="42">
        <v>16.899999999999999</v>
      </c>
      <c r="L540" s="42">
        <v>28.4</v>
      </c>
      <c r="M540" s="43" t="s">
        <v>29</v>
      </c>
      <c r="N540" s="43" t="s">
        <v>1461</v>
      </c>
      <c r="O540" s="43">
        <v>44176</v>
      </c>
      <c r="P540" s="42">
        <v>15.8</v>
      </c>
      <c r="Q540" s="42">
        <v>27.3</v>
      </c>
      <c r="R540" s="45" t="s">
        <v>29</v>
      </c>
      <c r="S540" s="43">
        <v>44176</v>
      </c>
      <c r="T540" s="51">
        <f t="shared" si="24"/>
        <v>3</v>
      </c>
      <c r="U540" s="52" t="str">
        <f t="shared" si="25"/>
        <v>Detectável</v>
      </c>
    </row>
    <row r="541" spans="1:21" ht="25.5" customHeight="1" x14ac:dyDescent="0.2">
      <c r="A541" s="51">
        <v>540</v>
      </c>
      <c r="B541" s="50" t="s">
        <v>1471</v>
      </c>
      <c r="C541" s="51">
        <v>21</v>
      </c>
      <c r="D541" s="51" t="s">
        <v>25</v>
      </c>
      <c r="E541" s="43">
        <v>44174</v>
      </c>
      <c r="F541" s="44" t="s">
        <v>60</v>
      </c>
      <c r="G541" s="51">
        <v>221</v>
      </c>
      <c r="H541" s="43">
        <v>44175</v>
      </c>
      <c r="I541" s="43" t="s">
        <v>1442</v>
      </c>
      <c r="J541" s="43">
        <v>44175</v>
      </c>
      <c r="K541" s="42">
        <v>16.899999999999999</v>
      </c>
      <c r="L541" s="42">
        <v>28.4</v>
      </c>
      <c r="M541" s="43" t="s">
        <v>29</v>
      </c>
      <c r="N541" s="43" t="s">
        <v>1461</v>
      </c>
      <c r="O541" s="43">
        <v>44176</v>
      </c>
      <c r="P541" s="42" t="s">
        <v>36</v>
      </c>
      <c r="Q541" s="42">
        <v>29.7</v>
      </c>
      <c r="R541" s="45" t="s">
        <v>31</v>
      </c>
      <c r="S541" s="43">
        <v>44176</v>
      </c>
      <c r="T541" s="51">
        <f t="shared" si="24"/>
        <v>3</v>
      </c>
      <c r="U541" s="52" t="str">
        <f t="shared" si="25"/>
        <v>Não Detectável</v>
      </c>
    </row>
    <row r="542" spans="1:21" ht="25.5" customHeight="1" x14ac:dyDescent="0.2">
      <c r="A542" s="51">
        <v>541</v>
      </c>
      <c r="B542" s="50" t="s">
        <v>1472</v>
      </c>
      <c r="C542" s="51">
        <v>34</v>
      </c>
      <c r="D542" s="51" t="s">
        <v>34</v>
      </c>
      <c r="E542" s="43">
        <v>44174</v>
      </c>
      <c r="F542" s="44" t="s">
        <v>60</v>
      </c>
      <c r="G542" s="51">
        <v>221</v>
      </c>
      <c r="H542" s="43">
        <v>44175</v>
      </c>
      <c r="I542" s="43" t="s">
        <v>1442</v>
      </c>
      <c r="J542" s="43">
        <v>44175</v>
      </c>
      <c r="K542" s="42">
        <v>16.899999999999999</v>
      </c>
      <c r="L542" s="42">
        <v>28.4</v>
      </c>
      <c r="M542" s="43" t="s">
        <v>29</v>
      </c>
      <c r="N542" s="43" t="s">
        <v>1461</v>
      </c>
      <c r="O542" s="43">
        <v>44176</v>
      </c>
      <c r="P542" s="42" t="s">
        <v>36</v>
      </c>
      <c r="Q542" s="42">
        <v>29.2</v>
      </c>
      <c r="R542" s="45" t="s">
        <v>31</v>
      </c>
      <c r="S542" s="43">
        <v>44176</v>
      </c>
      <c r="T542" s="51">
        <f t="shared" si="24"/>
        <v>3</v>
      </c>
      <c r="U542" s="52" t="str">
        <f t="shared" si="25"/>
        <v>Não Detectável</v>
      </c>
    </row>
    <row r="543" spans="1:21" ht="25.5" customHeight="1" x14ac:dyDescent="0.2">
      <c r="A543" s="51">
        <v>542</v>
      </c>
      <c r="B543" s="50" t="s">
        <v>1473</v>
      </c>
      <c r="C543" s="51">
        <v>55</v>
      </c>
      <c r="D543" s="51" t="s">
        <v>25</v>
      </c>
      <c r="E543" s="43">
        <v>44174</v>
      </c>
      <c r="F543" s="44" t="s">
        <v>60</v>
      </c>
      <c r="G543" s="51">
        <v>222</v>
      </c>
      <c r="H543" s="43">
        <v>44175</v>
      </c>
      <c r="I543" s="43" t="s">
        <v>1442</v>
      </c>
      <c r="J543" s="43">
        <v>44175</v>
      </c>
      <c r="K543" s="42" t="s">
        <v>36</v>
      </c>
      <c r="L543" s="42">
        <v>28.8</v>
      </c>
      <c r="M543" s="45" t="s">
        <v>31</v>
      </c>
      <c r="N543" s="43" t="s">
        <v>60</v>
      </c>
      <c r="O543" s="43" t="s">
        <v>60</v>
      </c>
      <c r="P543" s="42" t="s">
        <v>60</v>
      </c>
      <c r="Q543" s="42" t="s">
        <v>60</v>
      </c>
      <c r="R543" s="46" t="s">
        <v>60</v>
      </c>
      <c r="S543" s="43">
        <v>44175</v>
      </c>
      <c r="T543" s="51">
        <f t="shared" si="24"/>
        <v>3</v>
      </c>
      <c r="U543" s="52" t="str">
        <f t="shared" si="25"/>
        <v>Não Detectável</v>
      </c>
    </row>
    <row r="544" spans="1:21" ht="25.5" customHeight="1" x14ac:dyDescent="0.2">
      <c r="A544" s="51">
        <v>543</v>
      </c>
      <c r="B544" s="50" t="s">
        <v>1474</v>
      </c>
      <c r="C544" s="51">
        <v>66</v>
      </c>
      <c r="D544" s="51" t="s">
        <v>34</v>
      </c>
      <c r="E544" s="43">
        <v>44174</v>
      </c>
      <c r="F544" s="44" t="s">
        <v>60</v>
      </c>
      <c r="G544" s="51">
        <v>222</v>
      </c>
      <c r="H544" s="43">
        <v>44175</v>
      </c>
      <c r="I544" s="43" t="s">
        <v>1442</v>
      </c>
      <c r="J544" s="43">
        <v>44175</v>
      </c>
      <c r="K544" s="42" t="s">
        <v>36</v>
      </c>
      <c r="L544" s="42">
        <v>28.8</v>
      </c>
      <c r="M544" s="45" t="s">
        <v>31</v>
      </c>
      <c r="N544" s="43" t="s">
        <v>60</v>
      </c>
      <c r="O544" s="43" t="s">
        <v>60</v>
      </c>
      <c r="P544" s="42" t="s">
        <v>60</v>
      </c>
      <c r="Q544" s="42" t="s">
        <v>60</v>
      </c>
      <c r="R544" s="46" t="s">
        <v>60</v>
      </c>
      <c r="S544" s="43">
        <v>44175</v>
      </c>
      <c r="T544" s="51">
        <f t="shared" si="24"/>
        <v>3</v>
      </c>
      <c r="U544" s="52" t="str">
        <f t="shared" si="25"/>
        <v>Não Detectável</v>
      </c>
    </row>
    <row r="545" spans="1:21" ht="25.5" customHeight="1" x14ac:dyDescent="0.2">
      <c r="A545" s="51">
        <v>544</v>
      </c>
      <c r="B545" s="50" t="s">
        <v>1475</v>
      </c>
      <c r="C545" s="51">
        <v>16</v>
      </c>
      <c r="D545" s="51" t="s">
        <v>25</v>
      </c>
      <c r="E545" s="43">
        <v>44174</v>
      </c>
      <c r="F545" s="44" t="s">
        <v>60</v>
      </c>
      <c r="G545" s="51">
        <v>222</v>
      </c>
      <c r="H545" s="43">
        <v>44175</v>
      </c>
      <c r="I545" s="43" t="s">
        <v>1442</v>
      </c>
      <c r="J545" s="43">
        <v>44175</v>
      </c>
      <c r="K545" s="42" t="s">
        <v>36</v>
      </c>
      <c r="L545" s="42">
        <v>28.8</v>
      </c>
      <c r="M545" s="45" t="s">
        <v>31</v>
      </c>
      <c r="N545" s="43" t="s">
        <v>60</v>
      </c>
      <c r="O545" s="43" t="s">
        <v>60</v>
      </c>
      <c r="P545" s="42" t="s">
        <v>60</v>
      </c>
      <c r="Q545" s="42" t="s">
        <v>60</v>
      </c>
      <c r="R545" s="46" t="s">
        <v>60</v>
      </c>
      <c r="S545" s="43">
        <v>44175</v>
      </c>
      <c r="T545" s="51">
        <f t="shared" si="24"/>
        <v>3</v>
      </c>
      <c r="U545" s="52" t="str">
        <f t="shared" si="25"/>
        <v>Não Detectável</v>
      </c>
    </row>
    <row r="546" spans="1:21" ht="25.5" customHeight="1" x14ac:dyDescent="0.2">
      <c r="A546" s="51">
        <v>545</v>
      </c>
      <c r="B546" s="50" t="s">
        <v>1476</v>
      </c>
      <c r="C546" s="51">
        <v>30</v>
      </c>
      <c r="D546" s="51" t="s">
        <v>25</v>
      </c>
      <c r="E546" s="43">
        <v>44174</v>
      </c>
      <c r="F546" s="44" t="s">
        <v>60</v>
      </c>
      <c r="G546" s="51">
        <v>223</v>
      </c>
      <c r="H546" s="43">
        <v>44175</v>
      </c>
      <c r="I546" s="43" t="s">
        <v>1442</v>
      </c>
      <c r="J546" s="43">
        <v>44175</v>
      </c>
      <c r="K546" s="42" t="s">
        <v>36</v>
      </c>
      <c r="L546" s="42">
        <v>28.3</v>
      </c>
      <c r="M546" s="45" t="s">
        <v>31</v>
      </c>
      <c r="N546" s="43" t="s">
        <v>60</v>
      </c>
      <c r="O546" s="43" t="s">
        <v>60</v>
      </c>
      <c r="P546" s="42" t="s">
        <v>60</v>
      </c>
      <c r="Q546" s="42" t="s">
        <v>60</v>
      </c>
      <c r="R546" s="46" t="s">
        <v>60</v>
      </c>
      <c r="S546" s="43">
        <v>44175</v>
      </c>
      <c r="T546" s="51">
        <f t="shared" si="24"/>
        <v>3</v>
      </c>
      <c r="U546" s="52" t="str">
        <f t="shared" si="25"/>
        <v>Não Detectável</v>
      </c>
    </row>
    <row r="547" spans="1:21" ht="25.5" customHeight="1" x14ac:dyDescent="0.2">
      <c r="A547" s="51">
        <v>546</v>
      </c>
      <c r="B547" s="50" t="s">
        <v>1477</v>
      </c>
      <c r="C547" s="51">
        <v>39</v>
      </c>
      <c r="D547" s="51" t="s">
        <v>25</v>
      </c>
      <c r="E547" s="43">
        <v>44174</v>
      </c>
      <c r="F547" s="44" t="s">
        <v>60</v>
      </c>
      <c r="G547" s="51">
        <v>223</v>
      </c>
      <c r="H547" s="43">
        <v>44175</v>
      </c>
      <c r="I547" s="43" t="s">
        <v>1442</v>
      </c>
      <c r="J547" s="43">
        <v>44175</v>
      </c>
      <c r="K547" s="42" t="s">
        <v>36</v>
      </c>
      <c r="L547" s="42">
        <v>28.3</v>
      </c>
      <c r="M547" s="45" t="s">
        <v>31</v>
      </c>
      <c r="N547" s="43" t="s">
        <v>60</v>
      </c>
      <c r="O547" s="43" t="s">
        <v>60</v>
      </c>
      <c r="P547" s="42" t="s">
        <v>60</v>
      </c>
      <c r="Q547" s="42" t="s">
        <v>60</v>
      </c>
      <c r="R547" s="46" t="s">
        <v>60</v>
      </c>
      <c r="S547" s="43">
        <v>44175</v>
      </c>
      <c r="T547" s="51">
        <f t="shared" si="24"/>
        <v>3</v>
      </c>
      <c r="U547" s="52" t="str">
        <f t="shared" si="25"/>
        <v>Não Detectável</v>
      </c>
    </row>
    <row r="548" spans="1:21" ht="25.5" customHeight="1" x14ac:dyDescent="0.2">
      <c r="A548" s="51">
        <v>547</v>
      </c>
      <c r="B548" s="50" t="s">
        <v>1478</v>
      </c>
      <c r="C548" s="51">
        <v>23</v>
      </c>
      <c r="D548" s="51" t="s">
        <v>34</v>
      </c>
      <c r="E548" s="43">
        <v>44174</v>
      </c>
      <c r="F548" s="44" t="s">
        <v>60</v>
      </c>
      <c r="G548" s="51">
        <v>223</v>
      </c>
      <c r="H548" s="43">
        <v>44175</v>
      </c>
      <c r="I548" s="43" t="s">
        <v>1442</v>
      </c>
      <c r="J548" s="43">
        <v>44175</v>
      </c>
      <c r="K548" s="42" t="s">
        <v>36</v>
      </c>
      <c r="L548" s="42">
        <v>28.3</v>
      </c>
      <c r="M548" s="45" t="s">
        <v>31</v>
      </c>
      <c r="N548" s="43" t="s">
        <v>60</v>
      </c>
      <c r="O548" s="43" t="s">
        <v>60</v>
      </c>
      <c r="P548" s="42" t="s">
        <v>60</v>
      </c>
      <c r="Q548" s="42" t="s">
        <v>60</v>
      </c>
      <c r="R548" s="46" t="s">
        <v>60</v>
      </c>
      <c r="S548" s="43">
        <v>44175</v>
      </c>
      <c r="T548" s="51">
        <f t="shared" si="24"/>
        <v>3</v>
      </c>
      <c r="U548" s="52" t="str">
        <f t="shared" si="25"/>
        <v>Não Detectável</v>
      </c>
    </row>
    <row r="549" spans="1:21" ht="25.5" customHeight="1" x14ac:dyDescent="0.2">
      <c r="A549" s="51">
        <v>548</v>
      </c>
      <c r="B549" s="50" t="s">
        <v>1479</v>
      </c>
      <c r="C549" s="51">
        <v>32</v>
      </c>
      <c r="D549" s="51" t="s">
        <v>34</v>
      </c>
      <c r="E549" s="43">
        <v>44174</v>
      </c>
      <c r="F549" s="44" t="s">
        <v>60</v>
      </c>
      <c r="G549" s="51">
        <v>224</v>
      </c>
      <c r="H549" s="43">
        <v>44175</v>
      </c>
      <c r="I549" s="43" t="s">
        <v>1461</v>
      </c>
      <c r="J549" s="43">
        <v>44176</v>
      </c>
      <c r="K549" s="42">
        <v>28.5</v>
      </c>
      <c r="L549" s="42">
        <v>28.8</v>
      </c>
      <c r="M549" s="43" t="s">
        <v>29</v>
      </c>
      <c r="N549" s="43" t="s">
        <v>1480</v>
      </c>
      <c r="O549" s="43">
        <v>44179</v>
      </c>
      <c r="P549" s="42" t="s">
        <v>36</v>
      </c>
      <c r="Q549" s="42">
        <v>28.724</v>
      </c>
      <c r="R549" s="45" t="s">
        <v>31</v>
      </c>
      <c r="S549" s="43">
        <v>44179</v>
      </c>
      <c r="T549" s="51">
        <f t="shared" si="24"/>
        <v>3</v>
      </c>
      <c r="U549" s="52" t="str">
        <f t="shared" si="25"/>
        <v>Não Detectável</v>
      </c>
    </row>
    <row r="550" spans="1:21" ht="25.5" customHeight="1" x14ac:dyDescent="0.2">
      <c r="A550" s="51">
        <v>549</v>
      </c>
      <c r="B550" s="50" t="s">
        <v>1481</v>
      </c>
      <c r="C550" s="51">
        <v>28</v>
      </c>
      <c r="D550" s="51" t="s">
        <v>34</v>
      </c>
      <c r="E550" s="43">
        <v>44174</v>
      </c>
      <c r="F550" s="44" t="s">
        <v>60</v>
      </c>
      <c r="G550" s="51">
        <v>224</v>
      </c>
      <c r="H550" s="43">
        <v>44175</v>
      </c>
      <c r="I550" s="43" t="s">
        <v>1461</v>
      </c>
      <c r="J550" s="43">
        <v>44176</v>
      </c>
      <c r="K550" s="42">
        <v>28.5</v>
      </c>
      <c r="L550" s="42">
        <v>28.8</v>
      </c>
      <c r="M550" s="43" t="s">
        <v>29</v>
      </c>
      <c r="N550" s="43" t="s">
        <v>1480</v>
      </c>
      <c r="O550" s="43">
        <v>44179</v>
      </c>
      <c r="P550" s="42" t="s">
        <v>36</v>
      </c>
      <c r="Q550" s="42">
        <v>28.869</v>
      </c>
      <c r="R550" s="45" t="s">
        <v>31</v>
      </c>
      <c r="S550" s="43">
        <v>44179</v>
      </c>
      <c r="T550" s="51">
        <f t="shared" si="24"/>
        <v>3</v>
      </c>
      <c r="U550" s="52" t="str">
        <f t="shared" si="25"/>
        <v>Não Detectável</v>
      </c>
    </row>
    <row r="551" spans="1:21" ht="25.5" customHeight="1" x14ac:dyDescent="0.2">
      <c r="A551" s="51">
        <v>550</v>
      </c>
      <c r="B551" s="50" t="s">
        <v>1482</v>
      </c>
      <c r="C551" s="51">
        <v>34</v>
      </c>
      <c r="D551" s="51" t="s">
        <v>34</v>
      </c>
      <c r="E551" s="43">
        <v>44175</v>
      </c>
      <c r="F551" s="44" t="s">
        <v>60</v>
      </c>
      <c r="G551" s="51">
        <v>224</v>
      </c>
      <c r="H551" s="43">
        <v>44176</v>
      </c>
      <c r="I551" s="43" t="s">
        <v>1461</v>
      </c>
      <c r="J551" s="43">
        <v>44176</v>
      </c>
      <c r="K551" s="42">
        <v>28.5</v>
      </c>
      <c r="L551" s="42">
        <v>28.8</v>
      </c>
      <c r="M551" s="43" t="s">
        <v>29</v>
      </c>
      <c r="N551" s="43" t="s">
        <v>1480</v>
      </c>
      <c r="O551" s="43">
        <v>44179</v>
      </c>
      <c r="P551" s="42">
        <v>26.754000000000001</v>
      </c>
      <c r="Q551" s="42">
        <v>27.265999999999998</v>
      </c>
      <c r="R551" s="45" t="s">
        <v>29</v>
      </c>
      <c r="S551" s="43">
        <v>44179</v>
      </c>
      <c r="T551" s="51">
        <f t="shared" si="24"/>
        <v>3</v>
      </c>
      <c r="U551" s="52" t="str">
        <f t="shared" si="25"/>
        <v>Detectável</v>
      </c>
    </row>
    <row r="552" spans="1:21" ht="25.5" customHeight="1" x14ac:dyDescent="0.2">
      <c r="A552" s="51">
        <v>551</v>
      </c>
      <c r="B552" s="50" t="s">
        <v>1483</v>
      </c>
      <c r="C552" s="51">
        <v>24</v>
      </c>
      <c r="D552" s="51" t="s">
        <v>34</v>
      </c>
      <c r="E552" s="43">
        <v>44175</v>
      </c>
      <c r="F552" s="44" t="s">
        <v>60</v>
      </c>
      <c r="G552" s="51">
        <v>225</v>
      </c>
      <c r="H552" s="43">
        <v>44176</v>
      </c>
      <c r="I552" s="43" t="s">
        <v>1461</v>
      </c>
      <c r="J552" s="43">
        <v>44176</v>
      </c>
      <c r="K552" s="42">
        <v>19.399999999999999</v>
      </c>
      <c r="L552" s="42">
        <v>27</v>
      </c>
      <c r="M552" s="43" t="s">
        <v>29</v>
      </c>
      <c r="N552" s="43" t="s">
        <v>1480</v>
      </c>
      <c r="O552" s="43">
        <v>44179</v>
      </c>
      <c r="P552" s="42">
        <v>22.183</v>
      </c>
      <c r="Q552" s="42">
        <v>26.376999999999999</v>
      </c>
      <c r="R552" s="45" t="s">
        <v>29</v>
      </c>
      <c r="S552" s="43">
        <v>44179</v>
      </c>
      <c r="T552" s="51">
        <f t="shared" si="24"/>
        <v>3</v>
      </c>
      <c r="U552" s="52" t="str">
        <f t="shared" si="25"/>
        <v>Detectável</v>
      </c>
    </row>
    <row r="553" spans="1:21" ht="25.5" customHeight="1" x14ac:dyDescent="0.2">
      <c r="A553" s="51">
        <v>552</v>
      </c>
      <c r="B553" s="50" t="s">
        <v>1484</v>
      </c>
      <c r="C553" s="51">
        <v>68</v>
      </c>
      <c r="D553" s="51" t="s">
        <v>34</v>
      </c>
      <c r="E553" s="43">
        <v>44175</v>
      </c>
      <c r="F553" s="44" t="s">
        <v>60</v>
      </c>
      <c r="G553" s="51">
        <v>225</v>
      </c>
      <c r="H553" s="43">
        <v>44176</v>
      </c>
      <c r="I553" s="43" t="s">
        <v>1461</v>
      </c>
      <c r="J553" s="43">
        <v>44176</v>
      </c>
      <c r="K553" s="42">
        <v>19.399999999999999</v>
      </c>
      <c r="L553" s="42">
        <v>27</v>
      </c>
      <c r="M553" s="43" t="s">
        <v>29</v>
      </c>
      <c r="N553" s="43" t="s">
        <v>1480</v>
      </c>
      <c r="O553" s="43">
        <v>44179</v>
      </c>
      <c r="P553" s="42">
        <v>17.463000000000001</v>
      </c>
      <c r="Q553" s="42">
        <v>27.984000000000002</v>
      </c>
      <c r="R553" s="45" t="s">
        <v>29</v>
      </c>
      <c r="S553" s="43">
        <v>44179</v>
      </c>
      <c r="T553" s="51">
        <f t="shared" si="24"/>
        <v>3</v>
      </c>
      <c r="U553" s="52" t="str">
        <f t="shared" si="25"/>
        <v>Detectável</v>
      </c>
    </row>
    <row r="554" spans="1:21" ht="25.5" customHeight="1" x14ac:dyDescent="0.2">
      <c r="A554" s="51">
        <v>553</v>
      </c>
      <c r="B554" s="50" t="s">
        <v>1485</v>
      </c>
      <c r="C554" s="51">
        <v>76</v>
      </c>
      <c r="D554" s="51" t="s">
        <v>25</v>
      </c>
      <c r="E554" s="43">
        <v>44175</v>
      </c>
      <c r="F554" s="44" t="s">
        <v>60</v>
      </c>
      <c r="G554" s="51">
        <v>225</v>
      </c>
      <c r="H554" s="43">
        <v>44176</v>
      </c>
      <c r="I554" s="43" t="s">
        <v>1461</v>
      </c>
      <c r="J554" s="43">
        <v>44176</v>
      </c>
      <c r="K554" s="42">
        <v>19.399999999999999</v>
      </c>
      <c r="L554" s="42">
        <v>27</v>
      </c>
      <c r="M554" s="43" t="s">
        <v>29</v>
      </c>
      <c r="N554" s="43" t="s">
        <v>1480</v>
      </c>
      <c r="O554" s="43">
        <v>44179</v>
      </c>
      <c r="P554" s="42">
        <v>22.282</v>
      </c>
      <c r="Q554" s="42">
        <v>25.222999999999999</v>
      </c>
      <c r="R554" s="45" t="s">
        <v>29</v>
      </c>
      <c r="S554" s="43">
        <v>44179</v>
      </c>
      <c r="T554" s="51">
        <f t="shared" si="24"/>
        <v>3</v>
      </c>
      <c r="U554" s="52" t="str">
        <f t="shared" si="25"/>
        <v>Detectável</v>
      </c>
    </row>
    <row r="555" spans="1:21" ht="25.5" customHeight="1" x14ac:dyDescent="0.2">
      <c r="A555" s="51">
        <v>554</v>
      </c>
      <c r="B555" s="50" t="s">
        <v>1486</v>
      </c>
      <c r="C555" s="51">
        <v>80</v>
      </c>
      <c r="D555" s="51" t="s">
        <v>34</v>
      </c>
      <c r="E555" s="43">
        <v>44175</v>
      </c>
      <c r="F555" s="44" t="s">
        <v>60</v>
      </c>
      <c r="G555" s="51">
        <v>226</v>
      </c>
      <c r="H555" s="43">
        <v>44176</v>
      </c>
      <c r="I555" s="43" t="s">
        <v>1461</v>
      </c>
      <c r="J555" s="43">
        <v>44176</v>
      </c>
      <c r="K555" s="42">
        <v>23.7</v>
      </c>
      <c r="L555" s="42">
        <v>28.1</v>
      </c>
      <c r="M555" s="43" t="s">
        <v>29</v>
      </c>
      <c r="N555" s="43" t="s">
        <v>1480</v>
      </c>
      <c r="O555" s="43">
        <v>44179</v>
      </c>
      <c r="P555" s="42">
        <v>21.783999999999999</v>
      </c>
      <c r="Q555" s="42">
        <v>26.742000000000001</v>
      </c>
      <c r="R555" s="45" t="s">
        <v>29</v>
      </c>
      <c r="S555" s="43">
        <v>44179</v>
      </c>
      <c r="T555" s="51">
        <f t="shared" si="24"/>
        <v>3</v>
      </c>
      <c r="U555" s="52" t="str">
        <f t="shared" si="25"/>
        <v>Detectável</v>
      </c>
    </row>
    <row r="556" spans="1:21" ht="25.5" customHeight="1" x14ac:dyDescent="0.2">
      <c r="A556" s="51">
        <v>555</v>
      </c>
      <c r="B556" s="50" t="s">
        <v>1487</v>
      </c>
      <c r="C556" s="51">
        <v>55</v>
      </c>
      <c r="D556" s="51" t="s">
        <v>34</v>
      </c>
      <c r="E556" s="43">
        <v>44175</v>
      </c>
      <c r="F556" s="44" t="s">
        <v>60</v>
      </c>
      <c r="G556" s="51">
        <v>226</v>
      </c>
      <c r="H556" s="43">
        <v>44176</v>
      </c>
      <c r="I556" s="43" t="s">
        <v>1461</v>
      </c>
      <c r="J556" s="43">
        <v>44176</v>
      </c>
      <c r="K556" s="42">
        <v>23.7</v>
      </c>
      <c r="L556" s="42">
        <v>28.1</v>
      </c>
      <c r="M556" s="43" t="s">
        <v>29</v>
      </c>
      <c r="N556" s="43" t="s">
        <v>1480</v>
      </c>
      <c r="O556" s="43">
        <v>44179</v>
      </c>
      <c r="P556" s="42" t="s">
        <v>36</v>
      </c>
      <c r="Q556" s="42">
        <v>27.303000000000001</v>
      </c>
      <c r="R556" s="45" t="s">
        <v>31</v>
      </c>
      <c r="S556" s="43">
        <v>44179</v>
      </c>
      <c r="T556" s="51">
        <f t="shared" si="24"/>
        <v>3</v>
      </c>
      <c r="U556" s="52" t="str">
        <f t="shared" si="25"/>
        <v>Não Detectável</v>
      </c>
    </row>
    <row r="557" spans="1:21" ht="25.5" customHeight="1" x14ac:dyDescent="0.2">
      <c r="A557" s="51">
        <v>556</v>
      </c>
      <c r="B557" s="50" t="s">
        <v>1488</v>
      </c>
      <c r="C557" s="51">
        <v>34</v>
      </c>
      <c r="D557" s="51" t="s">
        <v>25</v>
      </c>
      <c r="E557" s="43">
        <v>44175</v>
      </c>
      <c r="F557" s="44" t="s">
        <v>60</v>
      </c>
      <c r="G557" s="51">
        <v>226</v>
      </c>
      <c r="H557" s="43">
        <v>44176</v>
      </c>
      <c r="I557" s="43" t="s">
        <v>1461</v>
      </c>
      <c r="J557" s="43">
        <v>44176</v>
      </c>
      <c r="K557" s="42">
        <v>23.7</v>
      </c>
      <c r="L557" s="42">
        <v>28.1</v>
      </c>
      <c r="M557" s="43" t="s">
        <v>29</v>
      </c>
      <c r="N557" s="43" t="s">
        <v>1480</v>
      </c>
      <c r="O557" s="43">
        <v>44179</v>
      </c>
      <c r="P557" s="42" t="s">
        <v>36</v>
      </c>
      <c r="Q557" s="42">
        <v>27.975000000000001</v>
      </c>
      <c r="R557" s="45" t="s">
        <v>31</v>
      </c>
      <c r="S557" s="43">
        <v>44179</v>
      </c>
      <c r="T557" s="51">
        <f t="shared" si="24"/>
        <v>3</v>
      </c>
      <c r="U557" s="52" t="str">
        <f t="shared" si="25"/>
        <v>Não Detectável</v>
      </c>
    </row>
    <row r="558" spans="1:21" ht="25.5" customHeight="1" x14ac:dyDescent="0.2">
      <c r="A558" s="51">
        <v>557</v>
      </c>
      <c r="B558" s="50" t="s">
        <v>1489</v>
      </c>
      <c r="C558" s="51">
        <v>36</v>
      </c>
      <c r="D558" s="51" t="s">
        <v>25</v>
      </c>
      <c r="E558" s="43">
        <v>44175</v>
      </c>
      <c r="F558" s="44" t="s">
        <v>60</v>
      </c>
      <c r="G558" s="51">
        <v>227</v>
      </c>
      <c r="H558" s="43">
        <v>44176</v>
      </c>
      <c r="I558" s="43" t="s">
        <v>1461</v>
      </c>
      <c r="J558" s="43">
        <v>44176</v>
      </c>
      <c r="K558" s="42">
        <v>26.5</v>
      </c>
      <c r="L558" s="42">
        <v>28.8</v>
      </c>
      <c r="M558" s="43" t="s">
        <v>29</v>
      </c>
      <c r="N558" s="43" t="s">
        <v>1480</v>
      </c>
      <c r="O558" s="43">
        <v>44179</v>
      </c>
      <c r="P558" s="42" t="s">
        <v>36</v>
      </c>
      <c r="Q558" s="42">
        <v>27.731000000000002</v>
      </c>
      <c r="R558" s="45" t="s">
        <v>31</v>
      </c>
      <c r="S558" s="43">
        <v>44179</v>
      </c>
      <c r="T558" s="51">
        <f t="shared" si="24"/>
        <v>3</v>
      </c>
      <c r="U558" s="52" t="str">
        <f t="shared" si="25"/>
        <v>Não Detectável</v>
      </c>
    </row>
    <row r="559" spans="1:21" ht="25.5" customHeight="1" x14ac:dyDescent="0.2">
      <c r="A559" s="51">
        <v>558</v>
      </c>
      <c r="B559" s="50" t="s">
        <v>1490</v>
      </c>
      <c r="C559" s="51">
        <v>40</v>
      </c>
      <c r="D559" s="51" t="s">
        <v>34</v>
      </c>
      <c r="E559" s="43">
        <v>44175</v>
      </c>
      <c r="F559" s="44" t="s">
        <v>60</v>
      </c>
      <c r="G559" s="51">
        <v>227</v>
      </c>
      <c r="H559" s="43">
        <v>44176</v>
      </c>
      <c r="I559" s="43" t="s">
        <v>1461</v>
      </c>
      <c r="J559" s="43">
        <v>44176</v>
      </c>
      <c r="K559" s="42">
        <v>26.5</v>
      </c>
      <c r="L559" s="42">
        <v>28.8</v>
      </c>
      <c r="M559" s="43" t="s">
        <v>29</v>
      </c>
      <c r="N559" s="43" t="s">
        <v>1480</v>
      </c>
      <c r="O559" s="43">
        <v>44179</v>
      </c>
      <c r="P559" s="42">
        <v>24.760999999999999</v>
      </c>
      <c r="Q559" s="42">
        <v>28.725000000000001</v>
      </c>
      <c r="R559" s="45" t="s">
        <v>29</v>
      </c>
      <c r="S559" s="43">
        <v>44179</v>
      </c>
      <c r="T559" s="51">
        <f t="shared" si="24"/>
        <v>3</v>
      </c>
      <c r="U559" s="52" t="str">
        <f t="shared" si="25"/>
        <v>Detectável</v>
      </c>
    </row>
    <row r="560" spans="1:21" ht="25.5" customHeight="1" x14ac:dyDescent="0.2">
      <c r="A560" s="51">
        <v>559</v>
      </c>
      <c r="B560" s="50" t="s">
        <v>1491</v>
      </c>
      <c r="C560" s="51">
        <v>42</v>
      </c>
      <c r="D560" s="51" t="s">
        <v>25</v>
      </c>
      <c r="E560" s="43">
        <v>44175</v>
      </c>
      <c r="F560" s="44" t="s">
        <v>60</v>
      </c>
      <c r="G560" s="51">
        <v>227</v>
      </c>
      <c r="H560" s="43">
        <v>44176</v>
      </c>
      <c r="I560" s="43" t="s">
        <v>1461</v>
      </c>
      <c r="J560" s="43">
        <v>44176</v>
      </c>
      <c r="K560" s="42">
        <v>26.5</v>
      </c>
      <c r="L560" s="42">
        <v>28.8</v>
      </c>
      <c r="M560" s="43" t="s">
        <v>29</v>
      </c>
      <c r="N560" s="43" t="s">
        <v>1480</v>
      </c>
      <c r="O560" s="43">
        <v>44179</v>
      </c>
      <c r="P560" s="42" t="s">
        <v>36</v>
      </c>
      <c r="Q560" s="42">
        <v>28.222999999999999</v>
      </c>
      <c r="R560" s="45" t="s">
        <v>31</v>
      </c>
      <c r="S560" s="43">
        <v>44179</v>
      </c>
      <c r="T560" s="51">
        <f t="shared" si="24"/>
        <v>3</v>
      </c>
      <c r="U560" s="52" t="str">
        <f t="shared" si="25"/>
        <v>Não Detectável</v>
      </c>
    </row>
    <row r="561" spans="1:23" ht="25.5" customHeight="1" x14ac:dyDescent="0.2">
      <c r="A561" s="51">
        <v>560</v>
      </c>
      <c r="B561" s="50" t="s">
        <v>1492</v>
      </c>
      <c r="C561" s="51">
        <v>13</v>
      </c>
      <c r="D561" s="51" t="s">
        <v>25</v>
      </c>
      <c r="E561" s="43">
        <v>44175</v>
      </c>
      <c r="F561" s="44" t="s">
        <v>60</v>
      </c>
      <c r="G561" s="51">
        <v>228</v>
      </c>
      <c r="H561" s="43">
        <v>44176</v>
      </c>
      <c r="I561" s="43" t="s">
        <v>1461</v>
      </c>
      <c r="J561" s="43">
        <v>44176</v>
      </c>
      <c r="K561" s="42">
        <v>16.8</v>
      </c>
      <c r="L561" s="42">
        <v>28.4</v>
      </c>
      <c r="M561" s="43" t="s">
        <v>29</v>
      </c>
      <c r="N561" s="43" t="s">
        <v>1480</v>
      </c>
      <c r="O561" s="43">
        <v>44179</v>
      </c>
      <c r="P561" s="42" t="s">
        <v>36</v>
      </c>
      <c r="Q561" s="42">
        <v>28.305</v>
      </c>
      <c r="R561" s="45" t="s">
        <v>31</v>
      </c>
      <c r="S561" s="43">
        <v>44179</v>
      </c>
      <c r="T561" s="51">
        <f t="shared" si="24"/>
        <v>3</v>
      </c>
      <c r="U561" s="52" t="str">
        <f t="shared" si="25"/>
        <v>Não Detectável</v>
      </c>
    </row>
    <row r="562" spans="1:23" ht="25.5" customHeight="1" x14ac:dyDescent="0.2">
      <c r="A562" s="51">
        <v>561</v>
      </c>
      <c r="B562" s="50" t="s">
        <v>1493</v>
      </c>
      <c r="C562" s="51">
        <v>33</v>
      </c>
      <c r="D562" s="51" t="s">
        <v>25</v>
      </c>
      <c r="E562" s="43">
        <v>44175</v>
      </c>
      <c r="F562" s="44" t="s">
        <v>60</v>
      </c>
      <c r="G562" s="51">
        <v>228</v>
      </c>
      <c r="H562" s="43">
        <v>44176</v>
      </c>
      <c r="I562" s="43" t="s">
        <v>1461</v>
      </c>
      <c r="J562" s="43">
        <v>44176</v>
      </c>
      <c r="K562" s="42">
        <v>16.8</v>
      </c>
      <c r="L562" s="42">
        <v>28.4</v>
      </c>
      <c r="M562" s="43" t="s">
        <v>29</v>
      </c>
      <c r="N562" s="43" t="s">
        <v>1480</v>
      </c>
      <c r="O562" s="43">
        <v>44179</v>
      </c>
      <c r="P562" s="42">
        <v>15.38</v>
      </c>
      <c r="Q562" s="42">
        <v>28.376999999999999</v>
      </c>
      <c r="R562" s="45" t="s">
        <v>29</v>
      </c>
      <c r="S562" s="43">
        <v>44179</v>
      </c>
      <c r="T562" s="51">
        <f t="shared" si="24"/>
        <v>3</v>
      </c>
      <c r="U562" s="52" t="str">
        <f t="shared" si="25"/>
        <v>Detectável</v>
      </c>
    </row>
    <row r="563" spans="1:23" ht="25.5" customHeight="1" x14ac:dyDescent="0.2">
      <c r="A563" s="51">
        <v>562</v>
      </c>
      <c r="B563" s="50" t="s">
        <v>1494</v>
      </c>
      <c r="C563" s="51">
        <v>32</v>
      </c>
      <c r="D563" s="51" t="s">
        <v>34</v>
      </c>
      <c r="E563" s="43">
        <v>44175</v>
      </c>
      <c r="F563" s="44" t="s">
        <v>60</v>
      </c>
      <c r="G563" s="51">
        <v>228</v>
      </c>
      <c r="H563" s="43">
        <v>44176</v>
      </c>
      <c r="I563" s="43" t="s">
        <v>1461</v>
      </c>
      <c r="J563" s="43">
        <v>44176</v>
      </c>
      <c r="K563" s="42">
        <v>16.8</v>
      </c>
      <c r="L563" s="42">
        <v>28.4</v>
      </c>
      <c r="M563" s="43" t="s">
        <v>29</v>
      </c>
      <c r="N563" s="43" t="s">
        <v>1480</v>
      </c>
      <c r="O563" s="43">
        <v>44179</v>
      </c>
      <c r="P563" s="42" t="s">
        <v>36</v>
      </c>
      <c r="Q563" s="42">
        <v>28.747</v>
      </c>
      <c r="R563" s="45" t="s">
        <v>31</v>
      </c>
      <c r="S563" s="43">
        <v>44179</v>
      </c>
      <c r="T563" s="51">
        <f t="shared" si="24"/>
        <v>3</v>
      </c>
      <c r="U563" s="52" t="str">
        <f t="shared" si="25"/>
        <v>Não Detectável</v>
      </c>
    </row>
    <row r="564" spans="1:23" ht="25.5" customHeight="1" x14ac:dyDescent="0.2">
      <c r="A564" s="51">
        <v>563</v>
      </c>
      <c r="B564" s="50" t="s">
        <v>1495</v>
      </c>
      <c r="C564" s="51">
        <v>22</v>
      </c>
      <c r="D564" s="51" t="s">
        <v>25</v>
      </c>
      <c r="E564" s="43">
        <v>44175</v>
      </c>
      <c r="F564" s="44" t="s">
        <v>60</v>
      </c>
      <c r="G564" s="51">
        <v>229</v>
      </c>
      <c r="H564" s="43">
        <v>44176</v>
      </c>
      <c r="I564" s="43" t="s">
        <v>1461</v>
      </c>
      <c r="J564" s="43">
        <v>44176</v>
      </c>
      <c r="K564" s="42">
        <v>20.100000000000001</v>
      </c>
      <c r="L564" s="42">
        <v>28.1</v>
      </c>
      <c r="M564" s="43" t="s">
        <v>29</v>
      </c>
      <c r="N564" s="43" t="s">
        <v>1480</v>
      </c>
      <c r="O564" s="43">
        <v>44179</v>
      </c>
      <c r="P564" s="42" t="s">
        <v>36</v>
      </c>
      <c r="Q564" s="42">
        <v>29.117999999999999</v>
      </c>
      <c r="R564" s="45" t="s">
        <v>31</v>
      </c>
      <c r="S564" s="43">
        <v>44179</v>
      </c>
      <c r="T564" s="51">
        <f t="shared" si="24"/>
        <v>3</v>
      </c>
      <c r="U564" s="52" t="str">
        <f t="shared" si="25"/>
        <v>Não Detectável</v>
      </c>
    </row>
    <row r="565" spans="1:23" ht="25.5" customHeight="1" x14ac:dyDescent="0.2">
      <c r="A565" s="51">
        <v>564</v>
      </c>
      <c r="B565" s="50" t="s">
        <v>1496</v>
      </c>
      <c r="C565" s="51">
        <v>36</v>
      </c>
      <c r="D565" s="51" t="s">
        <v>25</v>
      </c>
      <c r="E565" s="43">
        <v>44175</v>
      </c>
      <c r="F565" s="44" t="s">
        <v>60</v>
      </c>
      <c r="G565" s="51">
        <v>229</v>
      </c>
      <c r="H565" s="43">
        <v>44176</v>
      </c>
      <c r="I565" s="43" t="s">
        <v>1461</v>
      </c>
      <c r="J565" s="43">
        <v>44176</v>
      </c>
      <c r="K565" s="42">
        <v>20.100000000000001</v>
      </c>
      <c r="L565" s="42">
        <v>28.1</v>
      </c>
      <c r="M565" s="43" t="s">
        <v>29</v>
      </c>
      <c r="N565" s="43" t="s">
        <v>1480</v>
      </c>
      <c r="O565" s="43">
        <v>44179</v>
      </c>
      <c r="P565" s="42">
        <v>20.071999999999999</v>
      </c>
      <c r="Q565" s="42">
        <v>27.541</v>
      </c>
      <c r="R565" s="45" t="s">
        <v>29</v>
      </c>
      <c r="S565" s="43">
        <v>44179</v>
      </c>
      <c r="T565" s="51">
        <f t="shared" ref="T565:T628" si="26">COUNTIF(G:G,G565)</f>
        <v>3</v>
      </c>
      <c r="U565" s="52" t="str">
        <f t="shared" ref="U565:U628" si="27">IF(M565="Não Detectável","Não Detectável",IF(R565="","",R565))</f>
        <v>Detectável</v>
      </c>
    </row>
    <row r="566" spans="1:23" ht="25.5" customHeight="1" x14ac:dyDescent="0.2">
      <c r="A566" s="51">
        <v>565</v>
      </c>
      <c r="B566" s="50" t="s">
        <v>1497</v>
      </c>
      <c r="C566" s="51">
        <v>55</v>
      </c>
      <c r="D566" s="51" t="s">
        <v>34</v>
      </c>
      <c r="E566" s="43">
        <v>44175</v>
      </c>
      <c r="F566" s="44" t="s">
        <v>60</v>
      </c>
      <c r="G566" s="51">
        <v>229</v>
      </c>
      <c r="H566" s="43">
        <v>44176</v>
      </c>
      <c r="I566" s="43" t="s">
        <v>1461</v>
      </c>
      <c r="J566" s="43">
        <v>44176</v>
      </c>
      <c r="K566" s="42">
        <v>20.100000000000001</v>
      </c>
      <c r="L566" s="42">
        <v>28.1</v>
      </c>
      <c r="M566" s="43" t="s">
        <v>29</v>
      </c>
      <c r="N566" s="43" t="s">
        <v>1480</v>
      </c>
      <c r="O566" s="43">
        <v>44179</v>
      </c>
      <c r="P566" s="42">
        <v>21.382000000000001</v>
      </c>
      <c r="Q566" s="42">
        <v>29.385000000000002</v>
      </c>
      <c r="R566" s="45" t="s">
        <v>29</v>
      </c>
      <c r="S566" s="43">
        <v>44179</v>
      </c>
      <c r="T566" s="51">
        <f t="shared" si="26"/>
        <v>3</v>
      </c>
      <c r="U566" s="52" t="str">
        <f t="shared" si="27"/>
        <v>Detectável</v>
      </c>
    </row>
    <row r="567" spans="1:23" ht="25.5" customHeight="1" x14ac:dyDescent="0.2">
      <c r="A567" s="51">
        <v>566</v>
      </c>
      <c r="B567" s="50" t="s">
        <v>1498</v>
      </c>
      <c r="C567" s="51">
        <v>31</v>
      </c>
      <c r="D567" s="51" t="s">
        <v>25</v>
      </c>
      <c r="E567" s="43">
        <v>44175</v>
      </c>
      <c r="F567" s="44" t="s">
        <v>60</v>
      </c>
      <c r="G567" s="51">
        <v>230</v>
      </c>
      <c r="H567" s="43">
        <v>44176</v>
      </c>
      <c r="I567" s="43" t="s">
        <v>1461</v>
      </c>
      <c r="J567" s="43">
        <v>44176</v>
      </c>
      <c r="K567" s="42">
        <v>18</v>
      </c>
      <c r="L567" s="42">
        <v>28.9</v>
      </c>
      <c r="M567" s="43" t="s">
        <v>29</v>
      </c>
      <c r="N567" s="43" t="s">
        <v>1480</v>
      </c>
      <c r="O567" s="43">
        <v>44179</v>
      </c>
      <c r="P567" s="42">
        <v>18.945</v>
      </c>
      <c r="Q567" s="42">
        <v>28.744</v>
      </c>
      <c r="R567" s="45" t="s">
        <v>29</v>
      </c>
      <c r="S567" s="43">
        <v>44179</v>
      </c>
      <c r="T567" s="51">
        <f t="shared" si="26"/>
        <v>3</v>
      </c>
      <c r="U567" s="52" t="str">
        <f t="shared" si="27"/>
        <v>Detectável</v>
      </c>
    </row>
    <row r="568" spans="1:23" ht="25.5" customHeight="1" x14ac:dyDescent="0.2">
      <c r="A568" s="51">
        <v>567</v>
      </c>
      <c r="B568" s="50" t="s">
        <v>1499</v>
      </c>
      <c r="C568" s="51">
        <v>29</v>
      </c>
      <c r="D568" s="51" t="s">
        <v>25</v>
      </c>
      <c r="E568" s="43">
        <v>44175</v>
      </c>
      <c r="F568" s="44" t="s">
        <v>60</v>
      </c>
      <c r="G568" s="51">
        <v>230</v>
      </c>
      <c r="H568" s="43">
        <v>44176</v>
      </c>
      <c r="I568" s="43" t="s">
        <v>1461</v>
      </c>
      <c r="J568" s="43">
        <v>44176</v>
      </c>
      <c r="K568" s="42">
        <v>18</v>
      </c>
      <c r="L568" s="42">
        <v>28.9</v>
      </c>
      <c r="M568" s="43" t="s">
        <v>29</v>
      </c>
      <c r="N568" s="43" t="s">
        <v>1480</v>
      </c>
      <c r="O568" s="43">
        <v>44179</v>
      </c>
      <c r="P568" s="42">
        <v>18.074999999999999</v>
      </c>
      <c r="Q568" s="42">
        <v>29.780999999999999</v>
      </c>
      <c r="R568" s="45" t="s">
        <v>29</v>
      </c>
      <c r="S568" s="43">
        <v>44179</v>
      </c>
      <c r="T568" s="51">
        <f t="shared" si="26"/>
        <v>3</v>
      </c>
      <c r="U568" s="52" t="str">
        <f t="shared" si="27"/>
        <v>Detectável</v>
      </c>
    </row>
    <row r="569" spans="1:23" ht="25.5" customHeight="1" x14ac:dyDescent="0.2">
      <c r="A569" s="51">
        <v>568</v>
      </c>
      <c r="B569" s="50" t="s">
        <v>1500</v>
      </c>
      <c r="C569" s="51">
        <v>36</v>
      </c>
      <c r="D569" s="51" t="s">
        <v>34</v>
      </c>
      <c r="E569" s="43">
        <v>44175</v>
      </c>
      <c r="F569" s="44" t="s">
        <v>60</v>
      </c>
      <c r="G569" s="51">
        <v>230</v>
      </c>
      <c r="H569" s="43">
        <v>44176</v>
      </c>
      <c r="I569" s="43" t="s">
        <v>1461</v>
      </c>
      <c r="J569" s="43">
        <v>44176</v>
      </c>
      <c r="K569" s="42">
        <v>18</v>
      </c>
      <c r="L569" s="42">
        <v>28.9</v>
      </c>
      <c r="M569" s="43" t="s">
        <v>29</v>
      </c>
      <c r="N569" s="43" t="s">
        <v>1480</v>
      </c>
      <c r="O569" s="43">
        <v>44179</v>
      </c>
      <c r="P569" s="42">
        <v>36.966999999999999</v>
      </c>
      <c r="Q569" s="42">
        <v>29.901</v>
      </c>
      <c r="R569" s="45" t="s">
        <v>29</v>
      </c>
      <c r="S569" s="43">
        <v>44179</v>
      </c>
      <c r="T569" s="51">
        <f t="shared" si="26"/>
        <v>3</v>
      </c>
      <c r="U569" s="52" t="str">
        <f t="shared" si="27"/>
        <v>Detectável</v>
      </c>
    </row>
    <row r="570" spans="1:23" ht="25.5" customHeight="1" x14ac:dyDescent="0.2">
      <c r="A570" s="51">
        <v>569</v>
      </c>
      <c r="B570" s="50" t="s">
        <v>1501</v>
      </c>
      <c r="C570" s="51">
        <v>40</v>
      </c>
      <c r="D570" s="51" t="s">
        <v>25</v>
      </c>
      <c r="E570" s="43">
        <v>44175</v>
      </c>
      <c r="F570" s="44" t="s">
        <v>60</v>
      </c>
      <c r="G570" s="51">
        <v>231</v>
      </c>
      <c r="H570" s="43">
        <v>44176</v>
      </c>
      <c r="I570" s="43" t="s">
        <v>1461</v>
      </c>
      <c r="J570" s="43">
        <v>44176</v>
      </c>
      <c r="K570" s="42" t="s">
        <v>36</v>
      </c>
      <c r="L570" s="42">
        <v>29</v>
      </c>
      <c r="M570" s="45" t="s">
        <v>31</v>
      </c>
      <c r="N570" s="43" t="s">
        <v>60</v>
      </c>
      <c r="O570" s="43" t="s">
        <v>60</v>
      </c>
      <c r="P570" s="42" t="s">
        <v>60</v>
      </c>
      <c r="Q570" s="42" t="s">
        <v>60</v>
      </c>
      <c r="R570" s="46" t="s">
        <v>60</v>
      </c>
      <c r="S570" s="43">
        <v>44176</v>
      </c>
      <c r="T570" s="51">
        <f t="shared" si="26"/>
        <v>3</v>
      </c>
      <c r="U570" s="52" t="str">
        <f t="shared" si="27"/>
        <v>Não Detectável</v>
      </c>
    </row>
    <row r="571" spans="1:23" ht="25.5" customHeight="1" x14ac:dyDescent="0.2">
      <c r="A571" s="51">
        <v>570</v>
      </c>
      <c r="B571" s="50" t="s">
        <v>1502</v>
      </c>
      <c r="C571" s="51">
        <v>24</v>
      </c>
      <c r="D571" s="51" t="s">
        <v>25</v>
      </c>
      <c r="E571" s="43">
        <v>44175</v>
      </c>
      <c r="F571" s="44" t="s">
        <v>60</v>
      </c>
      <c r="G571" s="51">
        <v>231</v>
      </c>
      <c r="H571" s="43">
        <v>44176</v>
      </c>
      <c r="I571" s="43" t="s">
        <v>1461</v>
      </c>
      <c r="J571" s="43">
        <v>44176</v>
      </c>
      <c r="K571" s="42" t="s">
        <v>36</v>
      </c>
      <c r="L571" s="42">
        <v>29</v>
      </c>
      <c r="M571" s="45" t="s">
        <v>31</v>
      </c>
      <c r="N571" s="43" t="s">
        <v>60</v>
      </c>
      <c r="O571" s="43" t="s">
        <v>60</v>
      </c>
      <c r="P571" s="42" t="s">
        <v>60</v>
      </c>
      <c r="Q571" s="42" t="s">
        <v>60</v>
      </c>
      <c r="R571" s="46" t="s">
        <v>60</v>
      </c>
      <c r="S571" s="43">
        <v>44176</v>
      </c>
      <c r="T571" s="51">
        <f t="shared" si="26"/>
        <v>3</v>
      </c>
      <c r="U571" s="52" t="str">
        <f t="shared" si="27"/>
        <v>Não Detectável</v>
      </c>
    </row>
    <row r="572" spans="1:23" ht="25.5" customHeight="1" x14ac:dyDescent="0.2">
      <c r="A572" s="51">
        <v>571</v>
      </c>
      <c r="B572" s="50" t="s">
        <v>1503</v>
      </c>
      <c r="C572" s="51">
        <v>24</v>
      </c>
      <c r="D572" s="51" t="s">
        <v>25</v>
      </c>
      <c r="E572" s="43">
        <v>44175</v>
      </c>
      <c r="F572" s="44" t="s">
        <v>60</v>
      </c>
      <c r="G572" s="51">
        <v>231</v>
      </c>
      <c r="H572" s="43">
        <v>44176</v>
      </c>
      <c r="I572" s="43" t="s">
        <v>1461</v>
      </c>
      <c r="J572" s="43">
        <v>44176</v>
      </c>
      <c r="K572" s="42" t="s">
        <v>36</v>
      </c>
      <c r="L572" s="42">
        <v>29</v>
      </c>
      <c r="M572" s="45" t="s">
        <v>31</v>
      </c>
      <c r="N572" s="43" t="s">
        <v>60</v>
      </c>
      <c r="O572" s="43" t="s">
        <v>60</v>
      </c>
      <c r="P572" s="42" t="s">
        <v>60</v>
      </c>
      <c r="Q572" s="42" t="s">
        <v>60</v>
      </c>
      <c r="R572" s="46" t="s">
        <v>60</v>
      </c>
      <c r="S572" s="43">
        <v>44176</v>
      </c>
      <c r="T572" s="51">
        <f t="shared" si="26"/>
        <v>3</v>
      </c>
      <c r="U572" s="52" t="str">
        <f t="shared" si="27"/>
        <v>Não Detectável</v>
      </c>
    </row>
    <row r="573" spans="1:23" ht="25.5" customHeight="1" x14ac:dyDescent="0.2">
      <c r="A573" s="51">
        <v>572</v>
      </c>
      <c r="B573" s="50" t="s">
        <v>1504</v>
      </c>
      <c r="C573" s="51">
        <v>23</v>
      </c>
      <c r="D573" s="51" t="s">
        <v>34</v>
      </c>
      <c r="E573" s="43">
        <v>44175</v>
      </c>
      <c r="F573" s="44" t="s">
        <v>60</v>
      </c>
      <c r="G573" s="51">
        <v>232</v>
      </c>
      <c r="H573" s="43">
        <v>44176</v>
      </c>
      <c r="I573" s="44" t="s">
        <v>1480</v>
      </c>
      <c r="J573" s="43">
        <v>44179</v>
      </c>
      <c r="K573" s="42">
        <v>20.137</v>
      </c>
      <c r="L573" s="42">
        <v>28.382999999999999</v>
      </c>
      <c r="M573" s="44" t="s">
        <v>29</v>
      </c>
      <c r="N573" s="43" t="s">
        <v>1505</v>
      </c>
      <c r="O573" s="43">
        <v>44180</v>
      </c>
      <c r="P573" s="42" t="s">
        <v>36</v>
      </c>
      <c r="Q573" s="42">
        <v>28.4</v>
      </c>
      <c r="R573" s="46" t="s">
        <v>31</v>
      </c>
      <c r="S573" s="43">
        <v>44180</v>
      </c>
      <c r="T573" s="51">
        <f t="shared" si="26"/>
        <v>3</v>
      </c>
      <c r="U573" s="52" t="str">
        <f t="shared" si="27"/>
        <v>Não Detectável</v>
      </c>
      <c r="V573" s="40"/>
      <c r="W573" s="40"/>
    </row>
    <row r="574" spans="1:23" ht="25.5" customHeight="1" x14ac:dyDescent="0.2">
      <c r="A574" s="51">
        <v>573</v>
      </c>
      <c r="B574" s="50" t="s">
        <v>1506</v>
      </c>
      <c r="C574" s="51">
        <v>52</v>
      </c>
      <c r="D574" s="51" t="s">
        <v>25</v>
      </c>
      <c r="E574" s="43">
        <v>44175</v>
      </c>
      <c r="F574" s="44" t="s">
        <v>60</v>
      </c>
      <c r="G574" s="51">
        <v>232</v>
      </c>
      <c r="H574" s="43">
        <v>44176</v>
      </c>
      <c r="I574" s="44" t="s">
        <v>1480</v>
      </c>
      <c r="J574" s="43">
        <v>44179</v>
      </c>
      <c r="K574" s="42">
        <v>20.137</v>
      </c>
      <c r="L574" s="42">
        <v>28.382999999999999</v>
      </c>
      <c r="M574" s="44" t="s">
        <v>29</v>
      </c>
      <c r="N574" s="43" t="s">
        <v>1505</v>
      </c>
      <c r="O574" s="43">
        <v>44180</v>
      </c>
      <c r="P574" s="42" t="s">
        <v>36</v>
      </c>
      <c r="Q574" s="42">
        <v>30.5</v>
      </c>
      <c r="R574" s="46" t="s">
        <v>31</v>
      </c>
      <c r="S574" s="43">
        <v>44180</v>
      </c>
      <c r="T574" s="51">
        <f t="shared" si="26"/>
        <v>3</v>
      </c>
      <c r="U574" s="52" t="str">
        <f t="shared" si="27"/>
        <v>Não Detectável</v>
      </c>
      <c r="V574" s="40"/>
      <c r="W574" s="40"/>
    </row>
    <row r="575" spans="1:23" ht="25.5" customHeight="1" x14ac:dyDescent="0.2">
      <c r="A575" s="51">
        <v>574</v>
      </c>
      <c r="B575" s="50" t="s">
        <v>1507</v>
      </c>
      <c r="C575" s="51">
        <v>23</v>
      </c>
      <c r="D575" s="51" t="s">
        <v>34</v>
      </c>
      <c r="E575" s="43">
        <v>44176</v>
      </c>
      <c r="F575" s="44" t="s">
        <v>60</v>
      </c>
      <c r="G575" s="51">
        <v>232</v>
      </c>
      <c r="H575" s="43">
        <v>44179</v>
      </c>
      <c r="I575" s="44" t="s">
        <v>1480</v>
      </c>
      <c r="J575" s="43">
        <v>44179</v>
      </c>
      <c r="K575" s="42">
        <v>20.137</v>
      </c>
      <c r="L575" s="42">
        <v>28.382999999999999</v>
      </c>
      <c r="M575" s="44" t="s">
        <v>29</v>
      </c>
      <c r="N575" s="43" t="s">
        <v>1505</v>
      </c>
      <c r="O575" s="43">
        <v>44180</v>
      </c>
      <c r="P575" s="42">
        <v>18.7</v>
      </c>
      <c r="Q575" s="42">
        <v>27.1</v>
      </c>
      <c r="R575" s="46" t="s">
        <v>29</v>
      </c>
      <c r="S575" s="43">
        <v>44180</v>
      </c>
      <c r="T575" s="51">
        <f t="shared" si="26"/>
        <v>3</v>
      </c>
      <c r="U575" s="52" t="str">
        <f t="shared" si="27"/>
        <v>Detectável</v>
      </c>
      <c r="V575" s="40"/>
      <c r="W575" s="40"/>
    </row>
    <row r="576" spans="1:23" ht="25.5" customHeight="1" x14ac:dyDescent="0.2">
      <c r="A576" s="51">
        <v>575</v>
      </c>
      <c r="B576" s="50" t="s">
        <v>1508</v>
      </c>
      <c r="C576" s="51">
        <v>26</v>
      </c>
      <c r="D576" s="51" t="s">
        <v>25</v>
      </c>
      <c r="E576" s="43">
        <v>44176</v>
      </c>
      <c r="F576" s="44" t="s">
        <v>60</v>
      </c>
      <c r="G576" s="51">
        <v>233</v>
      </c>
      <c r="H576" s="43">
        <v>44179</v>
      </c>
      <c r="I576" s="44" t="s">
        <v>1480</v>
      </c>
      <c r="J576" s="43">
        <v>44179</v>
      </c>
      <c r="K576" s="42">
        <v>18.329000000000001</v>
      </c>
      <c r="L576" s="42">
        <v>28.091999999999999</v>
      </c>
      <c r="M576" s="44" t="s">
        <v>29</v>
      </c>
      <c r="N576" s="43" t="s">
        <v>1505</v>
      </c>
      <c r="O576" s="43">
        <v>44180</v>
      </c>
      <c r="P576" s="42">
        <v>16.899999999999999</v>
      </c>
      <c r="Q576" s="42">
        <v>28</v>
      </c>
      <c r="R576" s="46" t="s">
        <v>29</v>
      </c>
      <c r="S576" s="43">
        <v>44180</v>
      </c>
      <c r="T576" s="51">
        <f t="shared" si="26"/>
        <v>3</v>
      </c>
      <c r="U576" s="52" t="str">
        <f t="shared" si="27"/>
        <v>Detectável</v>
      </c>
      <c r="V576" s="40"/>
      <c r="W576" s="40"/>
    </row>
    <row r="577" spans="1:23" ht="25.5" customHeight="1" x14ac:dyDescent="0.2">
      <c r="A577" s="51">
        <v>576</v>
      </c>
      <c r="B577" s="50" t="s">
        <v>1509</v>
      </c>
      <c r="C577" s="51">
        <v>71</v>
      </c>
      <c r="D577" s="51" t="s">
        <v>25</v>
      </c>
      <c r="E577" s="43">
        <v>44176</v>
      </c>
      <c r="F577" s="44" t="s">
        <v>60</v>
      </c>
      <c r="G577" s="51">
        <v>233</v>
      </c>
      <c r="H577" s="43">
        <v>44179</v>
      </c>
      <c r="I577" s="44" t="s">
        <v>1480</v>
      </c>
      <c r="J577" s="43">
        <v>44179</v>
      </c>
      <c r="K577" s="42">
        <v>18.329000000000001</v>
      </c>
      <c r="L577" s="42">
        <v>28.091999999999999</v>
      </c>
      <c r="M577" s="44" t="s">
        <v>29</v>
      </c>
      <c r="N577" s="43" t="s">
        <v>1505</v>
      </c>
      <c r="O577" s="43">
        <v>44180</v>
      </c>
      <c r="P577" s="42" t="s">
        <v>36</v>
      </c>
      <c r="Q577" s="42">
        <v>28.4</v>
      </c>
      <c r="R577" s="46" t="s">
        <v>31</v>
      </c>
      <c r="S577" s="43">
        <v>44180</v>
      </c>
      <c r="T577" s="51">
        <f t="shared" si="26"/>
        <v>3</v>
      </c>
      <c r="U577" s="52" t="str">
        <f t="shared" si="27"/>
        <v>Não Detectável</v>
      </c>
      <c r="V577" s="40"/>
      <c r="W577" s="40"/>
    </row>
    <row r="578" spans="1:23" ht="25.5" customHeight="1" x14ac:dyDescent="0.2">
      <c r="A578" s="51">
        <v>577</v>
      </c>
      <c r="B578" s="50" t="s">
        <v>1510</v>
      </c>
      <c r="C578" s="51">
        <v>24</v>
      </c>
      <c r="D578" s="51" t="s">
        <v>34</v>
      </c>
      <c r="E578" s="43">
        <v>44176</v>
      </c>
      <c r="F578" s="44" t="s">
        <v>60</v>
      </c>
      <c r="G578" s="51">
        <v>233</v>
      </c>
      <c r="H578" s="43">
        <v>44179</v>
      </c>
      <c r="I578" s="44" t="s">
        <v>1480</v>
      </c>
      <c r="J578" s="43">
        <v>44179</v>
      </c>
      <c r="K578" s="42">
        <v>18.329000000000001</v>
      </c>
      <c r="L578" s="42">
        <v>28.091999999999999</v>
      </c>
      <c r="M578" s="44" t="s">
        <v>29</v>
      </c>
      <c r="N578" s="43" t="s">
        <v>1505</v>
      </c>
      <c r="O578" s="43">
        <v>44180</v>
      </c>
      <c r="P578" s="42" t="s">
        <v>36</v>
      </c>
      <c r="Q578" s="42">
        <v>30</v>
      </c>
      <c r="R578" s="46" t="s">
        <v>31</v>
      </c>
      <c r="S578" s="43">
        <v>44180</v>
      </c>
      <c r="T578" s="51">
        <f t="shared" si="26"/>
        <v>3</v>
      </c>
      <c r="U578" s="52" t="str">
        <f t="shared" si="27"/>
        <v>Não Detectável</v>
      </c>
      <c r="V578" s="40"/>
      <c r="W578" s="40"/>
    </row>
    <row r="579" spans="1:23" ht="25.5" customHeight="1" x14ac:dyDescent="0.2">
      <c r="A579" s="51">
        <v>578</v>
      </c>
      <c r="B579" s="50" t="s">
        <v>1511</v>
      </c>
      <c r="C579" s="51">
        <v>31</v>
      </c>
      <c r="D579" s="51" t="s">
        <v>25</v>
      </c>
      <c r="E579" s="43">
        <v>44176</v>
      </c>
      <c r="F579" s="44" t="s">
        <v>60</v>
      </c>
      <c r="G579" s="51">
        <v>234</v>
      </c>
      <c r="H579" s="43">
        <v>44179</v>
      </c>
      <c r="I579" s="44" t="s">
        <v>1480</v>
      </c>
      <c r="J579" s="43">
        <v>44179</v>
      </c>
      <c r="K579" s="42" t="s">
        <v>383</v>
      </c>
      <c r="L579" s="42">
        <v>27.43</v>
      </c>
      <c r="M579" s="45" t="s">
        <v>31</v>
      </c>
      <c r="N579" s="43" t="s">
        <v>60</v>
      </c>
      <c r="O579" s="43" t="s">
        <v>60</v>
      </c>
      <c r="P579" s="42" t="s">
        <v>60</v>
      </c>
      <c r="Q579" s="42" t="s">
        <v>60</v>
      </c>
      <c r="R579" s="46" t="s">
        <v>60</v>
      </c>
      <c r="S579" s="43">
        <v>44179</v>
      </c>
      <c r="T579" s="51">
        <f t="shared" si="26"/>
        <v>3</v>
      </c>
      <c r="U579" s="52" t="str">
        <f t="shared" si="27"/>
        <v>Não Detectável</v>
      </c>
      <c r="V579" s="40"/>
      <c r="W579" s="40"/>
    </row>
    <row r="580" spans="1:23" ht="25.5" customHeight="1" x14ac:dyDescent="0.2">
      <c r="A580" s="51">
        <v>579</v>
      </c>
      <c r="B580" s="50" t="s">
        <v>1512</v>
      </c>
      <c r="C580" s="51">
        <v>43</v>
      </c>
      <c r="D580" s="51" t="s">
        <v>25</v>
      </c>
      <c r="E580" s="43">
        <v>44176</v>
      </c>
      <c r="F580" s="44" t="s">
        <v>60</v>
      </c>
      <c r="G580" s="51">
        <v>234</v>
      </c>
      <c r="H580" s="43">
        <v>44179</v>
      </c>
      <c r="I580" s="44" t="s">
        <v>1480</v>
      </c>
      <c r="J580" s="43">
        <v>44179</v>
      </c>
      <c r="K580" s="42" t="s">
        <v>383</v>
      </c>
      <c r="L580" s="42">
        <v>27.43</v>
      </c>
      <c r="M580" s="45" t="s">
        <v>31</v>
      </c>
      <c r="N580" s="43" t="s">
        <v>60</v>
      </c>
      <c r="O580" s="43" t="s">
        <v>60</v>
      </c>
      <c r="P580" s="42" t="s">
        <v>60</v>
      </c>
      <c r="Q580" s="42" t="s">
        <v>60</v>
      </c>
      <c r="R580" s="46" t="s">
        <v>60</v>
      </c>
      <c r="S580" s="43">
        <v>44179</v>
      </c>
      <c r="T580" s="51">
        <f t="shared" si="26"/>
        <v>3</v>
      </c>
      <c r="U580" s="52" t="str">
        <f t="shared" si="27"/>
        <v>Não Detectável</v>
      </c>
      <c r="V580" s="40"/>
      <c r="W580" s="40"/>
    </row>
    <row r="581" spans="1:23" ht="25.5" customHeight="1" x14ac:dyDescent="0.2">
      <c r="A581" s="51">
        <v>580</v>
      </c>
      <c r="B581" s="50" t="s">
        <v>1513</v>
      </c>
      <c r="C581" s="51">
        <v>25</v>
      </c>
      <c r="D581" s="51" t="s">
        <v>34</v>
      </c>
      <c r="E581" s="43">
        <v>44176</v>
      </c>
      <c r="F581" s="44" t="s">
        <v>60</v>
      </c>
      <c r="G581" s="51">
        <v>234</v>
      </c>
      <c r="H581" s="43">
        <v>44179</v>
      </c>
      <c r="I581" s="44" t="s">
        <v>1480</v>
      </c>
      <c r="J581" s="43">
        <v>44179</v>
      </c>
      <c r="K581" s="42" t="s">
        <v>383</v>
      </c>
      <c r="L581" s="42">
        <v>27.43</v>
      </c>
      <c r="M581" s="45" t="s">
        <v>31</v>
      </c>
      <c r="N581" s="43" t="s">
        <v>60</v>
      </c>
      <c r="O581" s="43" t="s">
        <v>60</v>
      </c>
      <c r="P581" s="42" t="s">
        <v>60</v>
      </c>
      <c r="Q581" s="42" t="s">
        <v>60</v>
      </c>
      <c r="R581" s="46" t="s">
        <v>60</v>
      </c>
      <c r="S581" s="43">
        <v>44179</v>
      </c>
      <c r="T581" s="51">
        <f t="shared" si="26"/>
        <v>3</v>
      </c>
      <c r="U581" s="52" t="str">
        <f t="shared" si="27"/>
        <v>Não Detectável</v>
      </c>
      <c r="V581" s="40"/>
      <c r="W581" s="40"/>
    </row>
    <row r="582" spans="1:23" ht="25.5" customHeight="1" x14ac:dyDescent="0.2">
      <c r="A582" s="51">
        <v>581</v>
      </c>
      <c r="B582" s="50" t="s">
        <v>1514</v>
      </c>
      <c r="C582" s="51">
        <v>25</v>
      </c>
      <c r="D582" s="51" t="s">
        <v>25</v>
      </c>
      <c r="E582" s="43">
        <v>44176</v>
      </c>
      <c r="F582" s="44" t="s">
        <v>60</v>
      </c>
      <c r="G582" s="51">
        <v>235</v>
      </c>
      <c r="H582" s="43">
        <v>44179</v>
      </c>
      <c r="I582" s="44" t="s">
        <v>1480</v>
      </c>
      <c r="J582" s="43">
        <v>44179</v>
      </c>
      <c r="K582" s="42">
        <v>20.954000000000001</v>
      </c>
      <c r="L582" s="42">
        <v>27.876999999999999</v>
      </c>
      <c r="M582" s="44" t="s">
        <v>29</v>
      </c>
      <c r="N582" s="43" t="s">
        <v>1505</v>
      </c>
      <c r="O582" s="43">
        <v>44180</v>
      </c>
      <c r="P582" s="42" t="s">
        <v>36</v>
      </c>
      <c r="Q582" s="42">
        <v>27.1</v>
      </c>
      <c r="R582" s="46" t="s">
        <v>31</v>
      </c>
      <c r="S582" s="43">
        <v>44180</v>
      </c>
      <c r="T582" s="51">
        <f t="shared" si="26"/>
        <v>3</v>
      </c>
      <c r="U582" s="52" t="str">
        <f t="shared" si="27"/>
        <v>Não Detectável</v>
      </c>
      <c r="V582" s="40"/>
      <c r="W582" s="40"/>
    </row>
    <row r="583" spans="1:23" ht="25.5" customHeight="1" x14ac:dyDescent="0.2">
      <c r="A583" s="51">
        <v>582</v>
      </c>
      <c r="B583" s="50" t="s">
        <v>1515</v>
      </c>
      <c r="C583" s="51">
        <v>34</v>
      </c>
      <c r="D583" s="51" t="s">
        <v>25</v>
      </c>
      <c r="E583" s="43">
        <v>44176</v>
      </c>
      <c r="F583" s="44" t="s">
        <v>60</v>
      </c>
      <c r="G583" s="51">
        <v>235</v>
      </c>
      <c r="H583" s="43">
        <v>44179</v>
      </c>
      <c r="I583" s="44" t="s">
        <v>1480</v>
      </c>
      <c r="J583" s="43">
        <v>44179</v>
      </c>
      <c r="K583" s="42">
        <v>20.954000000000001</v>
      </c>
      <c r="L583" s="42">
        <v>27.876999999999999</v>
      </c>
      <c r="M583" s="44" t="s">
        <v>29</v>
      </c>
      <c r="N583" s="43" t="s">
        <v>1505</v>
      </c>
      <c r="O583" s="43">
        <v>44180</v>
      </c>
      <c r="P583" s="42" t="s">
        <v>36</v>
      </c>
      <c r="Q583" s="42">
        <v>28</v>
      </c>
      <c r="R583" s="46" t="s">
        <v>31</v>
      </c>
      <c r="S583" s="43">
        <v>44180</v>
      </c>
      <c r="T583" s="51">
        <f t="shared" si="26"/>
        <v>3</v>
      </c>
      <c r="U583" s="52" t="str">
        <f t="shared" si="27"/>
        <v>Não Detectável</v>
      </c>
      <c r="V583" s="40"/>
      <c r="W583" s="40"/>
    </row>
    <row r="584" spans="1:23" ht="25.5" customHeight="1" x14ac:dyDescent="0.2">
      <c r="A584" s="51">
        <v>583</v>
      </c>
      <c r="B584" s="50" t="s">
        <v>1516</v>
      </c>
      <c r="C584" s="51">
        <v>43</v>
      </c>
      <c r="D584" s="51" t="s">
        <v>25</v>
      </c>
      <c r="E584" s="43">
        <v>44176</v>
      </c>
      <c r="F584" s="44" t="s">
        <v>60</v>
      </c>
      <c r="G584" s="51">
        <v>235</v>
      </c>
      <c r="H584" s="43">
        <v>44179</v>
      </c>
      <c r="I584" s="44" t="s">
        <v>1480</v>
      </c>
      <c r="J584" s="43">
        <v>44179</v>
      </c>
      <c r="K584" s="42">
        <v>20.954000000000001</v>
      </c>
      <c r="L584" s="42">
        <v>27.876999999999999</v>
      </c>
      <c r="M584" s="44" t="s">
        <v>29</v>
      </c>
      <c r="N584" s="43" t="s">
        <v>1505</v>
      </c>
      <c r="O584" s="43">
        <v>44180</v>
      </c>
      <c r="P584" s="42">
        <v>19.399999999999999</v>
      </c>
      <c r="Q584" s="42">
        <v>30.1</v>
      </c>
      <c r="R584" s="46" t="s">
        <v>29</v>
      </c>
      <c r="S584" s="43">
        <v>44180</v>
      </c>
      <c r="T584" s="51">
        <f t="shared" si="26"/>
        <v>3</v>
      </c>
      <c r="U584" s="52" t="str">
        <f t="shared" si="27"/>
        <v>Detectável</v>
      </c>
      <c r="V584" s="40"/>
      <c r="W584" s="40"/>
    </row>
    <row r="585" spans="1:23" ht="25.5" customHeight="1" x14ac:dyDescent="0.2">
      <c r="A585" s="51">
        <v>584</v>
      </c>
      <c r="B585" s="50" t="s">
        <v>1517</v>
      </c>
      <c r="C585" s="51">
        <v>41</v>
      </c>
      <c r="D585" s="51" t="s">
        <v>25</v>
      </c>
      <c r="E585" s="43">
        <v>44176</v>
      </c>
      <c r="F585" s="44" t="s">
        <v>60</v>
      </c>
      <c r="G585" s="51">
        <v>236</v>
      </c>
      <c r="H585" s="43">
        <v>44179</v>
      </c>
      <c r="I585" s="44" t="s">
        <v>1480</v>
      </c>
      <c r="J585" s="43">
        <v>44179</v>
      </c>
      <c r="K585" s="42">
        <v>20.984000000000002</v>
      </c>
      <c r="L585" s="42">
        <v>28.462</v>
      </c>
      <c r="M585" s="44" t="s">
        <v>29</v>
      </c>
      <c r="N585" s="43" t="s">
        <v>1505</v>
      </c>
      <c r="O585" s="43">
        <v>44180</v>
      </c>
      <c r="P585" s="42" t="s">
        <v>36</v>
      </c>
      <c r="Q585" s="42">
        <v>28.2</v>
      </c>
      <c r="R585" s="46" t="s">
        <v>31</v>
      </c>
      <c r="S585" s="43">
        <v>44180</v>
      </c>
      <c r="T585" s="51">
        <f t="shared" si="26"/>
        <v>3</v>
      </c>
      <c r="U585" s="52" t="str">
        <f t="shared" si="27"/>
        <v>Não Detectável</v>
      </c>
      <c r="V585" s="40"/>
      <c r="W585" s="40"/>
    </row>
    <row r="586" spans="1:23" ht="25.5" customHeight="1" x14ac:dyDescent="0.2">
      <c r="A586" s="51">
        <v>585</v>
      </c>
      <c r="B586" s="50" t="s">
        <v>1518</v>
      </c>
      <c r="C586" s="51">
        <v>35</v>
      </c>
      <c r="D586" s="51" t="s">
        <v>25</v>
      </c>
      <c r="E586" s="43">
        <v>44176</v>
      </c>
      <c r="F586" s="44" t="s">
        <v>60</v>
      </c>
      <c r="G586" s="51">
        <v>236</v>
      </c>
      <c r="H586" s="43">
        <v>44179</v>
      </c>
      <c r="I586" s="44" t="s">
        <v>1480</v>
      </c>
      <c r="J586" s="43">
        <v>44179</v>
      </c>
      <c r="K586" s="42">
        <v>20.984000000000002</v>
      </c>
      <c r="L586" s="42">
        <v>28.462</v>
      </c>
      <c r="M586" s="44" t="s">
        <v>29</v>
      </c>
      <c r="N586" s="43" t="s">
        <v>1505</v>
      </c>
      <c r="O586" s="43">
        <v>44180</v>
      </c>
      <c r="P586" s="42" t="s">
        <v>36</v>
      </c>
      <c r="Q586" s="42">
        <v>28.8</v>
      </c>
      <c r="R586" s="46" t="s">
        <v>31</v>
      </c>
      <c r="S586" s="43">
        <v>44180</v>
      </c>
      <c r="T586" s="51">
        <f t="shared" si="26"/>
        <v>3</v>
      </c>
      <c r="U586" s="52" t="str">
        <f t="shared" si="27"/>
        <v>Não Detectável</v>
      </c>
      <c r="V586" s="40"/>
      <c r="W586" s="40"/>
    </row>
    <row r="587" spans="1:23" ht="25.5" customHeight="1" x14ac:dyDescent="0.2">
      <c r="A587" s="51">
        <v>586</v>
      </c>
      <c r="B587" s="50" t="s">
        <v>1519</v>
      </c>
      <c r="C587" s="51">
        <v>54</v>
      </c>
      <c r="D587" s="51" t="s">
        <v>25</v>
      </c>
      <c r="E587" s="43">
        <v>44176</v>
      </c>
      <c r="F587" s="44" t="s">
        <v>60</v>
      </c>
      <c r="G587" s="51">
        <v>236</v>
      </c>
      <c r="H587" s="43">
        <v>44179</v>
      </c>
      <c r="I587" s="44" t="s">
        <v>1480</v>
      </c>
      <c r="J587" s="43">
        <v>44179</v>
      </c>
      <c r="K587" s="42">
        <v>20.984000000000002</v>
      </c>
      <c r="L587" s="42">
        <v>28.462</v>
      </c>
      <c r="M587" s="44" t="s">
        <v>29</v>
      </c>
      <c r="N587" s="43" t="s">
        <v>1505</v>
      </c>
      <c r="O587" s="43">
        <v>44180</v>
      </c>
      <c r="P587" s="42">
        <v>19.3</v>
      </c>
      <c r="Q587" s="42">
        <v>27</v>
      </c>
      <c r="R587" s="46" t="s">
        <v>29</v>
      </c>
      <c r="S587" s="43">
        <v>44180</v>
      </c>
      <c r="T587" s="51">
        <f t="shared" si="26"/>
        <v>3</v>
      </c>
      <c r="U587" s="52" t="str">
        <f t="shared" si="27"/>
        <v>Detectável</v>
      </c>
      <c r="V587" s="40"/>
      <c r="W587" s="40"/>
    </row>
    <row r="588" spans="1:23" ht="25.5" customHeight="1" x14ac:dyDescent="0.2">
      <c r="A588" s="51">
        <v>587</v>
      </c>
      <c r="B588" s="50" t="s">
        <v>1520</v>
      </c>
      <c r="C588" s="51">
        <v>60</v>
      </c>
      <c r="D588" s="51" t="s">
        <v>1521</v>
      </c>
      <c r="E588" s="43">
        <v>44176</v>
      </c>
      <c r="F588" s="44" t="s">
        <v>60</v>
      </c>
      <c r="G588" s="51">
        <v>237</v>
      </c>
      <c r="H588" s="43">
        <v>44179</v>
      </c>
      <c r="I588" s="43" t="s">
        <v>1505</v>
      </c>
      <c r="J588" s="43">
        <v>44180</v>
      </c>
      <c r="K588" s="42">
        <v>23.9</v>
      </c>
      <c r="L588" s="42">
        <v>28.4</v>
      </c>
      <c r="M588" s="44" t="s">
        <v>29</v>
      </c>
      <c r="N588" s="43" t="s">
        <v>1522</v>
      </c>
      <c r="O588" s="43">
        <v>44181</v>
      </c>
      <c r="P588" s="42" t="s">
        <v>36</v>
      </c>
      <c r="Q588" s="42">
        <v>30.3</v>
      </c>
      <c r="R588" s="46" t="s">
        <v>31</v>
      </c>
      <c r="S588" s="43">
        <v>44181</v>
      </c>
      <c r="T588" s="51">
        <f t="shared" si="26"/>
        <v>3</v>
      </c>
      <c r="U588" s="52" t="str">
        <f t="shared" si="27"/>
        <v>Não Detectável</v>
      </c>
      <c r="V588" s="40"/>
      <c r="W588" s="40"/>
    </row>
    <row r="589" spans="1:23" ht="25.5" customHeight="1" x14ac:dyDescent="0.2">
      <c r="A589" s="51">
        <v>588</v>
      </c>
      <c r="B589" s="50" t="s">
        <v>1523</v>
      </c>
      <c r="C589" s="51">
        <v>23</v>
      </c>
      <c r="D589" s="51" t="s">
        <v>25</v>
      </c>
      <c r="E589" s="43">
        <v>44176</v>
      </c>
      <c r="F589" s="44" t="s">
        <v>60</v>
      </c>
      <c r="G589" s="51">
        <v>237</v>
      </c>
      <c r="H589" s="43">
        <v>44179</v>
      </c>
      <c r="I589" s="43" t="s">
        <v>1505</v>
      </c>
      <c r="J589" s="43">
        <v>44180</v>
      </c>
      <c r="K589" s="42">
        <v>23.9</v>
      </c>
      <c r="L589" s="42">
        <v>28.4</v>
      </c>
      <c r="M589" s="44" t="s">
        <v>29</v>
      </c>
      <c r="N589" s="43" t="s">
        <v>1522</v>
      </c>
      <c r="O589" s="43">
        <v>44181</v>
      </c>
      <c r="P589" s="42" t="s">
        <v>36</v>
      </c>
      <c r="Q589" s="42">
        <v>29.9</v>
      </c>
      <c r="R589" s="46" t="s">
        <v>31</v>
      </c>
      <c r="S589" s="43">
        <v>44181</v>
      </c>
      <c r="T589" s="51">
        <f t="shared" si="26"/>
        <v>3</v>
      </c>
      <c r="U589" s="52" t="str">
        <f t="shared" si="27"/>
        <v>Não Detectável</v>
      </c>
      <c r="V589" s="40"/>
      <c r="W589" s="40"/>
    </row>
    <row r="590" spans="1:23" ht="25.5" customHeight="1" x14ac:dyDescent="0.2">
      <c r="A590" s="51">
        <v>589</v>
      </c>
      <c r="B590" s="50" t="s">
        <v>1524</v>
      </c>
      <c r="C590" s="51">
        <v>14</v>
      </c>
      <c r="D590" s="51" t="s">
        <v>25</v>
      </c>
      <c r="E590" s="43" t="s">
        <v>1525</v>
      </c>
      <c r="F590" s="44" t="s">
        <v>60</v>
      </c>
      <c r="G590" s="51">
        <v>238</v>
      </c>
      <c r="H590" s="43">
        <v>44180</v>
      </c>
      <c r="I590" s="43" t="s">
        <v>1505</v>
      </c>
      <c r="J590" s="43">
        <v>44180</v>
      </c>
      <c r="K590" s="42">
        <v>18.7</v>
      </c>
      <c r="L590" s="42">
        <v>27.1</v>
      </c>
      <c r="M590" s="44" t="s">
        <v>29</v>
      </c>
      <c r="N590" s="43" t="s">
        <v>1522</v>
      </c>
      <c r="O590" s="43">
        <v>44181</v>
      </c>
      <c r="P590" s="42">
        <v>21.3</v>
      </c>
      <c r="Q590" s="42">
        <v>28</v>
      </c>
      <c r="R590" s="46" t="s">
        <v>29</v>
      </c>
      <c r="S590" s="43">
        <v>44181</v>
      </c>
      <c r="T590" s="51">
        <f t="shared" si="26"/>
        <v>3</v>
      </c>
      <c r="U590" s="52" t="str">
        <f t="shared" si="27"/>
        <v>Detectável</v>
      </c>
    </row>
    <row r="591" spans="1:23" ht="25.5" customHeight="1" x14ac:dyDescent="0.2">
      <c r="A591" s="51">
        <v>590</v>
      </c>
      <c r="B591" s="50" t="s">
        <v>1526</v>
      </c>
      <c r="C591" s="51">
        <v>46</v>
      </c>
      <c r="D591" s="51" t="s">
        <v>25</v>
      </c>
      <c r="E591" s="43" t="s">
        <v>1525</v>
      </c>
      <c r="F591" s="44" t="s">
        <v>60</v>
      </c>
      <c r="G591" s="51">
        <v>238</v>
      </c>
      <c r="H591" s="43">
        <v>44180</v>
      </c>
      <c r="I591" s="43" t="s">
        <v>1505</v>
      </c>
      <c r="J591" s="43">
        <v>44180</v>
      </c>
      <c r="K591" s="42">
        <v>18.7</v>
      </c>
      <c r="L591" s="42">
        <v>27.1</v>
      </c>
      <c r="M591" s="44" t="s">
        <v>29</v>
      </c>
      <c r="N591" s="43" t="s">
        <v>1522</v>
      </c>
      <c r="O591" s="43">
        <v>44181</v>
      </c>
      <c r="P591" s="42">
        <v>23.4</v>
      </c>
      <c r="Q591" s="42">
        <v>30.4</v>
      </c>
      <c r="R591" s="46" t="s">
        <v>29</v>
      </c>
      <c r="S591" s="43">
        <v>44181</v>
      </c>
      <c r="T591" s="51">
        <f t="shared" si="26"/>
        <v>3</v>
      </c>
      <c r="U591" s="52" t="str">
        <f t="shared" si="27"/>
        <v>Detectável</v>
      </c>
    </row>
    <row r="592" spans="1:23" ht="25.5" customHeight="1" x14ac:dyDescent="0.2">
      <c r="A592" s="51">
        <v>591</v>
      </c>
      <c r="B592" s="50" t="s">
        <v>1527</v>
      </c>
      <c r="C592" s="51">
        <v>63</v>
      </c>
      <c r="D592" s="51" t="s">
        <v>25</v>
      </c>
      <c r="E592" s="43" t="s">
        <v>1525</v>
      </c>
      <c r="F592" s="44" t="s">
        <v>60</v>
      </c>
      <c r="G592" s="51">
        <v>237</v>
      </c>
      <c r="H592" s="43">
        <v>44180</v>
      </c>
      <c r="I592" s="43" t="s">
        <v>1505</v>
      </c>
      <c r="J592" s="43">
        <v>44180</v>
      </c>
      <c r="K592" s="42">
        <v>23.9</v>
      </c>
      <c r="L592" s="42">
        <v>28.4</v>
      </c>
      <c r="M592" s="44" t="s">
        <v>29</v>
      </c>
      <c r="N592" s="43" t="s">
        <v>1522</v>
      </c>
      <c r="O592" s="43">
        <v>44181</v>
      </c>
      <c r="P592" s="42">
        <v>25.9</v>
      </c>
      <c r="Q592" s="42">
        <v>29</v>
      </c>
      <c r="R592" s="46" t="s">
        <v>29</v>
      </c>
      <c r="S592" s="43">
        <v>44181</v>
      </c>
      <c r="T592" s="51">
        <f t="shared" si="26"/>
        <v>3</v>
      </c>
      <c r="U592" s="52" t="str">
        <f t="shared" si="27"/>
        <v>Detectável</v>
      </c>
    </row>
    <row r="593" spans="1:21" ht="25.5" customHeight="1" x14ac:dyDescent="0.2">
      <c r="A593" s="51">
        <v>592</v>
      </c>
      <c r="B593" s="50" t="s">
        <v>1528</v>
      </c>
      <c r="C593" s="51">
        <v>38</v>
      </c>
      <c r="D593" s="51" t="s">
        <v>25</v>
      </c>
      <c r="E593" s="43" t="s">
        <v>1525</v>
      </c>
      <c r="F593" s="44" t="s">
        <v>60</v>
      </c>
      <c r="G593" s="51">
        <v>238</v>
      </c>
      <c r="H593" s="43">
        <v>44180</v>
      </c>
      <c r="I593" s="43" t="s">
        <v>1505</v>
      </c>
      <c r="J593" s="43">
        <v>44180</v>
      </c>
      <c r="K593" s="42">
        <v>18.7</v>
      </c>
      <c r="L593" s="42">
        <v>27.1</v>
      </c>
      <c r="M593" s="44" t="s">
        <v>29</v>
      </c>
      <c r="N593" s="43" t="s">
        <v>1522</v>
      </c>
      <c r="O593" s="43">
        <v>44181</v>
      </c>
      <c r="P593" s="42">
        <v>27.6</v>
      </c>
      <c r="Q593" s="42">
        <v>27.5</v>
      </c>
      <c r="R593" s="46" t="s">
        <v>29</v>
      </c>
      <c r="S593" s="43">
        <v>44181</v>
      </c>
      <c r="T593" s="51">
        <f t="shared" si="26"/>
        <v>3</v>
      </c>
      <c r="U593" s="52" t="str">
        <f t="shared" si="27"/>
        <v>Detectável</v>
      </c>
    </row>
    <row r="594" spans="1:21" ht="25.5" customHeight="1" x14ac:dyDescent="0.2">
      <c r="A594" s="51">
        <v>593</v>
      </c>
      <c r="B594" s="50" t="s">
        <v>1529</v>
      </c>
      <c r="C594" s="51">
        <v>21</v>
      </c>
      <c r="D594" s="51" t="s">
        <v>25</v>
      </c>
      <c r="E594" s="43" t="s">
        <v>1525</v>
      </c>
      <c r="F594" s="44" t="s">
        <v>60</v>
      </c>
      <c r="G594" s="51">
        <v>239</v>
      </c>
      <c r="H594" s="43">
        <v>44180</v>
      </c>
      <c r="I594" s="43" t="s">
        <v>1505</v>
      </c>
      <c r="J594" s="43">
        <v>44180</v>
      </c>
      <c r="K594" s="42">
        <v>22.6</v>
      </c>
      <c r="L594" s="42">
        <v>28</v>
      </c>
      <c r="M594" s="44" t="s">
        <v>29</v>
      </c>
      <c r="N594" s="43" t="s">
        <v>1522</v>
      </c>
      <c r="O594" s="43">
        <v>44181</v>
      </c>
      <c r="P594" s="42">
        <v>30.6</v>
      </c>
      <c r="Q594" s="42">
        <v>29.2</v>
      </c>
      <c r="R594" s="46" t="s">
        <v>29</v>
      </c>
      <c r="S594" s="43">
        <v>44181</v>
      </c>
      <c r="T594" s="51">
        <f t="shared" si="26"/>
        <v>3</v>
      </c>
      <c r="U594" s="52" t="str">
        <f t="shared" si="27"/>
        <v>Detectável</v>
      </c>
    </row>
    <row r="595" spans="1:21" ht="25.5" customHeight="1" x14ac:dyDescent="0.2">
      <c r="A595" s="51">
        <v>594</v>
      </c>
      <c r="B595" s="50" t="s">
        <v>1530</v>
      </c>
      <c r="C595" s="51">
        <v>62</v>
      </c>
      <c r="D595" s="51" t="s">
        <v>25</v>
      </c>
      <c r="E595" s="43" t="s">
        <v>1525</v>
      </c>
      <c r="F595" s="44" t="s">
        <v>60</v>
      </c>
      <c r="G595" s="51">
        <v>239</v>
      </c>
      <c r="H595" s="43">
        <v>44180</v>
      </c>
      <c r="I595" s="43" t="s">
        <v>1505</v>
      </c>
      <c r="J595" s="43">
        <v>44180</v>
      </c>
      <c r="K595" s="42">
        <v>22.6</v>
      </c>
      <c r="L595" s="42">
        <v>28</v>
      </c>
      <c r="M595" s="44" t="s">
        <v>29</v>
      </c>
      <c r="N595" s="43" t="s">
        <v>1522</v>
      </c>
      <c r="O595" s="43">
        <v>44181</v>
      </c>
      <c r="P595" s="42">
        <v>24.9</v>
      </c>
      <c r="Q595" s="42">
        <v>29.7</v>
      </c>
      <c r="R595" s="46" t="s">
        <v>29</v>
      </c>
      <c r="S595" s="43">
        <v>44181</v>
      </c>
      <c r="T595" s="51">
        <f t="shared" si="26"/>
        <v>3</v>
      </c>
      <c r="U595" s="52" t="str">
        <f t="shared" si="27"/>
        <v>Detectável</v>
      </c>
    </row>
    <row r="596" spans="1:21" ht="25.5" customHeight="1" x14ac:dyDescent="0.2">
      <c r="A596" s="51">
        <v>595</v>
      </c>
      <c r="B596" s="50" t="s">
        <v>1531</v>
      </c>
      <c r="C596" s="51">
        <v>35</v>
      </c>
      <c r="D596" s="51" t="s">
        <v>25</v>
      </c>
      <c r="E596" s="43" t="s">
        <v>1525</v>
      </c>
      <c r="F596" s="44" t="s">
        <v>60</v>
      </c>
      <c r="G596" s="51">
        <v>239</v>
      </c>
      <c r="H596" s="43">
        <v>44180</v>
      </c>
      <c r="I596" s="43" t="s">
        <v>1505</v>
      </c>
      <c r="J596" s="43">
        <v>44180</v>
      </c>
      <c r="K596" s="42">
        <v>22.6</v>
      </c>
      <c r="L596" s="42">
        <v>28</v>
      </c>
      <c r="M596" s="44" t="s">
        <v>29</v>
      </c>
      <c r="N596" s="43" t="s">
        <v>1522</v>
      </c>
      <c r="O596" s="43">
        <v>44181</v>
      </c>
      <c r="P596" s="42" t="s">
        <v>36</v>
      </c>
      <c r="Q596" s="42">
        <v>28.6</v>
      </c>
      <c r="R596" s="46" t="s">
        <v>31</v>
      </c>
      <c r="S596" s="43">
        <v>44181</v>
      </c>
      <c r="T596" s="51">
        <f t="shared" si="26"/>
        <v>3</v>
      </c>
      <c r="U596" s="52" t="str">
        <f t="shared" si="27"/>
        <v>Não Detectável</v>
      </c>
    </row>
    <row r="597" spans="1:21" ht="25.5" customHeight="1" x14ac:dyDescent="0.2">
      <c r="A597" s="51">
        <v>596</v>
      </c>
      <c r="B597" s="50" t="s">
        <v>1532</v>
      </c>
      <c r="C597" s="51">
        <v>14</v>
      </c>
      <c r="D597" s="51" t="s">
        <v>34</v>
      </c>
      <c r="E597" s="43" t="s">
        <v>1525</v>
      </c>
      <c r="F597" s="44" t="s">
        <v>60</v>
      </c>
      <c r="G597" s="51">
        <v>240</v>
      </c>
      <c r="H597" s="43">
        <v>44180</v>
      </c>
      <c r="I597" s="43" t="s">
        <v>1505</v>
      </c>
      <c r="J597" s="43">
        <v>44180</v>
      </c>
      <c r="K597" s="42">
        <v>21.8</v>
      </c>
      <c r="L597" s="42">
        <v>28</v>
      </c>
      <c r="M597" s="44" t="s">
        <v>29</v>
      </c>
      <c r="N597" s="43" t="s">
        <v>1522</v>
      </c>
      <c r="O597" s="43">
        <v>44181</v>
      </c>
      <c r="P597" s="42" t="s">
        <v>36</v>
      </c>
      <c r="Q597" s="42">
        <v>27.9</v>
      </c>
      <c r="R597" s="46" t="s">
        <v>31</v>
      </c>
      <c r="S597" s="43">
        <v>44181</v>
      </c>
      <c r="T597" s="51">
        <f t="shared" si="26"/>
        <v>3</v>
      </c>
      <c r="U597" s="52" t="str">
        <f t="shared" si="27"/>
        <v>Não Detectável</v>
      </c>
    </row>
    <row r="598" spans="1:21" ht="25.5" customHeight="1" x14ac:dyDescent="0.2">
      <c r="A598" s="51">
        <v>597</v>
      </c>
      <c r="B598" s="50" t="s">
        <v>1533</v>
      </c>
      <c r="C598" s="51">
        <v>55</v>
      </c>
      <c r="D598" s="51" t="s">
        <v>34</v>
      </c>
      <c r="E598" s="43" t="s">
        <v>1525</v>
      </c>
      <c r="F598" s="44" t="s">
        <v>60</v>
      </c>
      <c r="G598" s="51">
        <v>240</v>
      </c>
      <c r="H598" s="43">
        <v>44180</v>
      </c>
      <c r="I598" s="43" t="s">
        <v>1505</v>
      </c>
      <c r="J598" s="43">
        <v>44180</v>
      </c>
      <c r="K598" s="42">
        <v>21.8</v>
      </c>
      <c r="L598" s="42">
        <v>28</v>
      </c>
      <c r="M598" s="44" t="s">
        <v>29</v>
      </c>
      <c r="N598" s="43" t="s">
        <v>1522</v>
      </c>
      <c r="O598" s="43">
        <v>44181</v>
      </c>
      <c r="P598" s="42">
        <v>24.2</v>
      </c>
      <c r="Q598" s="42">
        <v>28</v>
      </c>
      <c r="R598" s="46" t="s">
        <v>29</v>
      </c>
      <c r="S598" s="43">
        <v>44181</v>
      </c>
      <c r="T598" s="51">
        <f t="shared" si="26"/>
        <v>3</v>
      </c>
      <c r="U598" s="52" t="str">
        <f t="shared" si="27"/>
        <v>Detectável</v>
      </c>
    </row>
    <row r="599" spans="1:21" ht="25.5" customHeight="1" x14ac:dyDescent="0.2">
      <c r="A599" s="51">
        <v>598</v>
      </c>
      <c r="B599" s="50" t="s">
        <v>1534</v>
      </c>
      <c r="C599" s="51">
        <v>25</v>
      </c>
      <c r="D599" s="51" t="s">
        <v>25</v>
      </c>
      <c r="E599" s="43" t="s">
        <v>1525</v>
      </c>
      <c r="F599" s="44" t="s">
        <v>60</v>
      </c>
      <c r="G599" s="51">
        <v>240</v>
      </c>
      <c r="H599" s="43">
        <v>44180</v>
      </c>
      <c r="I599" s="43" t="s">
        <v>1505</v>
      </c>
      <c r="J599" s="43">
        <v>44180</v>
      </c>
      <c r="K599" s="42">
        <v>21.8</v>
      </c>
      <c r="L599" s="42">
        <v>28</v>
      </c>
      <c r="M599" s="44" t="s">
        <v>29</v>
      </c>
      <c r="N599" s="43" t="s">
        <v>1522</v>
      </c>
      <c r="O599" s="43">
        <v>44181</v>
      </c>
      <c r="P599" s="42" t="s">
        <v>36</v>
      </c>
      <c r="Q599" s="42">
        <v>28.2</v>
      </c>
      <c r="R599" s="46" t="s">
        <v>31</v>
      </c>
      <c r="S599" s="43">
        <v>44181</v>
      </c>
      <c r="T599" s="51">
        <f t="shared" si="26"/>
        <v>3</v>
      </c>
      <c r="U599" s="52" t="str">
        <f t="shared" si="27"/>
        <v>Não Detectável</v>
      </c>
    </row>
    <row r="600" spans="1:21" ht="25.5" customHeight="1" x14ac:dyDescent="0.2">
      <c r="A600" s="51">
        <v>599</v>
      </c>
      <c r="B600" s="50" t="s">
        <v>1535</v>
      </c>
      <c r="C600" s="51">
        <v>68</v>
      </c>
      <c r="D600" s="51" t="s">
        <v>34</v>
      </c>
      <c r="E600" s="43" t="s">
        <v>1525</v>
      </c>
      <c r="F600" s="44" t="s">
        <v>60</v>
      </c>
      <c r="G600" s="51">
        <v>241</v>
      </c>
      <c r="H600" s="43">
        <v>44180</v>
      </c>
      <c r="I600" s="43" t="s">
        <v>1505</v>
      </c>
      <c r="J600" s="43">
        <v>44180</v>
      </c>
      <c r="K600" s="42">
        <v>17.5</v>
      </c>
      <c r="L600" s="42">
        <v>28.1</v>
      </c>
      <c r="M600" s="44" t="s">
        <v>29</v>
      </c>
      <c r="N600" s="43" t="s">
        <v>1522</v>
      </c>
      <c r="O600" s="43">
        <v>44181</v>
      </c>
      <c r="P600" s="42">
        <v>21.4</v>
      </c>
      <c r="Q600" s="42">
        <v>28.2</v>
      </c>
      <c r="R600" s="46" t="s">
        <v>29</v>
      </c>
      <c r="S600" s="43">
        <v>44181</v>
      </c>
      <c r="T600" s="51">
        <f t="shared" si="26"/>
        <v>3</v>
      </c>
      <c r="U600" s="52" t="str">
        <f t="shared" si="27"/>
        <v>Detectável</v>
      </c>
    </row>
    <row r="601" spans="1:21" ht="25.5" customHeight="1" x14ac:dyDescent="0.2">
      <c r="A601" s="51">
        <v>600</v>
      </c>
      <c r="B601" s="50" t="s">
        <v>1536</v>
      </c>
      <c r="C601" s="51">
        <v>25</v>
      </c>
      <c r="D601" s="51" t="s">
        <v>25</v>
      </c>
      <c r="E601" s="43" t="s">
        <v>1525</v>
      </c>
      <c r="F601" s="44" t="s">
        <v>60</v>
      </c>
      <c r="G601" s="51">
        <v>241</v>
      </c>
      <c r="H601" s="43">
        <v>44180</v>
      </c>
      <c r="I601" s="43" t="s">
        <v>1505</v>
      </c>
      <c r="J601" s="43">
        <v>44180</v>
      </c>
      <c r="K601" s="42">
        <v>17.5</v>
      </c>
      <c r="L601" s="42">
        <v>28.1</v>
      </c>
      <c r="M601" s="44" t="s">
        <v>29</v>
      </c>
      <c r="N601" s="43" t="s">
        <v>1522</v>
      </c>
      <c r="O601" s="43">
        <v>44181</v>
      </c>
      <c r="P601" s="42" t="s">
        <v>36</v>
      </c>
      <c r="Q601" s="42">
        <v>29.4</v>
      </c>
      <c r="R601" s="46" t="s">
        <v>31</v>
      </c>
      <c r="S601" s="43">
        <v>44181</v>
      </c>
      <c r="T601" s="51">
        <f t="shared" si="26"/>
        <v>3</v>
      </c>
      <c r="U601" s="52" t="str">
        <f t="shared" si="27"/>
        <v>Não Detectável</v>
      </c>
    </row>
    <row r="602" spans="1:21" ht="25.5" customHeight="1" x14ac:dyDescent="0.2">
      <c r="A602" s="51">
        <v>601</v>
      </c>
      <c r="B602" s="50" t="s">
        <v>1537</v>
      </c>
      <c r="C602" s="51">
        <v>62</v>
      </c>
      <c r="D602" s="51" t="s">
        <v>25</v>
      </c>
      <c r="E602" s="43" t="s">
        <v>1525</v>
      </c>
      <c r="F602" s="44" t="s">
        <v>60</v>
      </c>
      <c r="G602" s="51">
        <v>241</v>
      </c>
      <c r="H602" s="43">
        <v>44180</v>
      </c>
      <c r="I602" s="43" t="s">
        <v>1505</v>
      </c>
      <c r="J602" s="43">
        <v>44180</v>
      </c>
      <c r="K602" s="42">
        <v>17.5</v>
      </c>
      <c r="L602" s="42">
        <v>28.1</v>
      </c>
      <c r="M602" s="44" t="s">
        <v>29</v>
      </c>
      <c r="N602" s="43" t="s">
        <v>1522</v>
      </c>
      <c r="O602" s="43">
        <v>44181</v>
      </c>
      <c r="P602" s="42">
        <v>18.8</v>
      </c>
      <c r="Q602" s="42">
        <v>29.1</v>
      </c>
      <c r="R602" s="46" t="s">
        <v>29</v>
      </c>
      <c r="S602" s="43">
        <v>44181</v>
      </c>
      <c r="T602" s="51">
        <f t="shared" si="26"/>
        <v>3</v>
      </c>
      <c r="U602" s="52" t="str">
        <f t="shared" si="27"/>
        <v>Detectável</v>
      </c>
    </row>
    <row r="603" spans="1:21" ht="25.5" customHeight="1" x14ac:dyDescent="0.2">
      <c r="A603" s="51">
        <v>602</v>
      </c>
      <c r="B603" s="50" t="s">
        <v>1538</v>
      </c>
      <c r="C603" s="51">
        <v>37</v>
      </c>
      <c r="D603" s="51" t="s">
        <v>25</v>
      </c>
      <c r="E603" s="43" t="s">
        <v>1525</v>
      </c>
      <c r="F603" s="44" t="s">
        <v>60</v>
      </c>
      <c r="G603" s="51">
        <v>242</v>
      </c>
      <c r="H603" s="43">
        <v>44180</v>
      </c>
      <c r="I603" s="43" t="s">
        <v>1505</v>
      </c>
      <c r="J603" s="43">
        <v>44180</v>
      </c>
      <c r="K603" s="42">
        <v>26.1</v>
      </c>
      <c r="L603" s="42">
        <v>27.4</v>
      </c>
      <c r="M603" s="44" t="s">
        <v>29</v>
      </c>
      <c r="N603" s="43" t="s">
        <v>1522</v>
      </c>
      <c r="O603" s="43">
        <v>44181</v>
      </c>
      <c r="P603" s="42">
        <v>30.5</v>
      </c>
      <c r="Q603" s="42">
        <v>26.2</v>
      </c>
      <c r="R603" s="46" t="s">
        <v>29</v>
      </c>
      <c r="S603" s="43">
        <v>44181</v>
      </c>
      <c r="T603" s="51">
        <f t="shared" si="26"/>
        <v>3</v>
      </c>
      <c r="U603" s="52" t="str">
        <f t="shared" si="27"/>
        <v>Detectável</v>
      </c>
    </row>
    <row r="604" spans="1:21" ht="25.5" customHeight="1" x14ac:dyDescent="0.2">
      <c r="A604" s="51">
        <v>603</v>
      </c>
      <c r="B604" s="50" t="s">
        <v>1539</v>
      </c>
      <c r="C604" s="51">
        <v>59</v>
      </c>
      <c r="D604" s="51" t="s">
        <v>25</v>
      </c>
      <c r="E604" s="43" t="s">
        <v>1525</v>
      </c>
      <c r="F604" s="44" t="s">
        <v>60</v>
      </c>
      <c r="G604" s="51">
        <v>242</v>
      </c>
      <c r="H604" s="43">
        <v>44180</v>
      </c>
      <c r="I604" s="43" t="s">
        <v>1505</v>
      </c>
      <c r="J604" s="43">
        <v>44180</v>
      </c>
      <c r="K604" s="42">
        <v>26.1</v>
      </c>
      <c r="L604" s="42">
        <v>27.4</v>
      </c>
      <c r="M604" s="44" t="s">
        <v>29</v>
      </c>
      <c r="N604" s="43" t="s">
        <v>1522</v>
      </c>
      <c r="O604" s="43">
        <v>44181</v>
      </c>
      <c r="P604" s="42">
        <v>28.1</v>
      </c>
      <c r="Q604" s="42">
        <v>28.6</v>
      </c>
      <c r="R604" s="46" t="s">
        <v>29</v>
      </c>
      <c r="S604" s="43">
        <v>44181</v>
      </c>
      <c r="T604" s="51">
        <f t="shared" si="26"/>
        <v>3</v>
      </c>
      <c r="U604" s="52" t="str">
        <f t="shared" si="27"/>
        <v>Detectável</v>
      </c>
    </row>
    <row r="605" spans="1:21" ht="25.5" customHeight="1" x14ac:dyDescent="0.2">
      <c r="A605" s="51">
        <v>604</v>
      </c>
      <c r="B605" s="50" t="s">
        <v>1540</v>
      </c>
      <c r="C605" s="51">
        <v>41</v>
      </c>
      <c r="D605" s="51" t="s">
        <v>25</v>
      </c>
      <c r="E605" s="43" t="s">
        <v>1525</v>
      </c>
      <c r="F605" s="44" t="s">
        <v>60</v>
      </c>
      <c r="G605" s="51">
        <v>242</v>
      </c>
      <c r="H605" s="43">
        <v>44180</v>
      </c>
      <c r="I605" s="43" t="s">
        <v>1505</v>
      </c>
      <c r="J605" s="43">
        <v>44180</v>
      </c>
      <c r="K605" s="42">
        <v>26.1</v>
      </c>
      <c r="L605" s="42">
        <v>27.4</v>
      </c>
      <c r="M605" s="44" t="s">
        <v>29</v>
      </c>
      <c r="N605" s="43" t="s">
        <v>1522</v>
      </c>
      <c r="O605" s="43">
        <v>44181</v>
      </c>
      <c r="P605" s="42" t="s">
        <v>36</v>
      </c>
      <c r="Q605" s="42">
        <v>29.1</v>
      </c>
      <c r="R605" s="46" t="s">
        <v>31</v>
      </c>
      <c r="S605" s="43">
        <v>44181</v>
      </c>
      <c r="T605" s="51">
        <f t="shared" si="26"/>
        <v>3</v>
      </c>
      <c r="U605" s="52" t="str">
        <f t="shared" si="27"/>
        <v>Não Detectável</v>
      </c>
    </row>
    <row r="606" spans="1:21" ht="25.5" customHeight="1" x14ac:dyDescent="0.2">
      <c r="A606" s="51">
        <v>605</v>
      </c>
      <c r="B606" s="50" t="s">
        <v>1541</v>
      </c>
      <c r="C606" s="51">
        <v>16</v>
      </c>
      <c r="D606" s="51" t="s">
        <v>25</v>
      </c>
      <c r="E606" s="43" t="s">
        <v>1525</v>
      </c>
      <c r="F606" s="44" t="s">
        <v>60</v>
      </c>
      <c r="G606" s="51">
        <v>243</v>
      </c>
      <c r="H606" s="43">
        <v>44180</v>
      </c>
      <c r="I606" s="43" t="s">
        <v>1505</v>
      </c>
      <c r="J606" s="43">
        <v>44180</v>
      </c>
      <c r="K606" s="42">
        <v>22.7</v>
      </c>
      <c r="L606" s="42">
        <v>28.5</v>
      </c>
      <c r="M606" s="44" t="s">
        <v>29</v>
      </c>
      <c r="N606" s="43" t="s">
        <v>1522</v>
      </c>
      <c r="O606" s="43">
        <v>44181</v>
      </c>
      <c r="P606" s="42" t="s">
        <v>36</v>
      </c>
      <c r="Q606" s="42">
        <v>30.4</v>
      </c>
      <c r="R606" s="46" t="s">
        <v>31</v>
      </c>
      <c r="S606" s="43">
        <v>44181</v>
      </c>
      <c r="T606" s="51">
        <f t="shared" si="26"/>
        <v>3</v>
      </c>
      <c r="U606" s="52" t="str">
        <f t="shared" si="27"/>
        <v>Não Detectável</v>
      </c>
    </row>
    <row r="607" spans="1:21" ht="25.5" customHeight="1" x14ac:dyDescent="0.2">
      <c r="A607" s="51">
        <v>606</v>
      </c>
      <c r="B607" s="50" t="s">
        <v>1542</v>
      </c>
      <c r="C607" s="51">
        <v>40</v>
      </c>
      <c r="D607" s="51" t="s">
        <v>25</v>
      </c>
      <c r="E607" s="43" t="s">
        <v>1525</v>
      </c>
      <c r="F607" s="44" t="s">
        <v>60</v>
      </c>
      <c r="G607" s="51">
        <v>243</v>
      </c>
      <c r="H607" s="43">
        <v>44180</v>
      </c>
      <c r="I607" s="43" t="s">
        <v>1505</v>
      </c>
      <c r="J607" s="43">
        <v>44180</v>
      </c>
      <c r="K607" s="42">
        <v>22.7</v>
      </c>
      <c r="L607" s="42">
        <v>28.5</v>
      </c>
      <c r="M607" s="44" t="s">
        <v>29</v>
      </c>
      <c r="N607" s="43" t="s">
        <v>1522</v>
      </c>
      <c r="O607" s="43">
        <v>44181</v>
      </c>
      <c r="P607" s="42" t="s">
        <v>36</v>
      </c>
      <c r="Q607" s="42">
        <v>29.9</v>
      </c>
      <c r="R607" s="46" t="s">
        <v>31</v>
      </c>
      <c r="S607" s="43">
        <v>44181</v>
      </c>
      <c r="T607" s="51">
        <f t="shared" si="26"/>
        <v>3</v>
      </c>
      <c r="U607" s="52" t="str">
        <f t="shared" si="27"/>
        <v>Não Detectável</v>
      </c>
    </row>
    <row r="608" spans="1:21" ht="25.5" customHeight="1" x14ac:dyDescent="0.2">
      <c r="A608" s="51">
        <v>607</v>
      </c>
      <c r="B608" s="50" t="s">
        <v>1543</v>
      </c>
      <c r="C608" s="51">
        <v>37</v>
      </c>
      <c r="D608" s="51" t="s">
        <v>34</v>
      </c>
      <c r="E608" s="43" t="s">
        <v>1525</v>
      </c>
      <c r="F608" s="44" t="s">
        <v>60</v>
      </c>
      <c r="G608" s="51">
        <v>243</v>
      </c>
      <c r="H608" s="43">
        <v>44180</v>
      </c>
      <c r="I608" s="43" t="s">
        <v>1505</v>
      </c>
      <c r="J608" s="43">
        <v>44180</v>
      </c>
      <c r="K608" s="42">
        <v>22.7</v>
      </c>
      <c r="L608" s="42">
        <v>28.5</v>
      </c>
      <c r="M608" s="44" t="s">
        <v>29</v>
      </c>
      <c r="N608" s="43" t="s">
        <v>1522</v>
      </c>
      <c r="O608" s="43">
        <v>44181</v>
      </c>
      <c r="P608" s="42">
        <v>23</v>
      </c>
      <c r="Q608" s="42">
        <v>29</v>
      </c>
      <c r="R608" s="46" t="s">
        <v>29</v>
      </c>
      <c r="S608" s="43">
        <v>44181</v>
      </c>
      <c r="T608" s="51">
        <f t="shared" si="26"/>
        <v>3</v>
      </c>
      <c r="U608" s="52" t="str">
        <f t="shared" si="27"/>
        <v>Detectável</v>
      </c>
    </row>
    <row r="609" spans="1:21" ht="25.5" customHeight="1" x14ac:dyDescent="0.2">
      <c r="A609" s="51">
        <v>608</v>
      </c>
      <c r="B609" s="50" t="s">
        <v>1544</v>
      </c>
      <c r="C609" s="51">
        <v>54</v>
      </c>
      <c r="D609" s="51" t="s">
        <v>25</v>
      </c>
      <c r="E609" s="43" t="s">
        <v>1525</v>
      </c>
      <c r="F609" s="44" t="s">
        <v>60</v>
      </c>
      <c r="G609" s="51">
        <v>244</v>
      </c>
      <c r="H609" s="43">
        <v>44180</v>
      </c>
      <c r="I609" s="43" t="s">
        <v>1505</v>
      </c>
      <c r="J609" s="43">
        <v>44180</v>
      </c>
      <c r="K609" s="42">
        <v>29.9</v>
      </c>
      <c r="L609" s="42">
        <v>28</v>
      </c>
      <c r="M609" s="44" t="s">
        <v>29</v>
      </c>
      <c r="N609" s="43" t="s">
        <v>1522</v>
      </c>
      <c r="O609" s="43">
        <v>44181</v>
      </c>
      <c r="P609" s="42" t="s">
        <v>36</v>
      </c>
      <c r="Q609" s="42">
        <v>28.7</v>
      </c>
      <c r="R609" s="46" t="s">
        <v>31</v>
      </c>
      <c r="S609" s="43">
        <v>44181</v>
      </c>
      <c r="T609" s="51">
        <f t="shared" si="26"/>
        <v>3</v>
      </c>
      <c r="U609" s="52" t="str">
        <f t="shared" si="27"/>
        <v>Não Detectável</v>
      </c>
    </row>
    <row r="610" spans="1:21" ht="25.5" customHeight="1" x14ac:dyDescent="0.2">
      <c r="A610" s="51">
        <v>609</v>
      </c>
      <c r="B610" s="50" t="s">
        <v>1545</v>
      </c>
      <c r="C610" s="51">
        <v>45</v>
      </c>
      <c r="D610" s="51" t="s">
        <v>34</v>
      </c>
      <c r="E610" s="43" t="s">
        <v>1525</v>
      </c>
      <c r="F610" s="44" t="s">
        <v>60</v>
      </c>
      <c r="G610" s="51">
        <v>244</v>
      </c>
      <c r="H610" s="43">
        <v>44180</v>
      </c>
      <c r="I610" s="43" t="s">
        <v>1505</v>
      </c>
      <c r="J610" s="43">
        <v>44180</v>
      </c>
      <c r="K610" s="42">
        <v>29.9</v>
      </c>
      <c r="L610" s="42">
        <v>28</v>
      </c>
      <c r="M610" s="44" t="s">
        <v>29</v>
      </c>
      <c r="N610" s="43" t="s">
        <v>1522</v>
      </c>
      <c r="O610" s="43">
        <v>44181</v>
      </c>
      <c r="P610" s="42" t="s">
        <v>36</v>
      </c>
      <c r="Q610" s="42">
        <v>30</v>
      </c>
      <c r="R610" s="46" t="s">
        <v>31</v>
      </c>
      <c r="S610" s="43">
        <v>44181</v>
      </c>
      <c r="T610" s="51">
        <f t="shared" si="26"/>
        <v>3</v>
      </c>
      <c r="U610" s="52" t="str">
        <f t="shared" si="27"/>
        <v>Não Detectável</v>
      </c>
    </row>
    <row r="611" spans="1:21" ht="25.5" customHeight="1" x14ac:dyDescent="0.2">
      <c r="A611" s="51">
        <v>610</v>
      </c>
      <c r="B611" s="50" t="s">
        <v>1546</v>
      </c>
      <c r="C611" s="51">
        <v>64</v>
      </c>
      <c r="D611" s="51" t="s">
        <v>34</v>
      </c>
      <c r="E611" s="43" t="s">
        <v>1525</v>
      </c>
      <c r="F611" s="44" t="s">
        <v>60</v>
      </c>
      <c r="G611" s="51">
        <v>244</v>
      </c>
      <c r="H611" s="43">
        <v>44180</v>
      </c>
      <c r="I611" s="43" t="s">
        <v>1505</v>
      </c>
      <c r="J611" s="43">
        <v>44180</v>
      </c>
      <c r="K611" s="42">
        <v>29.9</v>
      </c>
      <c r="L611" s="42">
        <v>28</v>
      </c>
      <c r="M611" s="44" t="s">
        <v>29</v>
      </c>
      <c r="N611" s="43" t="s">
        <v>1522</v>
      </c>
      <c r="O611" s="43">
        <v>44181</v>
      </c>
      <c r="P611" s="42">
        <v>30.8</v>
      </c>
      <c r="Q611" s="42">
        <v>29.8</v>
      </c>
      <c r="R611" s="46" t="s">
        <v>29</v>
      </c>
      <c r="S611" s="43">
        <v>44181</v>
      </c>
      <c r="T611" s="51">
        <f t="shared" si="26"/>
        <v>3</v>
      </c>
      <c r="U611" s="52" t="str">
        <f t="shared" si="27"/>
        <v>Detectável</v>
      </c>
    </row>
    <row r="612" spans="1:21" ht="25.5" customHeight="1" x14ac:dyDescent="0.2">
      <c r="A612" s="51">
        <v>611</v>
      </c>
      <c r="B612" s="50" t="s">
        <v>1547</v>
      </c>
      <c r="C612" s="51">
        <v>50</v>
      </c>
      <c r="D612" s="51" t="s">
        <v>25</v>
      </c>
      <c r="E612" s="43" t="s">
        <v>1525</v>
      </c>
      <c r="F612" s="44" t="s">
        <v>60</v>
      </c>
      <c r="G612" s="51">
        <v>245</v>
      </c>
      <c r="H612" s="43">
        <v>44180</v>
      </c>
      <c r="I612" s="43" t="s">
        <v>1505</v>
      </c>
      <c r="J612" s="43">
        <v>44180</v>
      </c>
      <c r="K612" s="42">
        <v>21.4</v>
      </c>
      <c r="L612" s="42">
        <v>28.5</v>
      </c>
      <c r="M612" s="44" t="s">
        <v>29</v>
      </c>
      <c r="N612" s="43" t="s">
        <v>1548</v>
      </c>
      <c r="O612" s="43">
        <v>44182</v>
      </c>
      <c r="P612" s="42">
        <v>37.5</v>
      </c>
      <c r="Q612" s="42">
        <v>27.11</v>
      </c>
      <c r="R612" s="46" t="s">
        <v>29</v>
      </c>
      <c r="S612" s="43">
        <v>44182</v>
      </c>
      <c r="T612" s="51">
        <f t="shared" si="26"/>
        <v>3</v>
      </c>
      <c r="U612" s="52" t="str">
        <f t="shared" si="27"/>
        <v>Detectável</v>
      </c>
    </row>
    <row r="613" spans="1:21" ht="25.5" customHeight="1" x14ac:dyDescent="0.2">
      <c r="A613" s="51">
        <v>612</v>
      </c>
      <c r="B613" s="50" t="s">
        <v>1549</v>
      </c>
      <c r="C613" s="51">
        <v>46</v>
      </c>
      <c r="D613" s="51" t="s">
        <v>25</v>
      </c>
      <c r="E613" s="43" t="s">
        <v>1525</v>
      </c>
      <c r="F613" s="44" t="s">
        <v>60</v>
      </c>
      <c r="G613" s="51">
        <v>245</v>
      </c>
      <c r="H613" s="43">
        <v>44180</v>
      </c>
      <c r="I613" s="43" t="s">
        <v>1505</v>
      </c>
      <c r="J613" s="43">
        <v>44180</v>
      </c>
      <c r="K613" s="42">
        <v>21.4</v>
      </c>
      <c r="L613" s="42">
        <v>28.5</v>
      </c>
      <c r="M613" s="44" t="s">
        <v>29</v>
      </c>
      <c r="N613" s="43" t="s">
        <v>1522</v>
      </c>
      <c r="O613" s="43">
        <v>44181</v>
      </c>
      <c r="P613" s="42" t="s">
        <v>36</v>
      </c>
      <c r="Q613" s="42">
        <v>26.4</v>
      </c>
      <c r="R613" s="46" t="s">
        <v>31</v>
      </c>
      <c r="S613" s="43">
        <v>44181</v>
      </c>
      <c r="T613" s="51">
        <f t="shared" si="26"/>
        <v>3</v>
      </c>
      <c r="U613" s="52" t="str">
        <f t="shared" si="27"/>
        <v>Não Detectável</v>
      </c>
    </row>
    <row r="614" spans="1:21" ht="25.5" customHeight="1" x14ac:dyDescent="0.2">
      <c r="A614" s="51">
        <v>613</v>
      </c>
      <c r="B614" s="50" t="s">
        <v>1550</v>
      </c>
      <c r="C614" s="51">
        <v>24</v>
      </c>
      <c r="D614" s="51" t="s">
        <v>34</v>
      </c>
      <c r="E614" s="43" t="s">
        <v>1525</v>
      </c>
      <c r="F614" s="44" t="s">
        <v>60</v>
      </c>
      <c r="G614" s="51">
        <v>245</v>
      </c>
      <c r="H614" s="43">
        <v>44180</v>
      </c>
      <c r="I614" s="43" t="s">
        <v>1505</v>
      </c>
      <c r="J614" s="43">
        <v>44180</v>
      </c>
      <c r="K614" s="42">
        <v>21.4</v>
      </c>
      <c r="L614" s="42">
        <v>28.5</v>
      </c>
      <c r="M614" s="44" t="s">
        <v>29</v>
      </c>
      <c r="N614" s="43" t="s">
        <v>1522</v>
      </c>
      <c r="O614" s="43">
        <v>44181</v>
      </c>
      <c r="P614" s="42">
        <v>21.3</v>
      </c>
      <c r="Q614" s="42">
        <v>28.7</v>
      </c>
      <c r="R614" s="46" t="s">
        <v>29</v>
      </c>
      <c r="S614" s="43">
        <v>44181</v>
      </c>
      <c r="T614" s="51">
        <f t="shared" si="26"/>
        <v>3</v>
      </c>
      <c r="U614" s="52" t="str">
        <f t="shared" si="27"/>
        <v>Detectável</v>
      </c>
    </row>
    <row r="615" spans="1:21" ht="25.5" customHeight="1" x14ac:dyDescent="0.2">
      <c r="A615" s="51">
        <v>614</v>
      </c>
      <c r="B615" s="50" t="s">
        <v>1551</v>
      </c>
      <c r="C615" s="51">
        <v>27</v>
      </c>
      <c r="D615" s="51" t="s">
        <v>34</v>
      </c>
      <c r="E615" s="43" t="s">
        <v>1525</v>
      </c>
      <c r="F615" s="44" t="s">
        <v>60</v>
      </c>
      <c r="G615" s="51">
        <v>246</v>
      </c>
      <c r="H615" s="43">
        <v>44180</v>
      </c>
      <c r="I615" s="43" t="s">
        <v>1505</v>
      </c>
      <c r="J615" s="43">
        <v>44180</v>
      </c>
      <c r="K615" s="42">
        <v>17.3</v>
      </c>
      <c r="L615" s="42">
        <v>28.9</v>
      </c>
      <c r="M615" s="44" t="s">
        <v>29</v>
      </c>
      <c r="N615" s="43" t="s">
        <v>1522</v>
      </c>
      <c r="O615" s="43">
        <v>44181</v>
      </c>
      <c r="P615" s="42">
        <v>19.3</v>
      </c>
      <c r="Q615" s="42">
        <v>28.6</v>
      </c>
      <c r="R615" s="46" t="s">
        <v>29</v>
      </c>
      <c r="S615" s="43">
        <v>44181</v>
      </c>
      <c r="T615" s="51">
        <f t="shared" si="26"/>
        <v>3</v>
      </c>
      <c r="U615" s="52" t="str">
        <f t="shared" si="27"/>
        <v>Detectável</v>
      </c>
    </row>
    <row r="616" spans="1:21" ht="25.5" customHeight="1" x14ac:dyDescent="0.2">
      <c r="A616" s="51">
        <v>615</v>
      </c>
      <c r="B616" s="50" t="s">
        <v>1552</v>
      </c>
      <c r="C616" s="51">
        <v>27</v>
      </c>
      <c r="D616" s="51" t="s">
        <v>34</v>
      </c>
      <c r="E616" s="43" t="s">
        <v>1525</v>
      </c>
      <c r="F616" s="44" t="s">
        <v>60</v>
      </c>
      <c r="G616" s="51">
        <v>246</v>
      </c>
      <c r="H616" s="43">
        <v>44180</v>
      </c>
      <c r="I616" s="43" t="s">
        <v>1505</v>
      </c>
      <c r="J616" s="43">
        <v>44180</v>
      </c>
      <c r="K616" s="42">
        <v>17.3</v>
      </c>
      <c r="L616" s="42">
        <v>28.9</v>
      </c>
      <c r="M616" s="44" t="s">
        <v>29</v>
      </c>
      <c r="N616" s="43" t="s">
        <v>1522</v>
      </c>
      <c r="O616" s="43">
        <v>44181</v>
      </c>
      <c r="P616" s="42" t="s">
        <v>36</v>
      </c>
      <c r="Q616" s="42">
        <v>29.7</v>
      </c>
      <c r="R616" s="46" t="s">
        <v>31</v>
      </c>
      <c r="S616" s="43">
        <v>44181</v>
      </c>
      <c r="T616" s="51">
        <f t="shared" si="26"/>
        <v>3</v>
      </c>
      <c r="U616" s="52" t="str">
        <f t="shared" si="27"/>
        <v>Não Detectável</v>
      </c>
    </row>
    <row r="617" spans="1:21" ht="25.5" customHeight="1" x14ac:dyDescent="0.2">
      <c r="A617" s="51">
        <v>616</v>
      </c>
      <c r="B617" s="50" t="s">
        <v>1553</v>
      </c>
      <c r="C617" s="51">
        <v>75</v>
      </c>
      <c r="D617" s="51" t="s">
        <v>25</v>
      </c>
      <c r="E617" s="43" t="s">
        <v>1525</v>
      </c>
      <c r="F617" s="44" t="s">
        <v>60</v>
      </c>
      <c r="G617" s="51">
        <v>246</v>
      </c>
      <c r="H617" s="43">
        <v>44180</v>
      </c>
      <c r="I617" s="43" t="s">
        <v>1505</v>
      </c>
      <c r="J617" s="43">
        <v>44180</v>
      </c>
      <c r="K617" s="42">
        <v>17.3</v>
      </c>
      <c r="L617" s="42">
        <v>28.9</v>
      </c>
      <c r="M617" s="44" t="s">
        <v>29</v>
      </c>
      <c r="N617" s="43" t="s">
        <v>1522</v>
      </c>
      <c r="O617" s="43">
        <v>44181</v>
      </c>
      <c r="P617" s="42">
        <v>19.899999999999999</v>
      </c>
      <c r="Q617" s="42">
        <v>29.5</v>
      </c>
      <c r="R617" s="46" t="s">
        <v>29</v>
      </c>
      <c r="S617" s="43">
        <v>44181</v>
      </c>
      <c r="T617" s="51">
        <f t="shared" si="26"/>
        <v>3</v>
      </c>
      <c r="U617" s="52" t="str">
        <f t="shared" si="27"/>
        <v>Detectável</v>
      </c>
    </row>
    <row r="618" spans="1:21" ht="25.5" customHeight="1" x14ac:dyDescent="0.2">
      <c r="A618" s="51">
        <v>617</v>
      </c>
      <c r="B618" s="50" t="s">
        <v>1554</v>
      </c>
      <c r="C618" s="51">
        <v>39</v>
      </c>
      <c r="D618" s="51" t="s">
        <v>25</v>
      </c>
      <c r="E618" s="43" t="s">
        <v>1525</v>
      </c>
      <c r="F618" s="44" t="s">
        <v>60</v>
      </c>
      <c r="G618" s="51">
        <v>247</v>
      </c>
      <c r="H618" s="43">
        <v>44180</v>
      </c>
      <c r="I618" s="43" t="s">
        <v>1522</v>
      </c>
      <c r="J618" s="43">
        <v>44181</v>
      </c>
      <c r="K618" s="42" t="s">
        <v>36</v>
      </c>
      <c r="L618" s="42">
        <v>29</v>
      </c>
      <c r="M618" s="45" t="s">
        <v>31</v>
      </c>
      <c r="N618" s="43" t="s">
        <v>60</v>
      </c>
      <c r="O618" s="43" t="s">
        <v>60</v>
      </c>
      <c r="P618" s="42" t="s">
        <v>60</v>
      </c>
      <c r="Q618" s="42" t="s">
        <v>60</v>
      </c>
      <c r="R618" s="46" t="s">
        <v>60</v>
      </c>
      <c r="S618" s="43">
        <v>44181</v>
      </c>
      <c r="T618" s="51">
        <f t="shared" si="26"/>
        <v>3</v>
      </c>
      <c r="U618" s="52" t="str">
        <f t="shared" si="27"/>
        <v>Não Detectável</v>
      </c>
    </row>
    <row r="619" spans="1:21" ht="25.5" customHeight="1" x14ac:dyDescent="0.2">
      <c r="A619" s="51">
        <v>618</v>
      </c>
      <c r="B619" s="50" t="s">
        <v>1555</v>
      </c>
      <c r="C619" s="51">
        <v>20</v>
      </c>
      <c r="D619" s="51" t="s">
        <v>25</v>
      </c>
      <c r="E619" s="43" t="s">
        <v>1525</v>
      </c>
      <c r="F619" s="44" t="s">
        <v>60</v>
      </c>
      <c r="G619" s="51">
        <v>247</v>
      </c>
      <c r="H619" s="43">
        <v>44180</v>
      </c>
      <c r="I619" s="43" t="s">
        <v>1522</v>
      </c>
      <c r="J619" s="43">
        <v>44181</v>
      </c>
      <c r="K619" s="42" t="s">
        <v>36</v>
      </c>
      <c r="L619" s="42">
        <v>29</v>
      </c>
      <c r="M619" s="45" t="s">
        <v>31</v>
      </c>
      <c r="N619" s="43" t="s">
        <v>60</v>
      </c>
      <c r="O619" s="43" t="s">
        <v>60</v>
      </c>
      <c r="P619" s="42" t="s">
        <v>60</v>
      </c>
      <c r="Q619" s="42" t="s">
        <v>60</v>
      </c>
      <c r="R619" s="46" t="s">
        <v>60</v>
      </c>
      <c r="S619" s="43">
        <v>44181</v>
      </c>
      <c r="T619" s="51">
        <f t="shared" si="26"/>
        <v>3</v>
      </c>
      <c r="U619" s="52" t="str">
        <f t="shared" si="27"/>
        <v>Não Detectável</v>
      </c>
    </row>
    <row r="620" spans="1:21" ht="25.5" customHeight="1" x14ac:dyDescent="0.2">
      <c r="A620" s="51">
        <v>619</v>
      </c>
      <c r="B620" s="50" t="s">
        <v>1556</v>
      </c>
      <c r="C620" s="51">
        <v>24</v>
      </c>
      <c r="D620" s="51" t="s">
        <v>34</v>
      </c>
      <c r="E620" s="43" t="s">
        <v>1557</v>
      </c>
      <c r="F620" s="44" t="s">
        <v>60</v>
      </c>
      <c r="G620" s="51">
        <v>247</v>
      </c>
      <c r="H620" s="43">
        <v>44181</v>
      </c>
      <c r="I620" s="43" t="s">
        <v>1522</v>
      </c>
      <c r="J620" s="43">
        <v>44181</v>
      </c>
      <c r="K620" s="42" t="s">
        <v>36</v>
      </c>
      <c r="L620" s="42">
        <v>29</v>
      </c>
      <c r="M620" s="45" t="s">
        <v>31</v>
      </c>
      <c r="N620" s="43" t="s">
        <v>60</v>
      </c>
      <c r="O620" s="43" t="s">
        <v>60</v>
      </c>
      <c r="P620" s="42" t="s">
        <v>60</v>
      </c>
      <c r="Q620" s="42" t="s">
        <v>60</v>
      </c>
      <c r="R620" s="46" t="s">
        <v>60</v>
      </c>
      <c r="S620" s="43">
        <v>44181</v>
      </c>
      <c r="T620" s="51">
        <f t="shared" si="26"/>
        <v>3</v>
      </c>
      <c r="U620" s="52" t="str">
        <f t="shared" si="27"/>
        <v>Não Detectável</v>
      </c>
    </row>
    <row r="621" spans="1:21" ht="25.5" customHeight="1" x14ac:dyDescent="0.2">
      <c r="A621" s="51">
        <v>620</v>
      </c>
      <c r="B621" s="50" t="s">
        <v>1558</v>
      </c>
      <c r="C621" s="51">
        <v>43</v>
      </c>
      <c r="D621" s="51" t="s">
        <v>25</v>
      </c>
      <c r="E621" s="43" t="s">
        <v>1557</v>
      </c>
      <c r="F621" s="44" t="s">
        <v>60</v>
      </c>
      <c r="G621" s="51">
        <v>248</v>
      </c>
      <c r="H621" s="43">
        <v>44181</v>
      </c>
      <c r="I621" s="43" t="s">
        <v>1522</v>
      </c>
      <c r="J621" s="43">
        <v>44181</v>
      </c>
      <c r="K621" s="42" t="s">
        <v>36</v>
      </c>
      <c r="L621" s="42">
        <v>28.4</v>
      </c>
      <c r="M621" s="45" t="s">
        <v>31</v>
      </c>
      <c r="N621" s="43" t="s">
        <v>60</v>
      </c>
      <c r="O621" s="43" t="s">
        <v>60</v>
      </c>
      <c r="P621" s="42" t="s">
        <v>60</v>
      </c>
      <c r="Q621" s="42" t="s">
        <v>60</v>
      </c>
      <c r="R621" s="46" t="s">
        <v>60</v>
      </c>
      <c r="S621" s="43">
        <v>44181</v>
      </c>
      <c r="T621" s="51">
        <f t="shared" si="26"/>
        <v>3</v>
      </c>
      <c r="U621" s="52" t="str">
        <f t="shared" si="27"/>
        <v>Não Detectável</v>
      </c>
    </row>
    <row r="622" spans="1:21" ht="25.5" customHeight="1" x14ac:dyDescent="0.2">
      <c r="A622" s="51">
        <v>621</v>
      </c>
      <c r="B622" s="50" t="s">
        <v>1559</v>
      </c>
      <c r="C622" s="51">
        <v>33</v>
      </c>
      <c r="D622" s="51" t="s">
        <v>34</v>
      </c>
      <c r="E622" s="43" t="s">
        <v>1557</v>
      </c>
      <c r="F622" s="44" t="s">
        <v>60</v>
      </c>
      <c r="G622" s="51">
        <v>248</v>
      </c>
      <c r="H622" s="43">
        <v>44181</v>
      </c>
      <c r="I622" s="43" t="s">
        <v>1522</v>
      </c>
      <c r="J622" s="43">
        <v>44181</v>
      </c>
      <c r="K622" s="42" t="s">
        <v>36</v>
      </c>
      <c r="L622" s="42">
        <v>28.4</v>
      </c>
      <c r="M622" s="45" t="s">
        <v>31</v>
      </c>
      <c r="N622" s="43" t="s">
        <v>60</v>
      </c>
      <c r="O622" s="43" t="s">
        <v>60</v>
      </c>
      <c r="P622" s="42" t="s">
        <v>60</v>
      </c>
      <c r="Q622" s="42" t="s">
        <v>60</v>
      </c>
      <c r="R622" s="46" t="s">
        <v>60</v>
      </c>
      <c r="S622" s="43">
        <v>44181</v>
      </c>
      <c r="T622" s="51">
        <f t="shared" si="26"/>
        <v>3</v>
      </c>
      <c r="U622" s="52" t="str">
        <f t="shared" si="27"/>
        <v>Não Detectável</v>
      </c>
    </row>
    <row r="623" spans="1:21" ht="25.5" customHeight="1" x14ac:dyDescent="0.2">
      <c r="A623" s="51">
        <v>622</v>
      </c>
      <c r="B623" s="50" t="s">
        <v>1560</v>
      </c>
      <c r="C623" s="51">
        <v>24</v>
      </c>
      <c r="D623" s="51" t="s">
        <v>25</v>
      </c>
      <c r="E623" s="43" t="s">
        <v>1557</v>
      </c>
      <c r="F623" s="44" t="s">
        <v>60</v>
      </c>
      <c r="G623" s="51">
        <v>248</v>
      </c>
      <c r="H623" s="43">
        <v>44181</v>
      </c>
      <c r="I623" s="43" t="s">
        <v>1522</v>
      </c>
      <c r="J623" s="43">
        <v>44181</v>
      </c>
      <c r="K623" s="42" t="s">
        <v>36</v>
      </c>
      <c r="L623" s="42">
        <v>28.4</v>
      </c>
      <c r="M623" s="45" t="s">
        <v>31</v>
      </c>
      <c r="N623" s="43" t="s">
        <v>60</v>
      </c>
      <c r="O623" s="43" t="s">
        <v>60</v>
      </c>
      <c r="P623" s="42" t="s">
        <v>60</v>
      </c>
      <c r="Q623" s="42" t="s">
        <v>60</v>
      </c>
      <c r="R623" s="46" t="s">
        <v>60</v>
      </c>
      <c r="S623" s="43">
        <v>44181</v>
      </c>
      <c r="T623" s="51">
        <f t="shared" si="26"/>
        <v>3</v>
      </c>
      <c r="U623" s="52" t="str">
        <f t="shared" si="27"/>
        <v>Não Detectável</v>
      </c>
    </row>
    <row r="624" spans="1:21" ht="25.5" customHeight="1" x14ac:dyDescent="0.2">
      <c r="A624" s="51">
        <v>623</v>
      </c>
      <c r="B624" s="50" t="s">
        <v>1561</v>
      </c>
      <c r="C624" s="51">
        <v>42</v>
      </c>
      <c r="D624" s="51" t="s">
        <v>25</v>
      </c>
      <c r="E624" s="43" t="s">
        <v>1557</v>
      </c>
      <c r="F624" s="44" t="s">
        <v>60</v>
      </c>
      <c r="G624" s="51">
        <v>249</v>
      </c>
      <c r="H624" s="43">
        <v>44181</v>
      </c>
      <c r="I624" s="43" t="s">
        <v>1522</v>
      </c>
      <c r="J624" s="43">
        <v>44181</v>
      </c>
      <c r="K624" s="42" t="s">
        <v>36</v>
      </c>
      <c r="L624" s="42">
        <v>28.8</v>
      </c>
      <c r="M624" s="45" t="s">
        <v>31</v>
      </c>
      <c r="N624" s="43" t="s">
        <v>60</v>
      </c>
      <c r="O624" s="43" t="s">
        <v>60</v>
      </c>
      <c r="P624" s="42" t="s">
        <v>60</v>
      </c>
      <c r="Q624" s="42" t="s">
        <v>60</v>
      </c>
      <c r="R624" s="46" t="s">
        <v>60</v>
      </c>
      <c r="S624" s="43">
        <v>44181</v>
      </c>
      <c r="T624" s="51">
        <f t="shared" si="26"/>
        <v>3</v>
      </c>
      <c r="U624" s="52" t="str">
        <f t="shared" si="27"/>
        <v>Não Detectável</v>
      </c>
    </row>
    <row r="625" spans="1:21" ht="25.5" customHeight="1" x14ac:dyDescent="0.2">
      <c r="A625" s="51">
        <v>624</v>
      </c>
      <c r="B625" s="50" t="s">
        <v>1562</v>
      </c>
      <c r="C625" s="51">
        <v>26</v>
      </c>
      <c r="D625" s="51" t="s">
        <v>25</v>
      </c>
      <c r="E625" s="43" t="s">
        <v>1557</v>
      </c>
      <c r="F625" s="44" t="s">
        <v>60</v>
      </c>
      <c r="G625" s="51">
        <v>249</v>
      </c>
      <c r="H625" s="43">
        <v>44181</v>
      </c>
      <c r="I625" s="43" t="s">
        <v>1522</v>
      </c>
      <c r="J625" s="43">
        <v>44181</v>
      </c>
      <c r="K625" s="42" t="s">
        <v>36</v>
      </c>
      <c r="L625" s="42">
        <v>28.8</v>
      </c>
      <c r="M625" s="45" t="s">
        <v>31</v>
      </c>
      <c r="N625" s="43" t="s">
        <v>60</v>
      </c>
      <c r="O625" s="43" t="s">
        <v>60</v>
      </c>
      <c r="P625" s="42" t="s">
        <v>60</v>
      </c>
      <c r="Q625" s="42" t="s">
        <v>60</v>
      </c>
      <c r="R625" s="46" t="s">
        <v>60</v>
      </c>
      <c r="S625" s="43">
        <v>44181</v>
      </c>
      <c r="T625" s="51">
        <f t="shared" si="26"/>
        <v>3</v>
      </c>
      <c r="U625" s="52" t="str">
        <f t="shared" si="27"/>
        <v>Não Detectável</v>
      </c>
    </row>
    <row r="626" spans="1:21" ht="25.5" customHeight="1" x14ac:dyDescent="0.2">
      <c r="A626" s="51">
        <v>625</v>
      </c>
      <c r="B626" s="50" t="s">
        <v>1563</v>
      </c>
      <c r="C626" s="51">
        <v>59</v>
      </c>
      <c r="D626" s="51" t="s">
        <v>34</v>
      </c>
      <c r="E626" s="43" t="s">
        <v>1557</v>
      </c>
      <c r="F626" s="44" t="s">
        <v>60</v>
      </c>
      <c r="G626" s="51">
        <v>249</v>
      </c>
      <c r="H626" s="43">
        <v>44181</v>
      </c>
      <c r="I626" s="43" t="s">
        <v>1522</v>
      </c>
      <c r="J626" s="43">
        <v>44181</v>
      </c>
      <c r="K626" s="42" t="s">
        <v>36</v>
      </c>
      <c r="L626" s="42">
        <v>28.8</v>
      </c>
      <c r="M626" s="45" t="s">
        <v>31</v>
      </c>
      <c r="N626" s="43" t="s">
        <v>60</v>
      </c>
      <c r="O626" s="43" t="s">
        <v>60</v>
      </c>
      <c r="P626" s="42" t="s">
        <v>60</v>
      </c>
      <c r="Q626" s="42" t="s">
        <v>60</v>
      </c>
      <c r="R626" s="46" t="s">
        <v>60</v>
      </c>
      <c r="S626" s="43">
        <v>44181</v>
      </c>
      <c r="T626" s="51">
        <f t="shared" si="26"/>
        <v>3</v>
      </c>
      <c r="U626" s="52" t="str">
        <f t="shared" si="27"/>
        <v>Não Detectável</v>
      </c>
    </row>
    <row r="627" spans="1:21" ht="25.5" customHeight="1" x14ac:dyDescent="0.2">
      <c r="A627" s="51">
        <v>626</v>
      </c>
      <c r="B627" s="50" t="s">
        <v>1564</v>
      </c>
      <c r="C627" s="51">
        <v>22</v>
      </c>
      <c r="D627" s="51" t="s">
        <v>25</v>
      </c>
      <c r="E627" s="43" t="s">
        <v>1557</v>
      </c>
      <c r="F627" s="44" t="s">
        <v>60</v>
      </c>
      <c r="G627" s="51">
        <v>250</v>
      </c>
      <c r="H627" s="43">
        <v>44181</v>
      </c>
      <c r="I627" s="43" t="s">
        <v>1522</v>
      </c>
      <c r="J627" s="43">
        <v>44181</v>
      </c>
      <c r="K627" s="42">
        <v>17.899999999999999</v>
      </c>
      <c r="L627" s="42">
        <v>28.4</v>
      </c>
      <c r="M627" s="44" t="s">
        <v>29</v>
      </c>
      <c r="N627" s="43" t="s">
        <v>1548</v>
      </c>
      <c r="O627" s="43">
        <v>44182</v>
      </c>
      <c r="P627" s="42">
        <v>14.5</v>
      </c>
      <c r="Q627" s="42">
        <v>27</v>
      </c>
      <c r="R627" s="46" t="s">
        <v>29</v>
      </c>
      <c r="S627" s="43">
        <v>44182</v>
      </c>
      <c r="T627" s="51">
        <f t="shared" si="26"/>
        <v>3</v>
      </c>
      <c r="U627" s="52" t="str">
        <f t="shared" si="27"/>
        <v>Detectável</v>
      </c>
    </row>
    <row r="628" spans="1:21" ht="25.5" customHeight="1" x14ac:dyDescent="0.2">
      <c r="A628" s="51">
        <v>627</v>
      </c>
      <c r="B628" s="50" t="s">
        <v>1565</v>
      </c>
      <c r="C628" s="51">
        <v>42</v>
      </c>
      <c r="D628" s="51" t="s">
        <v>25</v>
      </c>
      <c r="E628" s="43" t="s">
        <v>1557</v>
      </c>
      <c r="F628" s="44" t="s">
        <v>60</v>
      </c>
      <c r="G628" s="51">
        <v>250</v>
      </c>
      <c r="H628" s="43">
        <v>44181</v>
      </c>
      <c r="I628" s="43" t="s">
        <v>1522</v>
      </c>
      <c r="J628" s="43">
        <v>44181</v>
      </c>
      <c r="K628" s="42">
        <v>17.899999999999999</v>
      </c>
      <c r="L628" s="42">
        <v>28.4</v>
      </c>
      <c r="M628" s="44" t="s">
        <v>29</v>
      </c>
      <c r="N628" s="43" t="s">
        <v>1548</v>
      </c>
      <c r="O628" s="43">
        <v>44182</v>
      </c>
      <c r="P628" s="42" t="s">
        <v>36</v>
      </c>
      <c r="Q628" s="42">
        <v>28.1</v>
      </c>
      <c r="R628" s="46" t="s">
        <v>31</v>
      </c>
      <c r="S628" s="43">
        <v>44182</v>
      </c>
      <c r="T628" s="51">
        <f t="shared" si="26"/>
        <v>3</v>
      </c>
      <c r="U628" s="52" t="str">
        <f t="shared" si="27"/>
        <v>Não Detectável</v>
      </c>
    </row>
    <row r="629" spans="1:21" ht="25.5" customHeight="1" x14ac:dyDescent="0.2">
      <c r="A629" s="51">
        <v>628</v>
      </c>
      <c r="B629" s="50" t="s">
        <v>1566</v>
      </c>
      <c r="C629" s="51">
        <v>38</v>
      </c>
      <c r="D629" s="51" t="s">
        <v>25</v>
      </c>
      <c r="E629" s="43" t="s">
        <v>1557</v>
      </c>
      <c r="F629" s="44" t="s">
        <v>60</v>
      </c>
      <c r="G629" s="51">
        <v>250</v>
      </c>
      <c r="H629" s="43">
        <v>44181</v>
      </c>
      <c r="I629" s="43" t="s">
        <v>1522</v>
      </c>
      <c r="J629" s="43">
        <v>44181</v>
      </c>
      <c r="K629" s="42">
        <v>17.899999999999999</v>
      </c>
      <c r="L629" s="42">
        <v>28.4</v>
      </c>
      <c r="M629" s="44" t="s">
        <v>29</v>
      </c>
      <c r="N629" s="43" t="s">
        <v>1548</v>
      </c>
      <c r="O629" s="43">
        <v>44182</v>
      </c>
      <c r="P629" s="42" t="s">
        <v>36</v>
      </c>
      <c r="Q629" s="42">
        <v>26.8</v>
      </c>
      <c r="R629" s="46" t="s">
        <v>31</v>
      </c>
      <c r="S629" s="43">
        <v>44182</v>
      </c>
      <c r="T629" s="51">
        <f t="shared" ref="T629:T692" si="28">COUNTIF(G:G,G629)</f>
        <v>3</v>
      </c>
      <c r="U629" s="52" t="str">
        <f t="shared" ref="U629:U692" si="29">IF(M629="Não Detectável","Não Detectável",IF(R629="","",R629))</f>
        <v>Não Detectável</v>
      </c>
    </row>
    <row r="630" spans="1:21" ht="25.5" customHeight="1" x14ac:dyDescent="0.2">
      <c r="A630" s="51">
        <v>629</v>
      </c>
      <c r="B630" s="50" t="s">
        <v>1567</v>
      </c>
      <c r="C630" s="51">
        <v>26</v>
      </c>
      <c r="D630" s="51" t="s">
        <v>25</v>
      </c>
      <c r="E630" s="43" t="s">
        <v>1557</v>
      </c>
      <c r="F630" s="44" t="s">
        <v>60</v>
      </c>
      <c r="G630" s="51">
        <v>251</v>
      </c>
      <c r="H630" s="43">
        <v>44181</v>
      </c>
      <c r="I630" s="43" t="s">
        <v>1522</v>
      </c>
      <c r="J630" s="43">
        <v>44181</v>
      </c>
      <c r="K630" s="42">
        <v>28.9</v>
      </c>
      <c r="L630" s="42">
        <v>30</v>
      </c>
      <c r="M630" s="44" t="s">
        <v>29</v>
      </c>
      <c r="N630" s="43" t="s">
        <v>1548</v>
      </c>
      <c r="O630" s="43">
        <v>44182</v>
      </c>
      <c r="P630" s="42">
        <v>24.2</v>
      </c>
      <c r="Q630" s="42">
        <v>27.8</v>
      </c>
      <c r="R630" s="46" t="s">
        <v>29</v>
      </c>
      <c r="S630" s="43">
        <v>44182</v>
      </c>
      <c r="T630" s="51">
        <f t="shared" si="28"/>
        <v>3</v>
      </c>
      <c r="U630" s="52" t="str">
        <f t="shared" si="29"/>
        <v>Detectável</v>
      </c>
    </row>
    <row r="631" spans="1:21" ht="25.5" customHeight="1" x14ac:dyDescent="0.2">
      <c r="A631" s="51">
        <v>630</v>
      </c>
      <c r="B631" s="50" t="s">
        <v>1568</v>
      </c>
      <c r="C631" s="51">
        <v>30</v>
      </c>
      <c r="D631" s="51" t="s">
        <v>34</v>
      </c>
      <c r="E631" s="43" t="s">
        <v>1557</v>
      </c>
      <c r="F631" s="44" t="s">
        <v>60</v>
      </c>
      <c r="G631" s="51">
        <v>251</v>
      </c>
      <c r="H631" s="43">
        <v>44181</v>
      </c>
      <c r="I631" s="43" t="s">
        <v>1522</v>
      </c>
      <c r="J631" s="43">
        <v>44181</v>
      </c>
      <c r="K631" s="42">
        <v>28.9</v>
      </c>
      <c r="L631" s="42">
        <v>30</v>
      </c>
      <c r="M631" s="44" t="s">
        <v>29</v>
      </c>
      <c r="N631" s="43" t="s">
        <v>1548</v>
      </c>
      <c r="O631" s="43">
        <v>44182</v>
      </c>
      <c r="P631" s="42" t="s">
        <v>36</v>
      </c>
      <c r="Q631" s="42">
        <v>28.3</v>
      </c>
      <c r="R631" s="46" t="s">
        <v>31</v>
      </c>
      <c r="S631" s="43">
        <v>44182</v>
      </c>
      <c r="T631" s="51">
        <f t="shared" si="28"/>
        <v>3</v>
      </c>
      <c r="U631" s="52" t="str">
        <f t="shared" si="29"/>
        <v>Não Detectável</v>
      </c>
    </row>
    <row r="632" spans="1:21" ht="25.5" customHeight="1" x14ac:dyDescent="0.2">
      <c r="A632" s="51">
        <v>631</v>
      </c>
      <c r="B632" s="50" t="s">
        <v>1569</v>
      </c>
      <c r="C632" s="51">
        <v>71</v>
      </c>
      <c r="D632" s="51" t="s">
        <v>25</v>
      </c>
      <c r="E632" s="43" t="s">
        <v>1557</v>
      </c>
      <c r="F632" s="44" t="s">
        <v>60</v>
      </c>
      <c r="G632" s="51">
        <v>251</v>
      </c>
      <c r="H632" s="43">
        <v>44181</v>
      </c>
      <c r="I632" s="43" t="s">
        <v>1522</v>
      </c>
      <c r="J632" s="43">
        <v>44181</v>
      </c>
      <c r="K632" s="42">
        <v>28.9</v>
      </c>
      <c r="L632" s="42">
        <v>30</v>
      </c>
      <c r="M632" s="44" t="s">
        <v>29</v>
      </c>
      <c r="N632" s="43" t="s">
        <v>1548</v>
      </c>
      <c r="O632" s="43">
        <v>44182</v>
      </c>
      <c r="P632" s="42" t="s">
        <v>36</v>
      </c>
      <c r="Q632" s="42">
        <v>29.1</v>
      </c>
      <c r="R632" s="46" t="s">
        <v>31</v>
      </c>
      <c r="S632" s="43">
        <v>44182</v>
      </c>
      <c r="T632" s="51">
        <f t="shared" si="28"/>
        <v>3</v>
      </c>
      <c r="U632" s="52" t="str">
        <f t="shared" si="29"/>
        <v>Não Detectável</v>
      </c>
    </row>
    <row r="633" spans="1:21" ht="25.5" customHeight="1" x14ac:dyDescent="0.2">
      <c r="A633" s="51">
        <v>632</v>
      </c>
      <c r="B633" s="50" t="s">
        <v>1570</v>
      </c>
      <c r="C633" s="51">
        <v>31</v>
      </c>
      <c r="D633" s="51" t="s">
        <v>25</v>
      </c>
      <c r="E633" s="43" t="s">
        <v>1557</v>
      </c>
      <c r="F633" s="44" t="s">
        <v>60</v>
      </c>
      <c r="G633" s="51">
        <v>252</v>
      </c>
      <c r="H633" s="43">
        <v>44181</v>
      </c>
      <c r="I633" s="43" t="s">
        <v>1522</v>
      </c>
      <c r="J633" s="43">
        <v>44181</v>
      </c>
      <c r="K633" s="42" t="s">
        <v>36</v>
      </c>
      <c r="L633" s="42">
        <v>29.4</v>
      </c>
      <c r="M633" s="45" t="s">
        <v>31</v>
      </c>
      <c r="N633" s="43" t="s">
        <v>60</v>
      </c>
      <c r="O633" s="43" t="s">
        <v>60</v>
      </c>
      <c r="P633" s="42" t="s">
        <v>60</v>
      </c>
      <c r="Q633" s="42" t="s">
        <v>60</v>
      </c>
      <c r="R633" s="46" t="s">
        <v>60</v>
      </c>
      <c r="S633" s="43">
        <v>44181</v>
      </c>
      <c r="T633" s="51">
        <f t="shared" si="28"/>
        <v>3</v>
      </c>
      <c r="U633" s="52" t="str">
        <f t="shared" si="29"/>
        <v>Não Detectável</v>
      </c>
    </row>
    <row r="634" spans="1:21" ht="25.5" customHeight="1" x14ac:dyDescent="0.2">
      <c r="A634" s="51">
        <v>633</v>
      </c>
      <c r="B634" s="50" t="s">
        <v>1571</v>
      </c>
      <c r="C634" s="51">
        <v>44</v>
      </c>
      <c r="D634" s="51" t="s">
        <v>34</v>
      </c>
      <c r="E634" s="43" t="s">
        <v>1557</v>
      </c>
      <c r="F634" s="44" t="s">
        <v>60</v>
      </c>
      <c r="G634" s="51">
        <v>252</v>
      </c>
      <c r="H634" s="43">
        <v>44181</v>
      </c>
      <c r="I634" s="43" t="s">
        <v>1522</v>
      </c>
      <c r="J634" s="43">
        <v>44181</v>
      </c>
      <c r="K634" s="42" t="s">
        <v>36</v>
      </c>
      <c r="L634" s="42">
        <v>29.4</v>
      </c>
      <c r="M634" s="45" t="s">
        <v>31</v>
      </c>
      <c r="N634" s="43" t="s">
        <v>60</v>
      </c>
      <c r="O634" s="43" t="s">
        <v>60</v>
      </c>
      <c r="P634" s="42" t="s">
        <v>60</v>
      </c>
      <c r="Q634" s="42" t="s">
        <v>60</v>
      </c>
      <c r="R634" s="46" t="s">
        <v>60</v>
      </c>
      <c r="S634" s="43">
        <v>44181</v>
      </c>
      <c r="T634" s="51">
        <f t="shared" si="28"/>
        <v>3</v>
      </c>
      <c r="U634" s="52" t="str">
        <f t="shared" si="29"/>
        <v>Não Detectável</v>
      </c>
    </row>
    <row r="635" spans="1:21" ht="25.5" customHeight="1" x14ac:dyDescent="0.2">
      <c r="A635" s="51">
        <v>634</v>
      </c>
      <c r="B635" s="50" t="s">
        <v>1572</v>
      </c>
      <c r="C635" s="51">
        <v>20</v>
      </c>
      <c r="D635" s="51" t="s">
        <v>25</v>
      </c>
      <c r="E635" s="43" t="s">
        <v>1557</v>
      </c>
      <c r="F635" s="44" t="s">
        <v>60</v>
      </c>
      <c r="G635" s="51">
        <v>252</v>
      </c>
      <c r="H635" s="43">
        <v>44181</v>
      </c>
      <c r="I635" s="43" t="s">
        <v>1522</v>
      </c>
      <c r="J635" s="43">
        <v>44181</v>
      </c>
      <c r="K635" s="42" t="s">
        <v>36</v>
      </c>
      <c r="L635" s="42">
        <v>29.4</v>
      </c>
      <c r="M635" s="45" t="s">
        <v>31</v>
      </c>
      <c r="N635" s="43" t="s">
        <v>60</v>
      </c>
      <c r="O635" s="43" t="s">
        <v>60</v>
      </c>
      <c r="P635" s="42" t="s">
        <v>60</v>
      </c>
      <c r="Q635" s="42" t="s">
        <v>60</v>
      </c>
      <c r="R635" s="46" t="s">
        <v>60</v>
      </c>
      <c r="S635" s="43">
        <v>44181</v>
      </c>
      <c r="T635" s="51">
        <f t="shared" si="28"/>
        <v>3</v>
      </c>
      <c r="U635" s="52" t="str">
        <f t="shared" si="29"/>
        <v>Não Detectável</v>
      </c>
    </row>
    <row r="636" spans="1:21" ht="25.5" customHeight="1" x14ac:dyDescent="0.2">
      <c r="A636" s="51">
        <v>635</v>
      </c>
      <c r="B636" s="50" t="s">
        <v>1573</v>
      </c>
      <c r="C636" s="51">
        <v>53</v>
      </c>
      <c r="D636" s="51" t="s">
        <v>25</v>
      </c>
      <c r="E636" s="43" t="s">
        <v>1557</v>
      </c>
      <c r="F636" s="44" t="s">
        <v>60</v>
      </c>
      <c r="G636" s="51">
        <v>253</v>
      </c>
      <c r="H636" s="43">
        <v>44181</v>
      </c>
      <c r="I636" s="43" t="s">
        <v>1522</v>
      </c>
      <c r="J636" s="43">
        <v>44181</v>
      </c>
      <c r="K636" s="42">
        <v>25.5</v>
      </c>
      <c r="L636" s="42">
        <v>26.5</v>
      </c>
      <c r="M636" s="44" t="s">
        <v>29</v>
      </c>
      <c r="N636" s="43" t="s">
        <v>1548</v>
      </c>
      <c r="O636" s="43">
        <v>44182</v>
      </c>
      <c r="P636" s="42" t="s">
        <v>36</v>
      </c>
      <c r="Q636" s="42">
        <v>27.8</v>
      </c>
      <c r="R636" s="46" t="s">
        <v>31</v>
      </c>
      <c r="S636" s="43">
        <v>44182</v>
      </c>
      <c r="T636" s="51">
        <f t="shared" si="28"/>
        <v>3</v>
      </c>
      <c r="U636" s="52" t="str">
        <f t="shared" si="29"/>
        <v>Não Detectável</v>
      </c>
    </row>
    <row r="637" spans="1:21" ht="25.5" customHeight="1" x14ac:dyDescent="0.2">
      <c r="A637" s="51">
        <v>636</v>
      </c>
      <c r="B637" s="50" t="s">
        <v>1574</v>
      </c>
      <c r="C637" s="51">
        <v>23</v>
      </c>
      <c r="D637" s="51" t="s">
        <v>25</v>
      </c>
      <c r="E637" s="43" t="s">
        <v>1557</v>
      </c>
      <c r="F637" s="44" t="s">
        <v>60</v>
      </c>
      <c r="G637" s="51">
        <v>253</v>
      </c>
      <c r="H637" s="43">
        <v>44181</v>
      </c>
      <c r="I637" s="43" t="s">
        <v>1522</v>
      </c>
      <c r="J637" s="43">
        <v>44181</v>
      </c>
      <c r="K637" s="42">
        <v>25.5</v>
      </c>
      <c r="L637" s="42">
        <v>26.5</v>
      </c>
      <c r="M637" s="44" t="s">
        <v>29</v>
      </c>
      <c r="N637" s="43" t="s">
        <v>1548</v>
      </c>
      <c r="O637" s="43">
        <v>44182</v>
      </c>
      <c r="P637" s="42">
        <v>25.2</v>
      </c>
      <c r="Q637" s="42">
        <v>26.1</v>
      </c>
      <c r="R637" s="46" t="s">
        <v>29</v>
      </c>
      <c r="S637" s="43">
        <v>44182</v>
      </c>
      <c r="T637" s="51">
        <f t="shared" si="28"/>
        <v>3</v>
      </c>
      <c r="U637" s="52" t="str">
        <f t="shared" si="29"/>
        <v>Detectável</v>
      </c>
    </row>
    <row r="638" spans="1:21" ht="25.5" customHeight="1" x14ac:dyDescent="0.2">
      <c r="A638" s="51">
        <v>637</v>
      </c>
      <c r="B638" s="50" t="s">
        <v>1575</v>
      </c>
      <c r="C638" s="51">
        <v>36</v>
      </c>
      <c r="D638" s="51" t="s">
        <v>34</v>
      </c>
      <c r="E638" s="43" t="s">
        <v>1557</v>
      </c>
      <c r="F638" s="44" t="s">
        <v>60</v>
      </c>
      <c r="G638" s="51">
        <v>253</v>
      </c>
      <c r="H638" s="43">
        <v>44181</v>
      </c>
      <c r="I638" s="43" t="s">
        <v>1522</v>
      </c>
      <c r="J638" s="43">
        <v>44181</v>
      </c>
      <c r="K638" s="42">
        <v>25.5</v>
      </c>
      <c r="L638" s="42">
        <v>26.5</v>
      </c>
      <c r="M638" s="44" t="s">
        <v>29</v>
      </c>
      <c r="N638" s="43" t="s">
        <v>1548</v>
      </c>
      <c r="O638" s="43">
        <v>44182</v>
      </c>
      <c r="P638" s="42" t="s">
        <v>36</v>
      </c>
      <c r="Q638" s="42">
        <v>27.3</v>
      </c>
      <c r="R638" s="46" t="s">
        <v>31</v>
      </c>
      <c r="S638" s="43">
        <v>44182</v>
      </c>
      <c r="T638" s="51">
        <f t="shared" si="28"/>
        <v>3</v>
      </c>
      <c r="U638" s="52" t="str">
        <f t="shared" si="29"/>
        <v>Não Detectável</v>
      </c>
    </row>
    <row r="639" spans="1:21" ht="25.5" customHeight="1" x14ac:dyDescent="0.2">
      <c r="A639" s="51">
        <v>638</v>
      </c>
      <c r="B639" s="50" t="s">
        <v>1576</v>
      </c>
      <c r="C639" s="51">
        <v>20</v>
      </c>
      <c r="D639" s="51" t="s">
        <v>34</v>
      </c>
      <c r="E639" s="43" t="s">
        <v>1557</v>
      </c>
      <c r="F639" s="44" t="s">
        <v>60</v>
      </c>
      <c r="G639" s="51">
        <v>254</v>
      </c>
      <c r="H639" s="43">
        <v>44181</v>
      </c>
      <c r="I639" s="43" t="s">
        <v>1522</v>
      </c>
      <c r="J639" s="43">
        <v>44181</v>
      </c>
      <c r="K639" s="42">
        <v>22</v>
      </c>
      <c r="L639" s="42">
        <v>27</v>
      </c>
      <c r="M639" s="44" t="s">
        <v>29</v>
      </c>
      <c r="N639" s="43" t="s">
        <v>1548</v>
      </c>
      <c r="O639" s="43">
        <v>44182</v>
      </c>
      <c r="P639" s="42" t="s">
        <v>36</v>
      </c>
      <c r="Q639" s="42">
        <v>25.8</v>
      </c>
      <c r="R639" s="46" t="s">
        <v>31</v>
      </c>
      <c r="S639" s="43">
        <v>44182</v>
      </c>
      <c r="T639" s="51">
        <f t="shared" si="28"/>
        <v>3</v>
      </c>
      <c r="U639" s="52" t="str">
        <f t="shared" si="29"/>
        <v>Não Detectável</v>
      </c>
    </row>
    <row r="640" spans="1:21" ht="25.5" customHeight="1" x14ac:dyDescent="0.2">
      <c r="A640" s="51">
        <v>639</v>
      </c>
      <c r="B640" s="50" t="s">
        <v>1577</v>
      </c>
      <c r="C640" s="51">
        <v>59</v>
      </c>
      <c r="D640" s="51" t="s">
        <v>25</v>
      </c>
      <c r="E640" s="43" t="s">
        <v>1557</v>
      </c>
      <c r="F640" s="44" t="s">
        <v>60</v>
      </c>
      <c r="G640" s="51">
        <v>254</v>
      </c>
      <c r="H640" s="43">
        <v>44181</v>
      </c>
      <c r="I640" s="43" t="s">
        <v>1522</v>
      </c>
      <c r="J640" s="43">
        <v>44181</v>
      </c>
      <c r="K640" s="42">
        <v>22</v>
      </c>
      <c r="L640" s="42">
        <v>27</v>
      </c>
      <c r="M640" s="44" t="s">
        <v>29</v>
      </c>
      <c r="N640" s="43" t="s">
        <v>1548</v>
      </c>
      <c r="O640" s="43">
        <v>44182</v>
      </c>
      <c r="P640" s="42" t="s">
        <v>36</v>
      </c>
      <c r="Q640" s="42">
        <v>27</v>
      </c>
      <c r="R640" s="46" t="s">
        <v>31</v>
      </c>
      <c r="S640" s="43">
        <v>44182</v>
      </c>
      <c r="T640" s="51">
        <f t="shared" si="28"/>
        <v>3</v>
      </c>
      <c r="U640" s="52" t="str">
        <f t="shared" si="29"/>
        <v>Não Detectável</v>
      </c>
    </row>
    <row r="641" spans="1:21" ht="25.5" customHeight="1" x14ac:dyDescent="0.2">
      <c r="A641" s="51">
        <v>640</v>
      </c>
      <c r="B641" s="50" t="s">
        <v>1578</v>
      </c>
      <c r="C641" s="51">
        <v>60</v>
      </c>
      <c r="D641" s="51" t="s">
        <v>34</v>
      </c>
      <c r="E641" s="43" t="s">
        <v>1557</v>
      </c>
      <c r="F641" s="44" t="s">
        <v>60</v>
      </c>
      <c r="G641" s="51">
        <v>254</v>
      </c>
      <c r="H641" s="43">
        <v>44181</v>
      </c>
      <c r="I641" s="43" t="s">
        <v>1522</v>
      </c>
      <c r="J641" s="43">
        <v>44181</v>
      </c>
      <c r="K641" s="42">
        <v>22</v>
      </c>
      <c r="L641" s="42">
        <v>27</v>
      </c>
      <c r="M641" s="44" t="s">
        <v>29</v>
      </c>
      <c r="N641" s="43" t="s">
        <v>1548</v>
      </c>
      <c r="O641" s="43">
        <v>44182</v>
      </c>
      <c r="P641" s="42">
        <v>19.899999999999999</v>
      </c>
      <c r="Q641" s="42">
        <v>28.3</v>
      </c>
      <c r="R641" s="46" t="s">
        <v>29</v>
      </c>
      <c r="S641" s="43">
        <v>44182</v>
      </c>
      <c r="T641" s="51">
        <f t="shared" si="28"/>
        <v>3</v>
      </c>
      <c r="U641" s="52" t="str">
        <f t="shared" si="29"/>
        <v>Detectável</v>
      </c>
    </row>
    <row r="642" spans="1:21" ht="25.5" customHeight="1" x14ac:dyDescent="0.2">
      <c r="A642" s="51">
        <v>641</v>
      </c>
      <c r="B642" s="50" t="s">
        <v>1579</v>
      </c>
      <c r="C642" s="51">
        <v>23</v>
      </c>
      <c r="D642" s="51" t="s">
        <v>34</v>
      </c>
      <c r="E642" s="43" t="s">
        <v>1557</v>
      </c>
      <c r="F642" s="44" t="s">
        <v>60</v>
      </c>
      <c r="G642" s="51">
        <v>255</v>
      </c>
      <c r="H642" s="43">
        <v>44181</v>
      </c>
      <c r="I642" s="43" t="s">
        <v>1522</v>
      </c>
      <c r="J642" s="43">
        <v>44181</v>
      </c>
      <c r="K642" s="42">
        <v>16.7</v>
      </c>
      <c r="L642" s="42">
        <v>27</v>
      </c>
      <c r="M642" s="44" t="s">
        <v>29</v>
      </c>
      <c r="N642" s="43" t="s">
        <v>1548</v>
      </c>
      <c r="O642" s="43">
        <v>44182</v>
      </c>
      <c r="P642" s="42" t="s">
        <v>36</v>
      </c>
      <c r="Q642" s="42">
        <v>26.4</v>
      </c>
      <c r="R642" s="46" t="s">
        <v>31</v>
      </c>
      <c r="S642" s="43">
        <v>44182</v>
      </c>
      <c r="T642" s="51">
        <f t="shared" si="28"/>
        <v>3</v>
      </c>
      <c r="U642" s="52" t="str">
        <f t="shared" si="29"/>
        <v>Não Detectável</v>
      </c>
    </row>
    <row r="643" spans="1:21" ht="25.5" customHeight="1" x14ac:dyDescent="0.2">
      <c r="A643" s="51">
        <v>642</v>
      </c>
      <c r="B643" s="50" t="s">
        <v>1580</v>
      </c>
      <c r="C643" s="51">
        <v>36</v>
      </c>
      <c r="D643" s="51" t="s">
        <v>25</v>
      </c>
      <c r="E643" s="43" t="s">
        <v>1557</v>
      </c>
      <c r="F643" s="44" t="s">
        <v>60</v>
      </c>
      <c r="G643" s="51">
        <v>255</v>
      </c>
      <c r="H643" s="43">
        <v>44181</v>
      </c>
      <c r="I643" s="43" t="s">
        <v>1522</v>
      </c>
      <c r="J643" s="43">
        <v>44181</v>
      </c>
      <c r="K643" s="42">
        <v>16.7</v>
      </c>
      <c r="L643" s="42">
        <v>27</v>
      </c>
      <c r="M643" s="44" t="s">
        <v>29</v>
      </c>
      <c r="N643" s="43" t="s">
        <v>1548</v>
      </c>
      <c r="O643" s="43">
        <v>44182</v>
      </c>
      <c r="P643" s="42">
        <v>27.3</v>
      </c>
      <c r="Q643" s="42">
        <v>26.9</v>
      </c>
      <c r="R643" s="46" t="s">
        <v>29</v>
      </c>
      <c r="S643" s="43">
        <v>44182</v>
      </c>
      <c r="T643" s="51">
        <f t="shared" si="28"/>
        <v>3</v>
      </c>
      <c r="U643" s="52" t="str">
        <f t="shared" si="29"/>
        <v>Detectável</v>
      </c>
    </row>
    <row r="644" spans="1:21" ht="25.5" customHeight="1" x14ac:dyDescent="0.2">
      <c r="A644" s="51">
        <v>643</v>
      </c>
      <c r="B644" s="50" t="s">
        <v>1581</v>
      </c>
      <c r="C644" s="51">
        <v>39</v>
      </c>
      <c r="D644" s="51" t="s">
        <v>25</v>
      </c>
      <c r="E644" s="43" t="s">
        <v>1557</v>
      </c>
      <c r="F644" s="44" t="s">
        <v>60</v>
      </c>
      <c r="G644" s="51">
        <v>255</v>
      </c>
      <c r="H644" s="43">
        <v>44181</v>
      </c>
      <c r="I644" s="43" t="s">
        <v>1522</v>
      </c>
      <c r="J644" s="43">
        <v>44181</v>
      </c>
      <c r="K644" s="42">
        <v>16.7</v>
      </c>
      <c r="L644" s="42">
        <v>27</v>
      </c>
      <c r="M644" s="44" t="s">
        <v>29</v>
      </c>
      <c r="N644" s="43" t="s">
        <v>1548</v>
      </c>
      <c r="O644" s="43">
        <v>44182</v>
      </c>
      <c r="P644" s="42">
        <v>16.5</v>
      </c>
      <c r="Q644" s="42">
        <v>27.8</v>
      </c>
      <c r="R644" s="46" t="s">
        <v>29</v>
      </c>
      <c r="S644" s="43">
        <v>44182</v>
      </c>
      <c r="T644" s="51">
        <f t="shared" si="28"/>
        <v>3</v>
      </c>
      <c r="U644" s="52" t="str">
        <f t="shared" si="29"/>
        <v>Detectável</v>
      </c>
    </row>
    <row r="645" spans="1:21" ht="25.5" customHeight="1" x14ac:dyDescent="0.2">
      <c r="A645" s="51">
        <v>644</v>
      </c>
      <c r="B645" s="50" t="s">
        <v>1582</v>
      </c>
      <c r="C645" s="51">
        <v>28</v>
      </c>
      <c r="D645" s="51" t="s">
        <v>25</v>
      </c>
      <c r="E645" s="43" t="s">
        <v>1583</v>
      </c>
      <c r="F645" s="44" t="s">
        <v>60</v>
      </c>
      <c r="G645" s="51">
        <v>256</v>
      </c>
      <c r="H645" s="43">
        <v>44182</v>
      </c>
      <c r="I645" s="43" t="s">
        <v>1548</v>
      </c>
      <c r="J645" s="43">
        <v>44182</v>
      </c>
      <c r="K645" s="42">
        <v>17.100000000000001</v>
      </c>
      <c r="L645" s="42">
        <v>26.9</v>
      </c>
      <c r="M645" s="43" t="s">
        <v>29</v>
      </c>
      <c r="N645" s="43" t="s">
        <v>1584</v>
      </c>
      <c r="O645" s="43">
        <v>44183</v>
      </c>
      <c r="P645" s="42" t="s">
        <v>36</v>
      </c>
      <c r="Q645" s="42">
        <v>26.2</v>
      </c>
      <c r="R645" s="46" t="s">
        <v>31</v>
      </c>
      <c r="S645" s="43">
        <v>44183</v>
      </c>
      <c r="T645" s="51">
        <f t="shared" si="28"/>
        <v>3</v>
      </c>
      <c r="U645" s="52" t="str">
        <f t="shared" si="29"/>
        <v>Não Detectável</v>
      </c>
    </row>
    <row r="646" spans="1:21" ht="25.5" customHeight="1" x14ac:dyDescent="0.2">
      <c r="A646" s="51">
        <v>645</v>
      </c>
      <c r="B646" s="50" t="s">
        <v>1585</v>
      </c>
      <c r="C646" s="51">
        <v>30</v>
      </c>
      <c r="D646" s="51" t="s">
        <v>25</v>
      </c>
      <c r="E646" s="43" t="s">
        <v>1583</v>
      </c>
      <c r="F646" s="44" t="s">
        <v>60</v>
      </c>
      <c r="G646" s="51">
        <v>256</v>
      </c>
      <c r="H646" s="43">
        <v>44182</v>
      </c>
      <c r="I646" s="43" t="s">
        <v>1548</v>
      </c>
      <c r="J646" s="43">
        <v>44182</v>
      </c>
      <c r="K646" s="42">
        <v>17.100000000000001</v>
      </c>
      <c r="L646" s="42">
        <v>26.9</v>
      </c>
      <c r="M646" s="43" t="s">
        <v>29</v>
      </c>
      <c r="N646" s="43" t="s">
        <v>1584</v>
      </c>
      <c r="O646" s="43">
        <v>44183</v>
      </c>
      <c r="P646" s="42" t="s">
        <v>36</v>
      </c>
      <c r="Q646" s="42">
        <v>28.2</v>
      </c>
      <c r="R646" s="46" t="s">
        <v>31</v>
      </c>
      <c r="S646" s="43">
        <v>44183</v>
      </c>
      <c r="T646" s="51">
        <f t="shared" si="28"/>
        <v>3</v>
      </c>
      <c r="U646" s="52" t="str">
        <f t="shared" si="29"/>
        <v>Não Detectável</v>
      </c>
    </row>
    <row r="647" spans="1:21" ht="25.5" customHeight="1" x14ac:dyDescent="0.2">
      <c r="A647" s="51">
        <v>646</v>
      </c>
      <c r="B647" s="50" t="s">
        <v>1586</v>
      </c>
      <c r="C647" s="51">
        <v>90</v>
      </c>
      <c r="D647" s="51" t="s">
        <v>34</v>
      </c>
      <c r="E647" s="43" t="s">
        <v>1583</v>
      </c>
      <c r="F647" s="44" t="s">
        <v>60</v>
      </c>
      <c r="G647" s="51">
        <v>256</v>
      </c>
      <c r="H647" s="43">
        <v>44182</v>
      </c>
      <c r="I647" s="43" t="s">
        <v>1548</v>
      </c>
      <c r="J647" s="43">
        <v>44182</v>
      </c>
      <c r="K647" s="42">
        <v>17.100000000000001</v>
      </c>
      <c r="L647" s="42">
        <v>26.9</v>
      </c>
      <c r="M647" s="43" t="s">
        <v>29</v>
      </c>
      <c r="N647" s="43" t="s">
        <v>1584</v>
      </c>
      <c r="O647" s="43">
        <v>44183</v>
      </c>
      <c r="P647" s="42">
        <v>15.6</v>
      </c>
      <c r="Q647" s="42">
        <v>26.4</v>
      </c>
      <c r="R647" s="46" t="s">
        <v>29</v>
      </c>
      <c r="S647" s="43">
        <v>44183</v>
      </c>
      <c r="T647" s="51">
        <f t="shared" si="28"/>
        <v>3</v>
      </c>
      <c r="U647" s="52" t="str">
        <f t="shared" si="29"/>
        <v>Detectável</v>
      </c>
    </row>
    <row r="648" spans="1:21" ht="25.5" customHeight="1" x14ac:dyDescent="0.2">
      <c r="A648" s="51">
        <v>647</v>
      </c>
      <c r="B648" s="50" t="s">
        <v>1587</v>
      </c>
      <c r="C648" s="51">
        <v>21</v>
      </c>
      <c r="D648" s="51" t="s">
        <v>25</v>
      </c>
      <c r="E648" s="43" t="s">
        <v>1583</v>
      </c>
      <c r="F648" s="44" t="s">
        <v>60</v>
      </c>
      <c r="G648" s="51">
        <v>257</v>
      </c>
      <c r="H648" s="43">
        <v>44182</v>
      </c>
      <c r="I648" s="43" t="s">
        <v>1548</v>
      </c>
      <c r="J648" s="43">
        <v>44182</v>
      </c>
      <c r="K648" s="42">
        <v>24</v>
      </c>
      <c r="L648" s="42">
        <v>26.9</v>
      </c>
      <c r="M648" s="43" t="s">
        <v>29</v>
      </c>
      <c r="N648" s="43" t="s">
        <v>1584</v>
      </c>
      <c r="O648" s="43">
        <v>44183</v>
      </c>
      <c r="P648" s="42" t="s">
        <v>36</v>
      </c>
      <c r="Q648" s="42">
        <v>25.8</v>
      </c>
      <c r="R648" s="46" t="s">
        <v>31</v>
      </c>
      <c r="S648" s="43">
        <v>44183</v>
      </c>
      <c r="T648" s="51">
        <f t="shared" si="28"/>
        <v>3</v>
      </c>
      <c r="U648" s="52" t="str">
        <f t="shared" si="29"/>
        <v>Não Detectável</v>
      </c>
    </row>
    <row r="649" spans="1:21" ht="25.5" customHeight="1" x14ac:dyDescent="0.2">
      <c r="A649" s="51">
        <v>648</v>
      </c>
      <c r="B649" s="50" t="s">
        <v>1588</v>
      </c>
      <c r="C649" s="51">
        <v>18</v>
      </c>
      <c r="D649" s="51" t="s">
        <v>34</v>
      </c>
      <c r="E649" s="43" t="s">
        <v>1583</v>
      </c>
      <c r="F649" s="44" t="s">
        <v>60</v>
      </c>
      <c r="G649" s="51">
        <v>257</v>
      </c>
      <c r="H649" s="43">
        <v>44182</v>
      </c>
      <c r="I649" s="43" t="s">
        <v>1548</v>
      </c>
      <c r="J649" s="43">
        <v>44182</v>
      </c>
      <c r="K649" s="42">
        <v>24</v>
      </c>
      <c r="L649" s="42">
        <v>26.9</v>
      </c>
      <c r="M649" s="43" t="s">
        <v>29</v>
      </c>
      <c r="N649" s="43" t="s">
        <v>1584</v>
      </c>
      <c r="O649" s="43">
        <v>44183</v>
      </c>
      <c r="P649" s="42">
        <v>22.1</v>
      </c>
      <c r="Q649" s="42">
        <v>25.7</v>
      </c>
      <c r="R649" s="46" t="s">
        <v>29</v>
      </c>
      <c r="S649" s="43">
        <v>44183</v>
      </c>
      <c r="T649" s="51">
        <f t="shared" si="28"/>
        <v>3</v>
      </c>
      <c r="U649" s="52" t="str">
        <f t="shared" si="29"/>
        <v>Detectável</v>
      </c>
    </row>
    <row r="650" spans="1:21" ht="25.5" customHeight="1" x14ac:dyDescent="0.2">
      <c r="A650" s="51">
        <v>649</v>
      </c>
      <c r="B650" s="50" t="s">
        <v>1589</v>
      </c>
      <c r="C650" s="51">
        <v>36</v>
      </c>
      <c r="D650" s="51" t="s">
        <v>34</v>
      </c>
      <c r="E650" s="43" t="s">
        <v>1583</v>
      </c>
      <c r="F650" s="44" t="s">
        <v>60</v>
      </c>
      <c r="G650" s="51">
        <v>257</v>
      </c>
      <c r="H650" s="43">
        <v>44182</v>
      </c>
      <c r="I650" s="43" t="s">
        <v>1548</v>
      </c>
      <c r="J650" s="43">
        <v>44182</v>
      </c>
      <c r="K650" s="42">
        <v>24</v>
      </c>
      <c r="L650" s="42">
        <v>26.9</v>
      </c>
      <c r="M650" s="43" t="s">
        <v>29</v>
      </c>
      <c r="N650" s="43" t="s">
        <v>1584</v>
      </c>
      <c r="O650" s="43">
        <v>44183</v>
      </c>
      <c r="P650" s="42" t="s">
        <v>36</v>
      </c>
      <c r="Q650" s="42">
        <v>28.7</v>
      </c>
      <c r="R650" s="46" t="s">
        <v>31</v>
      </c>
      <c r="S650" s="43">
        <v>44183</v>
      </c>
      <c r="T650" s="51">
        <f t="shared" si="28"/>
        <v>3</v>
      </c>
      <c r="U650" s="52" t="str">
        <f t="shared" si="29"/>
        <v>Não Detectável</v>
      </c>
    </row>
    <row r="651" spans="1:21" ht="25.5" customHeight="1" x14ac:dyDescent="0.2">
      <c r="A651" s="51">
        <v>650</v>
      </c>
      <c r="B651" s="50" t="s">
        <v>1590</v>
      </c>
      <c r="C651" s="51">
        <v>66</v>
      </c>
      <c r="D651" s="51" t="s">
        <v>25</v>
      </c>
      <c r="E651" s="43" t="s">
        <v>1583</v>
      </c>
      <c r="F651" s="44" t="s">
        <v>60</v>
      </c>
      <c r="G651" s="51">
        <v>258</v>
      </c>
      <c r="H651" s="43">
        <v>44182</v>
      </c>
      <c r="I651" s="43" t="s">
        <v>1548</v>
      </c>
      <c r="J651" s="43">
        <v>44182</v>
      </c>
      <c r="K651" s="42">
        <v>26.8</v>
      </c>
      <c r="L651" s="42">
        <v>19.100000000000001</v>
      </c>
      <c r="M651" s="43" t="s">
        <v>29</v>
      </c>
      <c r="N651" s="43" t="s">
        <v>1584</v>
      </c>
      <c r="O651" s="43">
        <v>44183</v>
      </c>
      <c r="P651" s="42" t="s">
        <v>36</v>
      </c>
      <c r="Q651" s="42">
        <v>24.6</v>
      </c>
      <c r="R651" s="46" t="s">
        <v>31</v>
      </c>
      <c r="S651" s="43">
        <v>44183</v>
      </c>
      <c r="T651" s="51">
        <f t="shared" si="28"/>
        <v>3</v>
      </c>
      <c r="U651" s="52" t="str">
        <f t="shared" si="29"/>
        <v>Não Detectável</v>
      </c>
    </row>
    <row r="652" spans="1:21" ht="25.5" customHeight="1" x14ac:dyDescent="0.2">
      <c r="A652" s="51">
        <v>651</v>
      </c>
      <c r="B652" s="50" t="s">
        <v>1591</v>
      </c>
      <c r="C652" s="51">
        <v>27</v>
      </c>
      <c r="D652" s="51" t="s">
        <v>25</v>
      </c>
      <c r="E652" s="43" t="s">
        <v>1583</v>
      </c>
      <c r="F652" s="44" t="s">
        <v>60</v>
      </c>
      <c r="G652" s="51">
        <v>258</v>
      </c>
      <c r="H652" s="43">
        <v>44182</v>
      </c>
      <c r="I652" s="43" t="s">
        <v>1548</v>
      </c>
      <c r="J652" s="43">
        <v>44182</v>
      </c>
      <c r="K652" s="42">
        <v>26.8</v>
      </c>
      <c r="L652" s="42">
        <v>19.100000000000001</v>
      </c>
      <c r="M652" s="43" t="s">
        <v>29</v>
      </c>
      <c r="N652" s="43" t="s">
        <v>1584</v>
      </c>
      <c r="O652" s="43">
        <v>44183</v>
      </c>
      <c r="P652" s="42" t="s">
        <v>36</v>
      </c>
      <c r="Q652" s="42">
        <v>27</v>
      </c>
      <c r="R652" s="46" t="s">
        <v>31</v>
      </c>
      <c r="S652" s="43">
        <v>44183</v>
      </c>
      <c r="T652" s="51">
        <f t="shared" si="28"/>
        <v>3</v>
      </c>
      <c r="U652" s="52" t="str">
        <f t="shared" si="29"/>
        <v>Não Detectável</v>
      </c>
    </row>
    <row r="653" spans="1:21" ht="25.5" customHeight="1" x14ac:dyDescent="0.2">
      <c r="A653" s="51">
        <v>652</v>
      </c>
      <c r="B653" s="50" t="s">
        <v>1592</v>
      </c>
      <c r="C653" s="51">
        <v>62</v>
      </c>
      <c r="D653" s="51" t="s">
        <v>25</v>
      </c>
      <c r="E653" s="43" t="s">
        <v>1583</v>
      </c>
      <c r="F653" s="44" t="s">
        <v>60</v>
      </c>
      <c r="G653" s="51">
        <v>258</v>
      </c>
      <c r="H653" s="43">
        <v>44182</v>
      </c>
      <c r="I653" s="43" t="s">
        <v>1548</v>
      </c>
      <c r="J653" s="43">
        <v>44182</v>
      </c>
      <c r="K653" s="42">
        <v>26.8</v>
      </c>
      <c r="L653" s="42">
        <v>19.100000000000001</v>
      </c>
      <c r="M653" s="43" t="s">
        <v>29</v>
      </c>
      <c r="N653" s="43" t="s">
        <v>1584</v>
      </c>
      <c r="O653" s="43">
        <v>44183</v>
      </c>
      <c r="P653" s="42">
        <v>28.8</v>
      </c>
      <c r="Q653" s="42">
        <v>27.6</v>
      </c>
      <c r="R653" s="46" t="s">
        <v>29</v>
      </c>
      <c r="S653" s="43">
        <v>44183</v>
      </c>
      <c r="T653" s="51">
        <f t="shared" si="28"/>
        <v>3</v>
      </c>
      <c r="U653" s="52" t="str">
        <f t="shared" si="29"/>
        <v>Detectável</v>
      </c>
    </row>
    <row r="654" spans="1:21" ht="25.5" customHeight="1" x14ac:dyDescent="0.2">
      <c r="A654" s="51">
        <v>653</v>
      </c>
      <c r="B654" s="50" t="s">
        <v>1593</v>
      </c>
      <c r="C654" s="51">
        <v>57</v>
      </c>
      <c r="D654" s="51" t="s">
        <v>25</v>
      </c>
      <c r="E654" s="43" t="s">
        <v>1583</v>
      </c>
      <c r="F654" s="44" t="s">
        <v>60</v>
      </c>
      <c r="G654" s="51">
        <v>259</v>
      </c>
      <c r="H654" s="43">
        <v>44182</v>
      </c>
      <c r="I654" s="43" t="s">
        <v>1548</v>
      </c>
      <c r="J654" s="43">
        <v>44182</v>
      </c>
      <c r="K654" s="42">
        <v>19.100000000000001</v>
      </c>
      <c r="L654" s="42">
        <v>26.1</v>
      </c>
      <c r="M654" s="43" t="s">
        <v>29</v>
      </c>
      <c r="N654" s="43" t="s">
        <v>1584</v>
      </c>
      <c r="O654" s="43">
        <v>44183</v>
      </c>
      <c r="P654" s="42">
        <v>22.7</v>
      </c>
      <c r="Q654" s="42">
        <v>26.7</v>
      </c>
      <c r="R654" s="46" t="s">
        <v>29</v>
      </c>
      <c r="S654" s="43">
        <v>44183</v>
      </c>
      <c r="T654" s="51">
        <f t="shared" si="28"/>
        <v>3</v>
      </c>
      <c r="U654" s="52" t="str">
        <f t="shared" si="29"/>
        <v>Detectável</v>
      </c>
    </row>
    <row r="655" spans="1:21" ht="25.5" customHeight="1" x14ac:dyDescent="0.2">
      <c r="A655" s="51">
        <v>654</v>
      </c>
      <c r="B655" s="50" t="s">
        <v>1594</v>
      </c>
      <c r="C655" s="51">
        <v>26</v>
      </c>
      <c r="D655" s="51" t="s">
        <v>25</v>
      </c>
      <c r="E655" s="43" t="s">
        <v>1583</v>
      </c>
      <c r="F655" s="44" t="s">
        <v>60</v>
      </c>
      <c r="G655" s="51">
        <v>259</v>
      </c>
      <c r="H655" s="43">
        <v>44182</v>
      </c>
      <c r="I655" s="43" t="s">
        <v>1548</v>
      </c>
      <c r="J655" s="43">
        <v>44182</v>
      </c>
      <c r="K655" s="42">
        <v>19.100000000000001</v>
      </c>
      <c r="L655" s="42">
        <v>26.1</v>
      </c>
      <c r="M655" s="43" t="s">
        <v>29</v>
      </c>
      <c r="N655" s="43" t="s">
        <v>1584</v>
      </c>
      <c r="O655" s="43">
        <v>44183</v>
      </c>
      <c r="P655" s="42">
        <v>21</v>
      </c>
      <c r="Q655" s="42">
        <v>26</v>
      </c>
      <c r="R655" s="46" t="s">
        <v>29</v>
      </c>
      <c r="S655" s="43">
        <v>44183</v>
      </c>
      <c r="T655" s="51">
        <f t="shared" si="28"/>
        <v>3</v>
      </c>
      <c r="U655" s="52" t="str">
        <f t="shared" si="29"/>
        <v>Detectável</v>
      </c>
    </row>
    <row r="656" spans="1:21" ht="25.5" customHeight="1" x14ac:dyDescent="0.2">
      <c r="A656" s="51">
        <v>655</v>
      </c>
      <c r="B656" s="50" t="s">
        <v>1595</v>
      </c>
      <c r="C656" s="51">
        <v>67</v>
      </c>
      <c r="D656" s="51" t="s">
        <v>25</v>
      </c>
      <c r="E656" s="43" t="s">
        <v>1583</v>
      </c>
      <c r="F656" s="44" t="s">
        <v>60</v>
      </c>
      <c r="G656" s="51">
        <v>259</v>
      </c>
      <c r="H656" s="43">
        <v>44182</v>
      </c>
      <c r="I656" s="43" t="s">
        <v>1548</v>
      </c>
      <c r="J656" s="43">
        <v>44182</v>
      </c>
      <c r="K656" s="42">
        <v>19.100000000000001</v>
      </c>
      <c r="L656" s="42">
        <v>26.1</v>
      </c>
      <c r="M656" s="43" t="s">
        <v>29</v>
      </c>
      <c r="N656" s="43" t="s">
        <v>1584</v>
      </c>
      <c r="O656" s="43">
        <v>44183</v>
      </c>
      <c r="P656" s="42">
        <v>16.899999999999999</v>
      </c>
      <c r="Q656" s="42">
        <v>25.5</v>
      </c>
      <c r="R656" s="46" t="s">
        <v>29</v>
      </c>
      <c r="S656" s="43">
        <v>44183</v>
      </c>
      <c r="T656" s="51">
        <f t="shared" si="28"/>
        <v>3</v>
      </c>
      <c r="U656" s="52" t="str">
        <f t="shared" si="29"/>
        <v>Detectável</v>
      </c>
    </row>
    <row r="657" spans="1:21" ht="25.5" customHeight="1" x14ac:dyDescent="0.2">
      <c r="A657" s="51">
        <v>656</v>
      </c>
      <c r="B657" s="50" t="s">
        <v>1596</v>
      </c>
      <c r="C657" s="51">
        <v>30</v>
      </c>
      <c r="D657" s="51" t="s">
        <v>25</v>
      </c>
      <c r="E657" s="43" t="s">
        <v>1583</v>
      </c>
      <c r="F657" s="44" t="s">
        <v>60</v>
      </c>
      <c r="G657" s="51">
        <v>260</v>
      </c>
      <c r="H657" s="43">
        <v>44182</v>
      </c>
      <c r="I657" s="43" t="s">
        <v>1548</v>
      </c>
      <c r="J657" s="43">
        <v>44182</v>
      </c>
      <c r="K657" s="42" t="s">
        <v>36</v>
      </c>
      <c r="L657" s="42">
        <v>27.7</v>
      </c>
      <c r="M657" s="45" t="s">
        <v>31</v>
      </c>
      <c r="N657" s="43" t="s">
        <v>60</v>
      </c>
      <c r="O657" s="43" t="s">
        <v>60</v>
      </c>
      <c r="P657" s="42" t="s">
        <v>60</v>
      </c>
      <c r="Q657" s="42" t="s">
        <v>60</v>
      </c>
      <c r="R657" s="46" t="s">
        <v>60</v>
      </c>
      <c r="S657" s="43">
        <v>44182</v>
      </c>
      <c r="T657" s="51">
        <f t="shared" si="28"/>
        <v>3</v>
      </c>
      <c r="U657" s="52" t="str">
        <f t="shared" si="29"/>
        <v>Não Detectável</v>
      </c>
    </row>
    <row r="658" spans="1:21" ht="25.5" customHeight="1" x14ac:dyDescent="0.2">
      <c r="A658" s="51">
        <v>657</v>
      </c>
      <c r="B658" s="50" t="s">
        <v>1597</v>
      </c>
      <c r="C658" s="51">
        <v>30</v>
      </c>
      <c r="D658" s="51" t="s">
        <v>34</v>
      </c>
      <c r="E658" s="43" t="s">
        <v>1583</v>
      </c>
      <c r="F658" s="44" t="s">
        <v>60</v>
      </c>
      <c r="G658" s="51">
        <v>260</v>
      </c>
      <c r="H658" s="43">
        <v>44182</v>
      </c>
      <c r="I658" s="43" t="s">
        <v>1548</v>
      </c>
      <c r="J658" s="43">
        <v>44182</v>
      </c>
      <c r="K658" s="42" t="s">
        <v>36</v>
      </c>
      <c r="L658" s="42">
        <v>27.7</v>
      </c>
      <c r="M658" s="45" t="s">
        <v>31</v>
      </c>
      <c r="N658" s="43" t="s">
        <v>60</v>
      </c>
      <c r="O658" s="43" t="s">
        <v>60</v>
      </c>
      <c r="P658" s="42" t="s">
        <v>60</v>
      </c>
      <c r="Q658" s="42" t="s">
        <v>60</v>
      </c>
      <c r="R658" s="46" t="s">
        <v>60</v>
      </c>
      <c r="S658" s="43">
        <v>44182</v>
      </c>
      <c r="T658" s="51">
        <f t="shared" si="28"/>
        <v>3</v>
      </c>
      <c r="U658" s="52" t="str">
        <f t="shared" si="29"/>
        <v>Não Detectável</v>
      </c>
    </row>
    <row r="659" spans="1:21" ht="25.5" customHeight="1" x14ac:dyDescent="0.2">
      <c r="A659" s="51">
        <v>658</v>
      </c>
      <c r="B659" s="50" t="s">
        <v>1598</v>
      </c>
      <c r="C659" s="51">
        <v>27</v>
      </c>
      <c r="D659" s="51" t="s">
        <v>25</v>
      </c>
      <c r="E659" s="43" t="s">
        <v>1583</v>
      </c>
      <c r="F659" s="44" t="s">
        <v>60</v>
      </c>
      <c r="G659" s="51">
        <v>260</v>
      </c>
      <c r="H659" s="43">
        <v>44182</v>
      </c>
      <c r="I659" s="43" t="s">
        <v>1548</v>
      </c>
      <c r="J659" s="43">
        <v>44182</v>
      </c>
      <c r="K659" s="42" t="s">
        <v>36</v>
      </c>
      <c r="L659" s="42">
        <v>27.7</v>
      </c>
      <c r="M659" s="45" t="s">
        <v>31</v>
      </c>
      <c r="N659" s="43" t="s">
        <v>60</v>
      </c>
      <c r="O659" s="43" t="s">
        <v>60</v>
      </c>
      <c r="P659" s="42" t="s">
        <v>60</v>
      </c>
      <c r="Q659" s="42" t="s">
        <v>60</v>
      </c>
      <c r="R659" s="46" t="s">
        <v>60</v>
      </c>
      <c r="S659" s="43">
        <v>44182</v>
      </c>
      <c r="T659" s="51">
        <f t="shared" si="28"/>
        <v>3</v>
      </c>
      <c r="U659" s="52" t="str">
        <f t="shared" si="29"/>
        <v>Não Detectável</v>
      </c>
    </row>
    <row r="660" spans="1:21" ht="25.5" customHeight="1" x14ac:dyDescent="0.2">
      <c r="A660" s="51">
        <v>659</v>
      </c>
      <c r="B660" s="50" t="s">
        <v>1599</v>
      </c>
      <c r="C660" s="51">
        <v>23</v>
      </c>
      <c r="D660" s="51" t="s">
        <v>34</v>
      </c>
      <c r="E660" s="43" t="s">
        <v>1583</v>
      </c>
      <c r="F660" s="44" t="s">
        <v>60</v>
      </c>
      <c r="G660" s="51">
        <v>261</v>
      </c>
      <c r="H660" s="43">
        <v>44182</v>
      </c>
      <c r="I660" s="43" t="s">
        <v>1548</v>
      </c>
      <c r="J660" s="43">
        <v>44182</v>
      </c>
      <c r="K660" s="42" t="s">
        <v>36</v>
      </c>
      <c r="L660" s="42">
        <v>27.6</v>
      </c>
      <c r="M660" s="45" t="s">
        <v>31</v>
      </c>
      <c r="N660" s="43" t="s">
        <v>60</v>
      </c>
      <c r="O660" s="43" t="s">
        <v>60</v>
      </c>
      <c r="P660" s="42" t="s">
        <v>60</v>
      </c>
      <c r="Q660" s="42" t="s">
        <v>60</v>
      </c>
      <c r="R660" s="46" t="s">
        <v>60</v>
      </c>
      <c r="S660" s="43">
        <v>44182</v>
      </c>
      <c r="T660" s="51">
        <f t="shared" si="28"/>
        <v>3</v>
      </c>
      <c r="U660" s="52" t="str">
        <f t="shared" si="29"/>
        <v>Não Detectável</v>
      </c>
    </row>
    <row r="661" spans="1:21" ht="25.5" customHeight="1" x14ac:dyDescent="0.2">
      <c r="A661" s="51">
        <v>660</v>
      </c>
      <c r="B661" s="50" t="s">
        <v>1600</v>
      </c>
      <c r="C661" s="51">
        <v>36</v>
      </c>
      <c r="D661" s="51" t="s">
        <v>25</v>
      </c>
      <c r="E661" s="43" t="s">
        <v>1583</v>
      </c>
      <c r="F661" s="44" t="s">
        <v>60</v>
      </c>
      <c r="G661" s="51">
        <v>261</v>
      </c>
      <c r="H661" s="43">
        <v>44182</v>
      </c>
      <c r="I661" s="43" t="s">
        <v>1548</v>
      </c>
      <c r="J661" s="43">
        <v>44182</v>
      </c>
      <c r="K661" s="42" t="s">
        <v>36</v>
      </c>
      <c r="L661" s="42">
        <v>27.6</v>
      </c>
      <c r="M661" s="45" t="s">
        <v>31</v>
      </c>
      <c r="N661" s="43" t="s">
        <v>60</v>
      </c>
      <c r="O661" s="43" t="s">
        <v>60</v>
      </c>
      <c r="P661" s="42" t="s">
        <v>60</v>
      </c>
      <c r="Q661" s="42" t="s">
        <v>60</v>
      </c>
      <c r="R661" s="46" t="s">
        <v>60</v>
      </c>
      <c r="S661" s="43">
        <v>44182</v>
      </c>
      <c r="T661" s="51">
        <f t="shared" si="28"/>
        <v>3</v>
      </c>
      <c r="U661" s="52" t="str">
        <f t="shared" si="29"/>
        <v>Não Detectável</v>
      </c>
    </row>
    <row r="662" spans="1:21" ht="25.5" customHeight="1" x14ac:dyDescent="0.2">
      <c r="A662" s="51">
        <v>661</v>
      </c>
      <c r="B662" s="50" t="s">
        <v>1601</v>
      </c>
      <c r="C662" s="51">
        <v>42</v>
      </c>
      <c r="D662" s="51" t="s">
        <v>25</v>
      </c>
      <c r="E662" s="43" t="s">
        <v>1583</v>
      </c>
      <c r="F662" s="44" t="s">
        <v>60</v>
      </c>
      <c r="G662" s="51">
        <v>261</v>
      </c>
      <c r="H662" s="43">
        <v>44182</v>
      </c>
      <c r="I662" s="43" t="s">
        <v>1548</v>
      </c>
      <c r="J662" s="43">
        <v>44182</v>
      </c>
      <c r="K662" s="42" t="s">
        <v>36</v>
      </c>
      <c r="L662" s="42">
        <v>27.6</v>
      </c>
      <c r="M662" s="45" t="s">
        <v>31</v>
      </c>
      <c r="N662" s="43" t="s">
        <v>60</v>
      </c>
      <c r="O662" s="43" t="s">
        <v>60</v>
      </c>
      <c r="P662" s="42" t="s">
        <v>60</v>
      </c>
      <c r="Q662" s="42" t="s">
        <v>60</v>
      </c>
      <c r="R662" s="46" t="s">
        <v>60</v>
      </c>
      <c r="S662" s="43">
        <v>44182</v>
      </c>
      <c r="T662" s="51">
        <f t="shared" si="28"/>
        <v>3</v>
      </c>
      <c r="U662" s="52" t="str">
        <f t="shared" si="29"/>
        <v>Não Detectável</v>
      </c>
    </row>
    <row r="663" spans="1:21" ht="25.5" customHeight="1" x14ac:dyDescent="0.2">
      <c r="A663" s="51">
        <v>662</v>
      </c>
      <c r="B663" s="50" t="s">
        <v>1602</v>
      </c>
      <c r="C663" s="51">
        <v>32</v>
      </c>
      <c r="D663" s="51" t="s">
        <v>25</v>
      </c>
      <c r="E663" s="43" t="s">
        <v>1583</v>
      </c>
      <c r="F663" s="44" t="s">
        <v>60</v>
      </c>
      <c r="G663" s="51">
        <v>262</v>
      </c>
      <c r="H663" s="43">
        <v>44182</v>
      </c>
      <c r="I663" s="43" t="s">
        <v>1548</v>
      </c>
      <c r="J663" s="43">
        <v>44182</v>
      </c>
      <c r="K663" s="42">
        <v>16.3</v>
      </c>
      <c r="L663" s="42">
        <v>26.4</v>
      </c>
      <c r="M663" s="43" t="s">
        <v>29</v>
      </c>
      <c r="N663" s="43" t="s">
        <v>1584</v>
      </c>
      <c r="O663" s="43">
        <v>44183</v>
      </c>
      <c r="P663" s="42">
        <v>28.1</v>
      </c>
      <c r="Q663" s="42">
        <v>27</v>
      </c>
      <c r="R663" s="46" t="s">
        <v>29</v>
      </c>
      <c r="S663" s="43">
        <v>44183</v>
      </c>
      <c r="T663" s="51">
        <f t="shared" si="28"/>
        <v>3</v>
      </c>
      <c r="U663" s="52" t="str">
        <f t="shared" si="29"/>
        <v>Detectável</v>
      </c>
    </row>
    <row r="664" spans="1:21" ht="25.5" customHeight="1" x14ac:dyDescent="0.2">
      <c r="A664" s="51">
        <v>663</v>
      </c>
      <c r="B664" s="50" t="s">
        <v>1603</v>
      </c>
      <c r="C664" s="51">
        <v>26</v>
      </c>
      <c r="D664" s="51" t="s">
        <v>34</v>
      </c>
      <c r="E664" s="43" t="s">
        <v>1583</v>
      </c>
      <c r="F664" s="44" t="s">
        <v>60</v>
      </c>
      <c r="G664" s="51">
        <v>262</v>
      </c>
      <c r="H664" s="43">
        <v>44182</v>
      </c>
      <c r="I664" s="43" t="s">
        <v>1548</v>
      </c>
      <c r="J664" s="43">
        <v>44182</v>
      </c>
      <c r="K664" s="42">
        <v>16.3</v>
      </c>
      <c r="L664" s="42">
        <v>26.4</v>
      </c>
      <c r="M664" s="43" t="s">
        <v>29</v>
      </c>
      <c r="N664" s="43" t="s">
        <v>1584</v>
      </c>
      <c r="O664" s="43">
        <v>44183</v>
      </c>
      <c r="P664" s="42" t="s">
        <v>36</v>
      </c>
      <c r="Q664" s="42">
        <v>25.6</v>
      </c>
      <c r="R664" s="46" t="s">
        <v>31</v>
      </c>
      <c r="S664" s="43">
        <v>44183</v>
      </c>
      <c r="T664" s="51">
        <f t="shared" si="28"/>
        <v>3</v>
      </c>
      <c r="U664" s="52" t="str">
        <f t="shared" si="29"/>
        <v>Não Detectável</v>
      </c>
    </row>
    <row r="665" spans="1:21" ht="25.5" customHeight="1" x14ac:dyDescent="0.2">
      <c r="A665" s="51">
        <v>664</v>
      </c>
      <c r="B665" s="50" t="s">
        <v>1604</v>
      </c>
      <c r="C665" s="51">
        <v>34</v>
      </c>
      <c r="D665" s="51" t="s">
        <v>25</v>
      </c>
      <c r="E665" s="43" t="s">
        <v>1583</v>
      </c>
      <c r="F665" s="44" t="s">
        <v>60</v>
      </c>
      <c r="G665" s="51">
        <v>262</v>
      </c>
      <c r="H665" s="43">
        <v>44182</v>
      </c>
      <c r="I665" s="43" t="s">
        <v>1548</v>
      </c>
      <c r="J665" s="43">
        <v>44182</v>
      </c>
      <c r="K665" s="42">
        <v>16.3</v>
      </c>
      <c r="L665" s="42">
        <v>26.4</v>
      </c>
      <c r="M665" s="43" t="s">
        <v>29</v>
      </c>
      <c r="N665" s="43" t="s">
        <v>1584</v>
      </c>
      <c r="O665" s="43">
        <v>44183</v>
      </c>
      <c r="P665" s="42">
        <v>14.7</v>
      </c>
      <c r="Q665" s="42">
        <v>28.3</v>
      </c>
      <c r="R665" s="46" t="s">
        <v>29</v>
      </c>
      <c r="S665" s="43">
        <v>44183</v>
      </c>
      <c r="T665" s="51">
        <f t="shared" si="28"/>
        <v>3</v>
      </c>
      <c r="U665" s="52" t="str">
        <f t="shared" si="29"/>
        <v>Detectável</v>
      </c>
    </row>
    <row r="666" spans="1:21" ht="25.5" customHeight="1" x14ac:dyDescent="0.2">
      <c r="A666" s="51">
        <v>665</v>
      </c>
      <c r="B666" s="50" t="s">
        <v>1605</v>
      </c>
      <c r="C666" s="51">
        <v>22</v>
      </c>
      <c r="D666" s="51" t="s">
        <v>25</v>
      </c>
      <c r="E666" s="43" t="s">
        <v>1583</v>
      </c>
      <c r="F666" s="44" t="s">
        <v>60</v>
      </c>
      <c r="G666" s="51">
        <v>263</v>
      </c>
      <c r="H666" s="43">
        <v>44182</v>
      </c>
      <c r="I666" s="43" t="s">
        <v>1548</v>
      </c>
      <c r="J666" s="43">
        <v>44182</v>
      </c>
      <c r="K666" s="42">
        <v>21.2</v>
      </c>
      <c r="L666" s="42">
        <v>28.1</v>
      </c>
      <c r="M666" s="43" t="s">
        <v>29</v>
      </c>
      <c r="N666" s="43" t="s">
        <v>1584</v>
      </c>
      <c r="O666" s="43">
        <v>44183</v>
      </c>
      <c r="P666" s="42">
        <v>20.5</v>
      </c>
      <c r="Q666" s="42">
        <v>28</v>
      </c>
      <c r="R666" s="46" t="s">
        <v>29</v>
      </c>
      <c r="S666" s="43">
        <v>44183</v>
      </c>
      <c r="T666" s="51">
        <f t="shared" si="28"/>
        <v>3</v>
      </c>
      <c r="U666" s="52" t="str">
        <f t="shared" si="29"/>
        <v>Detectável</v>
      </c>
    </row>
    <row r="667" spans="1:21" ht="25.5" customHeight="1" x14ac:dyDescent="0.2">
      <c r="A667" s="51">
        <v>666</v>
      </c>
      <c r="B667" s="50" t="s">
        <v>1606</v>
      </c>
      <c r="C667" s="51">
        <v>70</v>
      </c>
      <c r="D667" s="51" t="s">
        <v>25</v>
      </c>
      <c r="E667" s="43" t="s">
        <v>1583</v>
      </c>
      <c r="F667" s="44" t="s">
        <v>60</v>
      </c>
      <c r="G667" s="51">
        <v>263</v>
      </c>
      <c r="H667" s="43">
        <v>44182</v>
      </c>
      <c r="I667" s="43" t="s">
        <v>1548</v>
      </c>
      <c r="J667" s="43">
        <v>44182</v>
      </c>
      <c r="K667" s="42">
        <v>21.2</v>
      </c>
      <c r="L667" s="42">
        <v>28.1</v>
      </c>
      <c r="M667" s="43" t="s">
        <v>29</v>
      </c>
      <c r="N667" s="43" t="s">
        <v>1584</v>
      </c>
      <c r="O667" s="43">
        <v>44183</v>
      </c>
      <c r="P667" s="42">
        <v>20.6</v>
      </c>
      <c r="Q667" s="42">
        <v>27.9</v>
      </c>
      <c r="R667" s="46" t="s">
        <v>29</v>
      </c>
      <c r="S667" s="43">
        <v>44183</v>
      </c>
      <c r="T667" s="51">
        <f t="shared" si="28"/>
        <v>3</v>
      </c>
      <c r="U667" s="52" t="str">
        <f t="shared" si="29"/>
        <v>Detectável</v>
      </c>
    </row>
    <row r="668" spans="1:21" ht="25.5" customHeight="1" x14ac:dyDescent="0.2">
      <c r="A668" s="51">
        <v>667</v>
      </c>
      <c r="B668" s="50" t="s">
        <v>1607</v>
      </c>
      <c r="C668" s="51">
        <v>35</v>
      </c>
      <c r="D668" s="51" t="s">
        <v>25</v>
      </c>
      <c r="E668" s="43" t="s">
        <v>1583</v>
      </c>
      <c r="F668" s="44" t="s">
        <v>60</v>
      </c>
      <c r="G668" s="51">
        <v>263</v>
      </c>
      <c r="H668" s="43">
        <v>44182</v>
      </c>
      <c r="I668" s="43" t="s">
        <v>1548</v>
      </c>
      <c r="J668" s="43">
        <v>44182</v>
      </c>
      <c r="K668" s="42">
        <v>21.2</v>
      </c>
      <c r="L668" s="42">
        <v>28.1</v>
      </c>
      <c r="M668" s="43" t="s">
        <v>29</v>
      </c>
      <c r="N668" s="43" t="s">
        <v>1584</v>
      </c>
      <c r="O668" s="43">
        <v>44183</v>
      </c>
      <c r="P668" s="42">
        <v>29.1</v>
      </c>
      <c r="Q668" s="42">
        <v>28.2</v>
      </c>
      <c r="R668" s="46" t="s">
        <v>29</v>
      </c>
      <c r="S668" s="43">
        <v>44183</v>
      </c>
      <c r="T668" s="51">
        <f t="shared" si="28"/>
        <v>3</v>
      </c>
      <c r="U668" s="52" t="str">
        <f t="shared" si="29"/>
        <v>Detectável</v>
      </c>
    </row>
    <row r="669" spans="1:21" ht="25.5" customHeight="1" x14ac:dyDescent="0.2">
      <c r="A669" s="51">
        <v>668</v>
      </c>
      <c r="B669" s="50" t="s">
        <v>1608</v>
      </c>
      <c r="C669" s="51">
        <v>22</v>
      </c>
      <c r="D669" s="51" t="s">
        <v>34</v>
      </c>
      <c r="E669" s="43" t="s">
        <v>1583</v>
      </c>
      <c r="F669" s="44" t="s">
        <v>60</v>
      </c>
      <c r="G669" s="51">
        <v>264</v>
      </c>
      <c r="H669" s="43">
        <v>44182</v>
      </c>
      <c r="I669" s="43" t="s">
        <v>1548</v>
      </c>
      <c r="J669" s="43">
        <v>44182</v>
      </c>
      <c r="K669" s="42" t="s">
        <v>36</v>
      </c>
      <c r="L669" s="42">
        <v>27.7</v>
      </c>
      <c r="M669" s="45" t="s">
        <v>31</v>
      </c>
      <c r="N669" s="43" t="s">
        <v>60</v>
      </c>
      <c r="O669" s="43" t="s">
        <v>60</v>
      </c>
      <c r="P669" s="42" t="s">
        <v>60</v>
      </c>
      <c r="Q669" s="42" t="s">
        <v>60</v>
      </c>
      <c r="R669" s="46" t="s">
        <v>60</v>
      </c>
      <c r="S669" s="43">
        <v>44182</v>
      </c>
      <c r="T669" s="51">
        <f t="shared" si="28"/>
        <v>3</v>
      </c>
      <c r="U669" s="52" t="str">
        <f t="shared" si="29"/>
        <v>Não Detectável</v>
      </c>
    </row>
    <row r="670" spans="1:21" ht="25.5" customHeight="1" x14ac:dyDescent="0.2">
      <c r="A670" s="51">
        <v>669</v>
      </c>
      <c r="B670" s="50" t="s">
        <v>1609</v>
      </c>
      <c r="C670" s="51">
        <v>43</v>
      </c>
      <c r="D670" s="51" t="s">
        <v>25</v>
      </c>
      <c r="E670" s="43" t="s">
        <v>1583</v>
      </c>
      <c r="F670" s="44" t="s">
        <v>60</v>
      </c>
      <c r="G670" s="51">
        <v>264</v>
      </c>
      <c r="H670" s="43">
        <v>44182</v>
      </c>
      <c r="I670" s="43" t="s">
        <v>1548</v>
      </c>
      <c r="J670" s="43">
        <v>44182</v>
      </c>
      <c r="K670" s="42" t="s">
        <v>36</v>
      </c>
      <c r="L670" s="42">
        <v>27.7</v>
      </c>
      <c r="M670" s="45" t="s">
        <v>31</v>
      </c>
      <c r="N670" s="43" t="s">
        <v>60</v>
      </c>
      <c r="O670" s="43" t="s">
        <v>60</v>
      </c>
      <c r="P670" s="42" t="s">
        <v>60</v>
      </c>
      <c r="Q670" s="42" t="s">
        <v>60</v>
      </c>
      <c r="R670" s="46" t="s">
        <v>60</v>
      </c>
      <c r="S670" s="43">
        <v>44182</v>
      </c>
      <c r="T670" s="51">
        <f t="shared" si="28"/>
        <v>3</v>
      </c>
      <c r="U670" s="52" t="str">
        <f t="shared" si="29"/>
        <v>Não Detectável</v>
      </c>
    </row>
    <row r="671" spans="1:21" ht="25.5" customHeight="1" x14ac:dyDescent="0.2">
      <c r="A671" s="51">
        <v>670</v>
      </c>
      <c r="B671" s="50" t="s">
        <v>1610</v>
      </c>
      <c r="C671" s="51">
        <v>36</v>
      </c>
      <c r="D671" s="51" t="s">
        <v>25</v>
      </c>
      <c r="E671" s="43" t="s">
        <v>1583</v>
      </c>
      <c r="F671" s="44" t="s">
        <v>60</v>
      </c>
      <c r="G671" s="51">
        <v>264</v>
      </c>
      <c r="H671" s="43">
        <v>44182</v>
      </c>
      <c r="I671" s="43" t="s">
        <v>1548</v>
      </c>
      <c r="J671" s="43">
        <v>44182</v>
      </c>
      <c r="K671" s="42" t="s">
        <v>36</v>
      </c>
      <c r="L671" s="42">
        <v>27.7</v>
      </c>
      <c r="M671" s="45" t="s">
        <v>31</v>
      </c>
      <c r="N671" s="43" t="s">
        <v>60</v>
      </c>
      <c r="O671" s="43" t="s">
        <v>60</v>
      </c>
      <c r="P671" s="42" t="s">
        <v>60</v>
      </c>
      <c r="Q671" s="42" t="s">
        <v>60</v>
      </c>
      <c r="R671" s="46" t="s">
        <v>60</v>
      </c>
      <c r="S671" s="43">
        <v>44182</v>
      </c>
      <c r="T671" s="51">
        <f t="shared" si="28"/>
        <v>3</v>
      </c>
      <c r="U671" s="52" t="str">
        <f t="shared" si="29"/>
        <v>Não Detectável</v>
      </c>
    </row>
    <row r="672" spans="1:21" ht="25.5" customHeight="1" x14ac:dyDescent="0.2">
      <c r="A672" s="51">
        <v>671</v>
      </c>
      <c r="B672" s="50" t="s">
        <v>1611</v>
      </c>
      <c r="C672" s="51">
        <v>79</v>
      </c>
      <c r="D672" s="51" t="s">
        <v>34</v>
      </c>
      <c r="E672" s="43" t="s">
        <v>1612</v>
      </c>
      <c r="F672" s="44" t="s">
        <v>60</v>
      </c>
      <c r="G672" s="51">
        <v>265</v>
      </c>
      <c r="H672" s="43">
        <v>44183</v>
      </c>
      <c r="I672" s="43" t="s">
        <v>1584</v>
      </c>
      <c r="J672" s="43">
        <v>44183</v>
      </c>
      <c r="K672" s="42">
        <v>21.8</v>
      </c>
      <c r="L672" s="42">
        <v>27</v>
      </c>
      <c r="M672" s="43" t="s">
        <v>29</v>
      </c>
      <c r="N672" s="43" t="s">
        <v>1613</v>
      </c>
      <c r="O672" s="43">
        <v>44183</v>
      </c>
      <c r="P672" s="42">
        <v>20.7</v>
      </c>
      <c r="Q672" s="42">
        <v>28.1</v>
      </c>
      <c r="R672" s="46" t="s">
        <v>29</v>
      </c>
      <c r="S672" s="43">
        <v>44183</v>
      </c>
      <c r="T672" s="51">
        <f t="shared" si="28"/>
        <v>3</v>
      </c>
      <c r="U672" s="52" t="str">
        <f t="shared" si="29"/>
        <v>Detectável</v>
      </c>
    </row>
    <row r="673" spans="1:21" ht="25.5" customHeight="1" x14ac:dyDescent="0.2">
      <c r="A673" s="51">
        <v>672</v>
      </c>
      <c r="B673" s="50" t="s">
        <v>1614</v>
      </c>
      <c r="C673" s="51">
        <v>72</v>
      </c>
      <c r="D673" s="51" t="s">
        <v>25</v>
      </c>
      <c r="E673" s="43" t="s">
        <v>1612</v>
      </c>
      <c r="F673" s="44" t="s">
        <v>60</v>
      </c>
      <c r="G673" s="51">
        <v>265</v>
      </c>
      <c r="H673" s="43">
        <v>44183</v>
      </c>
      <c r="I673" s="43" t="s">
        <v>1584</v>
      </c>
      <c r="J673" s="43">
        <v>44183</v>
      </c>
      <c r="K673" s="42">
        <v>21.8</v>
      </c>
      <c r="L673" s="42">
        <v>27</v>
      </c>
      <c r="M673" s="43" t="s">
        <v>29</v>
      </c>
      <c r="N673" s="43" t="s">
        <v>1613</v>
      </c>
      <c r="O673" s="43">
        <v>44183</v>
      </c>
      <c r="P673" s="42">
        <v>21.3</v>
      </c>
      <c r="Q673" s="42">
        <v>27</v>
      </c>
      <c r="R673" s="46" t="s">
        <v>29</v>
      </c>
      <c r="S673" s="43">
        <v>44183</v>
      </c>
      <c r="T673" s="51">
        <f t="shared" si="28"/>
        <v>3</v>
      </c>
      <c r="U673" s="52" t="str">
        <f t="shared" si="29"/>
        <v>Detectável</v>
      </c>
    </row>
    <row r="674" spans="1:21" ht="25.5" customHeight="1" x14ac:dyDescent="0.2">
      <c r="A674" s="51">
        <v>673</v>
      </c>
      <c r="B674" s="50" t="s">
        <v>1615</v>
      </c>
      <c r="C674" s="51">
        <v>53</v>
      </c>
      <c r="D674" s="51" t="s">
        <v>25</v>
      </c>
      <c r="E674" s="43" t="s">
        <v>1612</v>
      </c>
      <c r="F674" s="44" t="s">
        <v>60</v>
      </c>
      <c r="G674" s="51">
        <v>265</v>
      </c>
      <c r="H674" s="43">
        <v>44183</v>
      </c>
      <c r="I674" s="43" t="s">
        <v>1584</v>
      </c>
      <c r="J674" s="43">
        <v>44183</v>
      </c>
      <c r="K674" s="42">
        <v>21.8</v>
      </c>
      <c r="L674" s="42">
        <v>27</v>
      </c>
      <c r="M674" s="43" t="s">
        <v>29</v>
      </c>
      <c r="N674" s="43" t="s">
        <v>1613</v>
      </c>
      <c r="O674" s="43">
        <v>44183</v>
      </c>
      <c r="P674" s="42">
        <v>28.9</v>
      </c>
      <c r="Q674" s="42">
        <v>28.9</v>
      </c>
      <c r="R674" s="46" t="s">
        <v>29</v>
      </c>
      <c r="S674" s="43">
        <v>44183</v>
      </c>
      <c r="T674" s="51">
        <f t="shared" si="28"/>
        <v>3</v>
      </c>
      <c r="U674" s="52" t="str">
        <f t="shared" si="29"/>
        <v>Detectável</v>
      </c>
    </row>
    <row r="675" spans="1:21" ht="25.5" customHeight="1" x14ac:dyDescent="0.2">
      <c r="A675" s="51">
        <v>674</v>
      </c>
      <c r="B675" s="50" t="s">
        <v>1616</v>
      </c>
      <c r="C675" s="51">
        <v>48</v>
      </c>
      <c r="D675" s="51" t="s">
        <v>25</v>
      </c>
      <c r="E675" s="43" t="s">
        <v>1612</v>
      </c>
      <c r="F675" s="44" t="s">
        <v>60</v>
      </c>
      <c r="G675" s="51">
        <v>266</v>
      </c>
      <c r="H675" s="43">
        <v>44183</v>
      </c>
      <c r="I675" s="43" t="s">
        <v>1584</v>
      </c>
      <c r="J675" s="43">
        <v>44183</v>
      </c>
      <c r="K675" s="42">
        <v>18.5</v>
      </c>
      <c r="L675" s="42">
        <v>27.5</v>
      </c>
      <c r="M675" s="43" t="s">
        <v>29</v>
      </c>
      <c r="N675" s="43" t="s">
        <v>1613</v>
      </c>
      <c r="O675" s="43">
        <v>44183</v>
      </c>
      <c r="P675" s="42">
        <v>16.399999999999999</v>
      </c>
      <c r="Q675" s="42">
        <v>28.2</v>
      </c>
      <c r="R675" s="46" t="s">
        <v>29</v>
      </c>
      <c r="S675" s="43">
        <v>44183</v>
      </c>
      <c r="T675" s="51">
        <f t="shared" si="28"/>
        <v>3</v>
      </c>
      <c r="U675" s="52" t="str">
        <f t="shared" si="29"/>
        <v>Detectável</v>
      </c>
    </row>
    <row r="676" spans="1:21" ht="25.5" customHeight="1" x14ac:dyDescent="0.2">
      <c r="A676" s="51">
        <v>675</v>
      </c>
      <c r="B676" s="50" t="s">
        <v>1617</v>
      </c>
      <c r="C676" s="51">
        <v>30</v>
      </c>
      <c r="D676" s="51" t="s">
        <v>25</v>
      </c>
      <c r="E676" s="43" t="s">
        <v>1612</v>
      </c>
      <c r="F676" s="44" t="s">
        <v>60</v>
      </c>
      <c r="G676" s="51">
        <v>266</v>
      </c>
      <c r="H676" s="43">
        <v>44183</v>
      </c>
      <c r="I676" s="43" t="s">
        <v>1584</v>
      </c>
      <c r="J676" s="43">
        <v>44183</v>
      </c>
      <c r="K676" s="42">
        <v>18.5</v>
      </c>
      <c r="L676" s="42">
        <v>27.5</v>
      </c>
      <c r="M676" s="43" t="s">
        <v>29</v>
      </c>
      <c r="N676" s="43" t="s">
        <v>1613</v>
      </c>
      <c r="O676" s="43">
        <v>44183</v>
      </c>
      <c r="P676" s="42" t="s">
        <v>36</v>
      </c>
      <c r="Q676" s="42">
        <v>30</v>
      </c>
      <c r="R676" s="46" t="s">
        <v>31</v>
      </c>
      <c r="S676" s="43">
        <v>44183</v>
      </c>
      <c r="T676" s="51">
        <f t="shared" si="28"/>
        <v>3</v>
      </c>
      <c r="U676" s="52" t="str">
        <f t="shared" si="29"/>
        <v>Não Detectável</v>
      </c>
    </row>
    <row r="677" spans="1:21" ht="25.5" customHeight="1" x14ac:dyDescent="0.2">
      <c r="A677" s="51">
        <v>676</v>
      </c>
      <c r="B677" s="50" t="s">
        <v>1618</v>
      </c>
      <c r="C677" s="51">
        <v>27</v>
      </c>
      <c r="D677" s="51" t="s">
        <v>34</v>
      </c>
      <c r="E677" s="43" t="s">
        <v>1612</v>
      </c>
      <c r="F677" s="44" t="s">
        <v>60</v>
      </c>
      <c r="G677" s="51">
        <v>266</v>
      </c>
      <c r="H677" s="43">
        <v>44183</v>
      </c>
      <c r="I677" s="43" t="s">
        <v>1584</v>
      </c>
      <c r="J677" s="43">
        <v>44183</v>
      </c>
      <c r="K677" s="42">
        <v>18.5</v>
      </c>
      <c r="L677" s="42">
        <v>27.5</v>
      </c>
      <c r="M677" s="43" t="s">
        <v>29</v>
      </c>
      <c r="N677" s="43" t="s">
        <v>1613</v>
      </c>
      <c r="O677" s="43">
        <v>44183</v>
      </c>
      <c r="P677" s="42" t="s">
        <v>36</v>
      </c>
      <c r="Q677" s="42">
        <v>27.2</v>
      </c>
      <c r="R677" s="46" t="s">
        <v>31</v>
      </c>
      <c r="S677" s="43">
        <v>44183</v>
      </c>
      <c r="T677" s="51">
        <f t="shared" si="28"/>
        <v>3</v>
      </c>
      <c r="U677" s="52" t="str">
        <f t="shared" si="29"/>
        <v>Não Detectável</v>
      </c>
    </row>
    <row r="678" spans="1:21" ht="25.5" customHeight="1" x14ac:dyDescent="0.2">
      <c r="A678" s="51">
        <v>677</v>
      </c>
      <c r="B678" s="50" t="s">
        <v>1619</v>
      </c>
      <c r="C678" s="51">
        <v>15</v>
      </c>
      <c r="D678" s="51" t="s">
        <v>34</v>
      </c>
      <c r="E678" s="43" t="s">
        <v>1612</v>
      </c>
      <c r="F678" s="44" t="s">
        <v>60</v>
      </c>
      <c r="G678" s="51">
        <v>267</v>
      </c>
      <c r="H678" s="43">
        <v>44183</v>
      </c>
      <c r="I678" s="43" t="s">
        <v>1584</v>
      </c>
      <c r="J678" s="43">
        <v>44183</v>
      </c>
      <c r="K678" s="42">
        <v>25</v>
      </c>
      <c r="L678" s="42">
        <v>27.4</v>
      </c>
      <c r="M678" s="43" t="s">
        <v>29</v>
      </c>
      <c r="N678" s="43" t="s">
        <v>1613</v>
      </c>
      <c r="O678" s="43">
        <v>44183</v>
      </c>
      <c r="P678" s="42">
        <v>23.4</v>
      </c>
      <c r="Q678" s="42">
        <v>27.8</v>
      </c>
      <c r="R678" s="46" t="s">
        <v>29</v>
      </c>
      <c r="S678" s="43">
        <v>44183</v>
      </c>
      <c r="T678" s="51">
        <f t="shared" si="28"/>
        <v>3</v>
      </c>
      <c r="U678" s="52" t="str">
        <f t="shared" si="29"/>
        <v>Detectável</v>
      </c>
    </row>
    <row r="679" spans="1:21" ht="25.5" customHeight="1" x14ac:dyDescent="0.2">
      <c r="A679" s="51">
        <v>678</v>
      </c>
      <c r="B679" s="50" t="s">
        <v>1620</v>
      </c>
      <c r="C679" s="51">
        <v>59</v>
      </c>
      <c r="D679" s="51" t="s">
        <v>25</v>
      </c>
      <c r="E679" s="43" t="s">
        <v>1612</v>
      </c>
      <c r="F679" s="44" t="s">
        <v>60</v>
      </c>
      <c r="G679" s="51">
        <v>267</v>
      </c>
      <c r="H679" s="43">
        <v>44183</v>
      </c>
      <c r="I679" s="43" t="s">
        <v>1584</v>
      </c>
      <c r="J679" s="43">
        <v>44183</v>
      </c>
      <c r="K679" s="42">
        <v>25</v>
      </c>
      <c r="L679" s="42">
        <v>27.4</v>
      </c>
      <c r="M679" s="43" t="s">
        <v>29</v>
      </c>
      <c r="N679" s="43" t="s">
        <v>1613</v>
      </c>
      <c r="O679" s="43">
        <v>44183</v>
      </c>
      <c r="P679" s="42" t="s">
        <v>36</v>
      </c>
      <c r="Q679" s="42">
        <v>27.3</v>
      </c>
      <c r="R679" s="46" t="s">
        <v>31</v>
      </c>
      <c r="S679" s="43">
        <v>44183</v>
      </c>
      <c r="T679" s="51">
        <f t="shared" si="28"/>
        <v>3</v>
      </c>
      <c r="U679" s="52" t="str">
        <f t="shared" si="29"/>
        <v>Não Detectável</v>
      </c>
    </row>
    <row r="680" spans="1:21" ht="25.5" customHeight="1" x14ac:dyDescent="0.2">
      <c r="A680" s="51">
        <v>679</v>
      </c>
      <c r="B680" s="50" t="s">
        <v>1621</v>
      </c>
      <c r="C680" s="51">
        <v>59</v>
      </c>
      <c r="D680" s="51" t="s">
        <v>25</v>
      </c>
      <c r="E680" s="43" t="s">
        <v>1612</v>
      </c>
      <c r="F680" s="44" t="s">
        <v>60</v>
      </c>
      <c r="G680" s="51">
        <v>267</v>
      </c>
      <c r="H680" s="43">
        <v>44183</v>
      </c>
      <c r="I680" s="43" t="s">
        <v>1584</v>
      </c>
      <c r="J680" s="43">
        <v>44183</v>
      </c>
      <c r="K680" s="42">
        <v>25</v>
      </c>
      <c r="L680" s="42">
        <v>27.4</v>
      </c>
      <c r="M680" s="43" t="s">
        <v>29</v>
      </c>
      <c r="N680" s="43" t="s">
        <v>1613</v>
      </c>
      <c r="O680" s="43">
        <v>44183</v>
      </c>
      <c r="P680" s="42">
        <v>24.6</v>
      </c>
      <c r="Q680" s="42">
        <v>30.5</v>
      </c>
      <c r="R680" s="46" t="s">
        <v>29</v>
      </c>
      <c r="S680" s="43">
        <v>44183</v>
      </c>
      <c r="T680" s="51">
        <f t="shared" si="28"/>
        <v>3</v>
      </c>
      <c r="U680" s="52" t="str">
        <f t="shared" si="29"/>
        <v>Detectável</v>
      </c>
    </row>
    <row r="681" spans="1:21" ht="25.5" customHeight="1" x14ac:dyDescent="0.2">
      <c r="A681" s="51">
        <v>680</v>
      </c>
      <c r="B681" s="50" t="s">
        <v>1622</v>
      </c>
      <c r="C681" s="51">
        <v>50</v>
      </c>
      <c r="D681" s="51" t="s">
        <v>25</v>
      </c>
      <c r="E681" s="43" t="s">
        <v>1612</v>
      </c>
      <c r="F681" s="44" t="s">
        <v>60</v>
      </c>
      <c r="G681" s="51">
        <v>268</v>
      </c>
      <c r="H681" s="43">
        <v>44183</v>
      </c>
      <c r="I681" s="43" t="s">
        <v>1584</v>
      </c>
      <c r="J681" s="43">
        <v>44183</v>
      </c>
      <c r="K681" s="42">
        <v>27.3</v>
      </c>
      <c r="L681" s="42">
        <v>27.5</v>
      </c>
      <c r="M681" s="43" t="s">
        <v>29</v>
      </c>
      <c r="N681" s="43" t="s">
        <v>1613</v>
      </c>
      <c r="O681" s="43">
        <v>44183</v>
      </c>
      <c r="P681" s="42">
        <v>30.4</v>
      </c>
      <c r="Q681" s="42">
        <v>31.7</v>
      </c>
      <c r="R681" s="46" t="s">
        <v>29</v>
      </c>
      <c r="S681" s="43">
        <v>44183</v>
      </c>
      <c r="T681" s="51">
        <f t="shared" si="28"/>
        <v>3</v>
      </c>
      <c r="U681" s="52" t="str">
        <f t="shared" si="29"/>
        <v>Detectável</v>
      </c>
    </row>
    <row r="682" spans="1:21" ht="25.5" customHeight="1" x14ac:dyDescent="0.2">
      <c r="A682" s="51">
        <v>681</v>
      </c>
      <c r="B682" s="50" t="s">
        <v>1623</v>
      </c>
      <c r="C682" s="51">
        <v>35</v>
      </c>
      <c r="D682" s="51" t="s">
        <v>25</v>
      </c>
      <c r="E682" s="43" t="s">
        <v>1612</v>
      </c>
      <c r="F682" s="44" t="s">
        <v>60</v>
      </c>
      <c r="G682" s="51">
        <v>268</v>
      </c>
      <c r="H682" s="43">
        <v>44183</v>
      </c>
      <c r="I682" s="43" t="s">
        <v>1584</v>
      </c>
      <c r="J682" s="43">
        <v>44183</v>
      </c>
      <c r="K682" s="42">
        <v>27.3</v>
      </c>
      <c r="L682" s="42">
        <v>27.5</v>
      </c>
      <c r="M682" s="43" t="s">
        <v>29</v>
      </c>
      <c r="N682" s="43" t="s">
        <v>1613</v>
      </c>
      <c r="O682" s="43">
        <v>44183</v>
      </c>
      <c r="P682" s="42" t="s">
        <v>36</v>
      </c>
      <c r="Q682" s="42">
        <v>28.6</v>
      </c>
      <c r="R682" s="46" t="s">
        <v>31</v>
      </c>
      <c r="S682" s="43">
        <v>44183</v>
      </c>
      <c r="T682" s="51">
        <f t="shared" si="28"/>
        <v>3</v>
      </c>
      <c r="U682" s="52" t="str">
        <f t="shared" si="29"/>
        <v>Não Detectável</v>
      </c>
    </row>
    <row r="683" spans="1:21" ht="25.5" customHeight="1" x14ac:dyDescent="0.2">
      <c r="A683" s="51">
        <v>682</v>
      </c>
      <c r="B683" s="50" t="s">
        <v>1624</v>
      </c>
      <c r="C683" s="51">
        <v>33</v>
      </c>
      <c r="D683" s="51" t="s">
        <v>34</v>
      </c>
      <c r="E683" s="43" t="s">
        <v>1612</v>
      </c>
      <c r="F683" s="44" t="s">
        <v>60</v>
      </c>
      <c r="G683" s="51">
        <v>268</v>
      </c>
      <c r="H683" s="43">
        <v>44183</v>
      </c>
      <c r="I683" s="43" t="s">
        <v>1584</v>
      </c>
      <c r="J683" s="43">
        <v>44183</v>
      </c>
      <c r="K683" s="42">
        <v>27.3</v>
      </c>
      <c r="L683" s="42">
        <v>27.5</v>
      </c>
      <c r="M683" s="43" t="s">
        <v>29</v>
      </c>
      <c r="N683" s="43" t="s">
        <v>1613</v>
      </c>
      <c r="O683" s="43">
        <v>44183</v>
      </c>
      <c r="P683" s="42">
        <v>25.8</v>
      </c>
      <c r="Q683" s="42">
        <v>27</v>
      </c>
      <c r="R683" s="46" t="s">
        <v>29</v>
      </c>
      <c r="S683" s="43">
        <v>44183</v>
      </c>
      <c r="T683" s="51">
        <f t="shared" si="28"/>
        <v>3</v>
      </c>
      <c r="U683" s="52" t="str">
        <f t="shared" si="29"/>
        <v>Detectável</v>
      </c>
    </row>
    <row r="684" spans="1:21" ht="25.5" customHeight="1" x14ac:dyDescent="0.2">
      <c r="A684" s="51">
        <v>683</v>
      </c>
      <c r="B684" s="50" t="s">
        <v>1625</v>
      </c>
      <c r="C684" s="51">
        <v>30</v>
      </c>
      <c r="D684" s="51" t="s">
        <v>25</v>
      </c>
      <c r="E684" s="43" t="s">
        <v>1612</v>
      </c>
      <c r="F684" s="44" t="s">
        <v>60</v>
      </c>
      <c r="G684" s="51">
        <v>269</v>
      </c>
      <c r="H684" s="43">
        <v>44183</v>
      </c>
      <c r="I684" s="43" t="s">
        <v>1584</v>
      </c>
      <c r="J684" s="43">
        <v>44183</v>
      </c>
      <c r="K684" s="42">
        <v>19.600000000000001</v>
      </c>
      <c r="L684" s="42">
        <v>26.5</v>
      </c>
      <c r="M684" s="43" t="s">
        <v>29</v>
      </c>
      <c r="N684" s="43" t="s">
        <v>1613</v>
      </c>
      <c r="O684" s="43">
        <v>44183</v>
      </c>
      <c r="P684" s="42" t="s">
        <v>36</v>
      </c>
      <c r="Q684" s="42">
        <v>27.7</v>
      </c>
      <c r="R684" s="46" t="s">
        <v>31</v>
      </c>
      <c r="S684" s="43">
        <v>44183</v>
      </c>
      <c r="T684" s="51">
        <f t="shared" si="28"/>
        <v>3</v>
      </c>
      <c r="U684" s="52" t="str">
        <f t="shared" si="29"/>
        <v>Não Detectável</v>
      </c>
    </row>
    <row r="685" spans="1:21" ht="25.5" customHeight="1" x14ac:dyDescent="0.2">
      <c r="A685" s="51">
        <v>684</v>
      </c>
      <c r="B685" s="50" t="s">
        <v>1626</v>
      </c>
      <c r="C685" s="51">
        <v>35</v>
      </c>
      <c r="D685" s="51" t="s">
        <v>25</v>
      </c>
      <c r="E685" s="43" t="s">
        <v>1612</v>
      </c>
      <c r="F685" s="44" t="s">
        <v>60</v>
      </c>
      <c r="G685" s="51">
        <v>269</v>
      </c>
      <c r="H685" s="43">
        <v>44183</v>
      </c>
      <c r="I685" s="43" t="s">
        <v>1584</v>
      </c>
      <c r="J685" s="43">
        <v>44183</v>
      </c>
      <c r="K685" s="42">
        <v>19.600000000000001</v>
      </c>
      <c r="L685" s="42">
        <v>26.5</v>
      </c>
      <c r="M685" s="43" t="s">
        <v>29</v>
      </c>
      <c r="N685" s="43" t="s">
        <v>1613</v>
      </c>
      <c r="O685" s="43">
        <v>44183</v>
      </c>
      <c r="P685" s="42">
        <v>17.399999999999999</v>
      </c>
      <c r="Q685" s="42">
        <v>26.3</v>
      </c>
      <c r="R685" s="46" t="s">
        <v>29</v>
      </c>
      <c r="S685" s="43">
        <v>44183</v>
      </c>
      <c r="T685" s="51">
        <f t="shared" si="28"/>
        <v>3</v>
      </c>
      <c r="U685" s="52" t="str">
        <f t="shared" si="29"/>
        <v>Detectável</v>
      </c>
    </row>
    <row r="686" spans="1:21" ht="25.5" customHeight="1" x14ac:dyDescent="0.2">
      <c r="A686" s="51">
        <v>685</v>
      </c>
      <c r="B686" s="50" t="s">
        <v>1627</v>
      </c>
      <c r="C686" s="51">
        <v>40</v>
      </c>
      <c r="D686" s="51" t="s">
        <v>25</v>
      </c>
      <c r="E686" s="43" t="s">
        <v>1612</v>
      </c>
      <c r="F686" s="44" t="s">
        <v>60</v>
      </c>
      <c r="G686" s="51">
        <v>269</v>
      </c>
      <c r="H686" s="43">
        <v>44183</v>
      </c>
      <c r="I686" s="43" t="s">
        <v>1584</v>
      </c>
      <c r="J686" s="43">
        <v>44183</v>
      </c>
      <c r="K686" s="42">
        <v>19.600000000000001</v>
      </c>
      <c r="L686" s="42">
        <v>26.5</v>
      </c>
      <c r="M686" s="43" t="s">
        <v>29</v>
      </c>
      <c r="N686" s="43" t="s">
        <v>1613</v>
      </c>
      <c r="O686" s="43">
        <v>44183</v>
      </c>
      <c r="P686" s="42" t="s">
        <v>36</v>
      </c>
      <c r="Q686" s="42">
        <v>27.4</v>
      </c>
      <c r="R686" s="46" t="s">
        <v>31</v>
      </c>
      <c r="S686" s="43">
        <v>44183</v>
      </c>
      <c r="T686" s="51">
        <f t="shared" si="28"/>
        <v>3</v>
      </c>
      <c r="U686" s="52" t="str">
        <f t="shared" si="29"/>
        <v>Não Detectável</v>
      </c>
    </row>
    <row r="687" spans="1:21" ht="25.5" customHeight="1" x14ac:dyDescent="0.2">
      <c r="A687" s="51">
        <v>686</v>
      </c>
      <c r="B687" s="50" t="s">
        <v>1628</v>
      </c>
      <c r="C687" s="51">
        <v>32</v>
      </c>
      <c r="D687" s="51" t="s">
        <v>34</v>
      </c>
      <c r="E687" s="43" t="s">
        <v>1612</v>
      </c>
      <c r="F687" s="44" t="s">
        <v>60</v>
      </c>
      <c r="G687" s="51">
        <v>270</v>
      </c>
      <c r="H687" s="43">
        <v>44183</v>
      </c>
      <c r="I687" s="43" t="s">
        <v>1584</v>
      </c>
      <c r="J687" s="43">
        <v>44183</v>
      </c>
      <c r="K687" s="42">
        <v>21.1</v>
      </c>
      <c r="L687" s="42">
        <v>26.8</v>
      </c>
      <c r="M687" s="43" t="s">
        <v>29</v>
      </c>
      <c r="N687" s="43" t="s">
        <v>1613</v>
      </c>
      <c r="O687" s="43">
        <v>44183</v>
      </c>
      <c r="P687" s="42" t="s">
        <v>36</v>
      </c>
      <c r="Q687" s="42">
        <v>25.8</v>
      </c>
      <c r="R687" s="46" t="s">
        <v>31</v>
      </c>
      <c r="S687" s="43">
        <v>44183</v>
      </c>
      <c r="T687" s="51">
        <f t="shared" si="28"/>
        <v>3</v>
      </c>
      <c r="U687" s="52" t="str">
        <f t="shared" si="29"/>
        <v>Não Detectável</v>
      </c>
    </row>
    <row r="688" spans="1:21" ht="25.5" customHeight="1" x14ac:dyDescent="0.2">
      <c r="A688" s="51">
        <v>687</v>
      </c>
      <c r="B688" s="50" t="s">
        <v>1629</v>
      </c>
      <c r="C688" s="51">
        <v>90</v>
      </c>
      <c r="D688" s="51" t="s">
        <v>34</v>
      </c>
      <c r="E688" s="43" t="s">
        <v>1612</v>
      </c>
      <c r="F688" s="44" t="s">
        <v>60</v>
      </c>
      <c r="G688" s="51">
        <v>270</v>
      </c>
      <c r="H688" s="43">
        <v>44183</v>
      </c>
      <c r="I688" s="43" t="s">
        <v>1584</v>
      </c>
      <c r="J688" s="43">
        <v>44183</v>
      </c>
      <c r="K688" s="42">
        <v>21.1</v>
      </c>
      <c r="L688" s="42">
        <v>26.8</v>
      </c>
      <c r="M688" s="43" t="s">
        <v>29</v>
      </c>
      <c r="N688" s="43" t="s">
        <v>1613</v>
      </c>
      <c r="O688" s="43">
        <v>44183</v>
      </c>
      <c r="P688" s="42">
        <v>18.5</v>
      </c>
      <c r="Q688" s="42">
        <v>27.8</v>
      </c>
      <c r="R688" s="46" t="s">
        <v>29</v>
      </c>
      <c r="S688" s="43">
        <v>44183</v>
      </c>
      <c r="T688" s="51">
        <f t="shared" si="28"/>
        <v>3</v>
      </c>
      <c r="U688" s="52" t="str">
        <f t="shared" si="29"/>
        <v>Detectável</v>
      </c>
    </row>
    <row r="689" spans="1:21" ht="25.5" customHeight="1" x14ac:dyDescent="0.2">
      <c r="A689" s="51">
        <v>688</v>
      </c>
      <c r="B689" s="50" t="s">
        <v>1630</v>
      </c>
      <c r="C689" s="51">
        <v>42</v>
      </c>
      <c r="D689" s="51" t="s">
        <v>25</v>
      </c>
      <c r="E689" s="43" t="s">
        <v>1612</v>
      </c>
      <c r="F689" s="44" t="s">
        <v>60</v>
      </c>
      <c r="G689" s="51">
        <v>270</v>
      </c>
      <c r="H689" s="43">
        <v>44183</v>
      </c>
      <c r="I689" s="43" t="s">
        <v>1584</v>
      </c>
      <c r="J689" s="43">
        <v>44183</v>
      </c>
      <c r="K689" s="42">
        <v>21.1</v>
      </c>
      <c r="L689" s="42">
        <v>26.8</v>
      </c>
      <c r="M689" s="43" t="s">
        <v>29</v>
      </c>
      <c r="N689" s="43" t="s">
        <v>1613</v>
      </c>
      <c r="O689" s="43">
        <v>44183</v>
      </c>
      <c r="P689" s="42" t="s">
        <v>36</v>
      </c>
      <c r="Q689" s="42">
        <v>28.3</v>
      </c>
      <c r="R689" s="46" t="s">
        <v>31</v>
      </c>
      <c r="S689" s="43">
        <v>44183</v>
      </c>
      <c r="T689" s="51">
        <f t="shared" si="28"/>
        <v>3</v>
      </c>
      <c r="U689" s="52" t="str">
        <f t="shared" si="29"/>
        <v>Não Detectável</v>
      </c>
    </row>
    <row r="690" spans="1:21" ht="25.5" customHeight="1" x14ac:dyDescent="0.2">
      <c r="A690" s="51">
        <v>689</v>
      </c>
      <c r="B690" s="50" t="s">
        <v>1631</v>
      </c>
      <c r="C690" s="51">
        <v>49</v>
      </c>
      <c r="D690" s="51" t="s">
        <v>34</v>
      </c>
      <c r="E690" s="43" t="s">
        <v>1612</v>
      </c>
      <c r="F690" s="44" t="s">
        <v>60</v>
      </c>
      <c r="G690" s="51">
        <v>271</v>
      </c>
      <c r="H690" s="43">
        <v>44183</v>
      </c>
      <c r="I690" s="43" t="s">
        <v>1584</v>
      </c>
      <c r="J690" s="43">
        <v>44183</v>
      </c>
      <c r="K690" s="42">
        <v>18.8</v>
      </c>
      <c r="L690" s="42">
        <v>27.5</v>
      </c>
      <c r="M690" s="43" t="s">
        <v>29</v>
      </c>
      <c r="N690" s="43" t="s">
        <v>1613</v>
      </c>
      <c r="O690" s="43">
        <v>44183</v>
      </c>
      <c r="P690" s="42" t="s">
        <v>36</v>
      </c>
      <c r="Q690" s="42">
        <v>27.2</v>
      </c>
      <c r="R690" s="46" t="s">
        <v>31</v>
      </c>
      <c r="S690" s="43">
        <v>44183</v>
      </c>
      <c r="T690" s="51">
        <f t="shared" si="28"/>
        <v>3</v>
      </c>
      <c r="U690" s="52" t="str">
        <f t="shared" si="29"/>
        <v>Não Detectável</v>
      </c>
    </row>
    <row r="691" spans="1:21" ht="25.5" customHeight="1" x14ac:dyDescent="0.2">
      <c r="A691" s="51">
        <v>690</v>
      </c>
      <c r="B691" s="50" t="s">
        <v>1632</v>
      </c>
      <c r="C691" s="51">
        <v>28</v>
      </c>
      <c r="D691" s="51" t="s">
        <v>25</v>
      </c>
      <c r="E691" s="43" t="s">
        <v>1612</v>
      </c>
      <c r="F691" s="44" t="s">
        <v>60</v>
      </c>
      <c r="G691" s="51">
        <v>271</v>
      </c>
      <c r="H691" s="43">
        <v>44183</v>
      </c>
      <c r="I691" s="43" t="s">
        <v>1584</v>
      </c>
      <c r="J691" s="43">
        <v>44183</v>
      </c>
      <c r="K691" s="42">
        <v>18.8</v>
      </c>
      <c r="L691" s="42">
        <v>27.5</v>
      </c>
      <c r="M691" s="43" t="s">
        <v>29</v>
      </c>
      <c r="N691" s="43" t="s">
        <v>1613</v>
      </c>
      <c r="O691" s="43">
        <v>44183</v>
      </c>
      <c r="P691" s="42" t="s">
        <v>36</v>
      </c>
      <c r="Q691" s="42">
        <v>28.1</v>
      </c>
      <c r="R691" s="46" t="s">
        <v>31</v>
      </c>
      <c r="S691" s="43">
        <v>44183</v>
      </c>
      <c r="T691" s="51">
        <f t="shared" si="28"/>
        <v>3</v>
      </c>
      <c r="U691" s="52" t="str">
        <f t="shared" si="29"/>
        <v>Não Detectável</v>
      </c>
    </row>
    <row r="692" spans="1:21" ht="25.5" customHeight="1" x14ac:dyDescent="0.2">
      <c r="A692" s="51">
        <v>691</v>
      </c>
      <c r="B692" s="50" t="s">
        <v>1633</v>
      </c>
      <c r="C692" s="51">
        <v>44</v>
      </c>
      <c r="D692" s="51" t="s">
        <v>34</v>
      </c>
      <c r="E692" s="43" t="s">
        <v>1612</v>
      </c>
      <c r="F692" s="44" t="s">
        <v>60</v>
      </c>
      <c r="G692" s="51">
        <v>271</v>
      </c>
      <c r="H692" s="43">
        <v>44183</v>
      </c>
      <c r="I692" s="43" t="s">
        <v>1584</v>
      </c>
      <c r="J692" s="43">
        <v>44183</v>
      </c>
      <c r="K692" s="42">
        <v>18.8</v>
      </c>
      <c r="L692" s="42">
        <v>27.5</v>
      </c>
      <c r="M692" s="43" t="s">
        <v>29</v>
      </c>
      <c r="N692" s="43" t="s">
        <v>1613</v>
      </c>
      <c r="O692" s="43">
        <v>44183</v>
      </c>
      <c r="P692" s="42">
        <v>16.2</v>
      </c>
      <c r="Q692" s="42">
        <v>28.2</v>
      </c>
      <c r="R692" s="46" t="s">
        <v>29</v>
      </c>
      <c r="S692" s="43">
        <v>44183</v>
      </c>
      <c r="T692" s="51">
        <f t="shared" si="28"/>
        <v>3</v>
      </c>
      <c r="U692" s="52" t="str">
        <f t="shared" si="29"/>
        <v>Detectável</v>
      </c>
    </row>
    <row r="693" spans="1:21" ht="25.5" customHeight="1" x14ac:dyDescent="0.2">
      <c r="A693" s="51">
        <v>692</v>
      </c>
      <c r="B693" s="50" t="s">
        <v>1634</v>
      </c>
      <c r="C693" s="51">
        <v>43</v>
      </c>
      <c r="D693" s="51" t="s">
        <v>34</v>
      </c>
      <c r="E693" s="43" t="s">
        <v>1612</v>
      </c>
      <c r="F693" s="44" t="s">
        <v>60</v>
      </c>
      <c r="G693" s="51">
        <v>272</v>
      </c>
      <c r="H693" s="43">
        <v>44183</v>
      </c>
      <c r="I693" s="43" t="s">
        <v>1584</v>
      </c>
      <c r="J693" s="43">
        <v>44183</v>
      </c>
      <c r="K693" s="42" t="s">
        <v>36</v>
      </c>
      <c r="L693" s="42">
        <v>28</v>
      </c>
      <c r="M693" s="45" t="s">
        <v>31</v>
      </c>
      <c r="N693" s="43" t="s">
        <v>60</v>
      </c>
      <c r="O693" s="43" t="s">
        <v>60</v>
      </c>
      <c r="P693" s="42" t="s">
        <v>60</v>
      </c>
      <c r="Q693" s="42" t="s">
        <v>60</v>
      </c>
      <c r="R693" s="46" t="s">
        <v>60</v>
      </c>
      <c r="S693" s="43">
        <v>44183</v>
      </c>
      <c r="T693" s="51">
        <f t="shared" ref="T693:T756" si="30">COUNTIF(G:G,G693)</f>
        <v>3</v>
      </c>
      <c r="U693" s="52" t="str">
        <f t="shared" ref="U693:U756" si="31">IF(M693="Não Detectável","Não Detectável",IF(R693="","",R693))</f>
        <v>Não Detectável</v>
      </c>
    </row>
    <row r="694" spans="1:21" ht="25.5" customHeight="1" x14ac:dyDescent="0.2">
      <c r="A694" s="51">
        <v>693</v>
      </c>
      <c r="B694" s="50" t="s">
        <v>1635</v>
      </c>
      <c r="C694" s="51">
        <v>28</v>
      </c>
      <c r="D694" s="51" t="s">
        <v>34</v>
      </c>
      <c r="E694" s="43" t="s">
        <v>1612</v>
      </c>
      <c r="F694" s="44" t="s">
        <v>60</v>
      </c>
      <c r="G694" s="51">
        <v>272</v>
      </c>
      <c r="H694" s="43">
        <v>44183</v>
      </c>
      <c r="I694" s="43" t="s">
        <v>1584</v>
      </c>
      <c r="J694" s="43">
        <v>44183</v>
      </c>
      <c r="K694" s="42" t="s">
        <v>36</v>
      </c>
      <c r="L694" s="42">
        <v>28</v>
      </c>
      <c r="M694" s="45" t="s">
        <v>31</v>
      </c>
      <c r="N694" s="43" t="s">
        <v>60</v>
      </c>
      <c r="O694" s="43" t="s">
        <v>60</v>
      </c>
      <c r="P694" s="42" t="s">
        <v>60</v>
      </c>
      <c r="Q694" s="42" t="s">
        <v>60</v>
      </c>
      <c r="R694" s="46" t="s">
        <v>60</v>
      </c>
      <c r="S694" s="43">
        <v>44183</v>
      </c>
      <c r="T694" s="51">
        <f t="shared" si="30"/>
        <v>3</v>
      </c>
      <c r="U694" s="52" t="str">
        <f t="shared" si="31"/>
        <v>Não Detectável</v>
      </c>
    </row>
    <row r="695" spans="1:21" ht="25.5" customHeight="1" x14ac:dyDescent="0.2">
      <c r="A695" s="51">
        <v>694</v>
      </c>
      <c r="B695" s="50" t="s">
        <v>1636</v>
      </c>
      <c r="C695" s="51">
        <v>31</v>
      </c>
      <c r="D695" s="51" t="s">
        <v>25</v>
      </c>
      <c r="E695" s="43" t="s">
        <v>1612</v>
      </c>
      <c r="F695" s="44" t="s">
        <v>60</v>
      </c>
      <c r="G695" s="51">
        <v>272</v>
      </c>
      <c r="H695" s="43">
        <v>44183</v>
      </c>
      <c r="I695" s="43" t="s">
        <v>1584</v>
      </c>
      <c r="J695" s="43">
        <v>44183</v>
      </c>
      <c r="K695" s="42" t="s">
        <v>36</v>
      </c>
      <c r="L695" s="42">
        <v>28</v>
      </c>
      <c r="M695" s="45" t="s">
        <v>31</v>
      </c>
      <c r="N695" s="43" t="s">
        <v>60</v>
      </c>
      <c r="O695" s="43" t="s">
        <v>60</v>
      </c>
      <c r="P695" s="42" t="s">
        <v>60</v>
      </c>
      <c r="Q695" s="42" t="s">
        <v>60</v>
      </c>
      <c r="R695" s="46" t="s">
        <v>60</v>
      </c>
      <c r="S695" s="43">
        <v>44183</v>
      </c>
      <c r="T695" s="51">
        <f t="shared" si="30"/>
        <v>3</v>
      </c>
      <c r="U695" s="52" t="str">
        <f t="shared" si="31"/>
        <v>Não Detectável</v>
      </c>
    </row>
    <row r="696" spans="1:21" ht="25.5" customHeight="1" x14ac:dyDescent="0.2">
      <c r="A696" s="51">
        <v>695</v>
      </c>
      <c r="B696" s="50" t="s">
        <v>1637</v>
      </c>
      <c r="C696" s="51">
        <v>59</v>
      </c>
      <c r="D696" s="51" t="s">
        <v>25</v>
      </c>
      <c r="E696" s="43" t="s">
        <v>1612</v>
      </c>
      <c r="F696" s="44" t="s">
        <v>60</v>
      </c>
      <c r="G696" s="51">
        <v>273</v>
      </c>
      <c r="H696" s="43">
        <v>44183</v>
      </c>
      <c r="I696" s="43" t="s">
        <v>1584</v>
      </c>
      <c r="J696" s="43">
        <v>44183</v>
      </c>
      <c r="K696" s="42" t="s">
        <v>36</v>
      </c>
      <c r="L696" s="42">
        <v>27.7</v>
      </c>
      <c r="M696" s="45" t="s">
        <v>31</v>
      </c>
      <c r="N696" s="43" t="s">
        <v>60</v>
      </c>
      <c r="O696" s="43" t="s">
        <v>60</v>
      </c>
      <c r="P696" s="42" t="s">
        <v>60</v>
      </c>
      <c r="Q696" s="42" t="s">
        <v>60</v>
      </c>
      <c r="R696" s="46" t="s">
        <v>60</v>
      </c>
      <c r="S696" s="43">
        <v>44183</v>
      </c>
      <c r="T696" s="51">
        <f t="shared" si="30"/>
        <v>3</v>
      </c>
      <c r="U696" s="52" t="str">
        <f t="shared" si="31"/>
        <v>Não Detectável</v>
      </c>
    </row>
    <row r="697" spans="1:21" ht="25.5" customHeight="1" x14ac:dyDescent="0.2">
      <c r="A697" s="51">
        <v>696</v>
      </c>
      <c r="B697" s="50" t="s">
        <v>1638</v>
      </c>
      <c r="C697" s="51">
        <v>29</v>
      </c>
      <c r="D697" s="51" t="s">
        <v>34</v>
      </c>
      <c r="E697" s="43" t="s">
        <v>1612</v>
      </c>
      <c r="F697" s="44" t="s">
        <v>60</v>
      </c>
      <c r="G697" s="51">
        <v>273</v>
      </c>
      <c r="H697" s="43">
        <v>44183</v>
      </c>
      <c r="I697" s="43" t="s">
        <v>1584</v>
      </c>
      <c r="J697" s="43">
        <v>44183</v>
      </c>
      <c r="K697" s="42" t="s">
        <v>36</v>
      </c>
      <c r="L697" s="42">
        <v>27.7</v>
      </c>
      <c r="M697" s="45" t="s">
        <v>31</v>
      </c>
      <c r="N697" s="43" t="s">
        <v>60</v>
      </c>
      <c r="O697" s="43" t="s">
        <v>60</v>
      </c>
      <c r="P697" s="42" t="s">
        <v>60</v>
      </c>
      <c r="Q697" s="42" t="s">
        <v>60</v>
      </c>
      <c r="R697" s="46" t="s">
        <v>60</v>
      </c>
      <c r="S697" s="43">
        <v>44183</v>
      </c>
      <c r="T697" s="51">
        <f t="shared" si="30"/>
        <v>3</v>
      </c>
      <c r="U697" s="52" t="str">
        <f t="shared" si="31"/>
        <v>Não Detectável</v>
      </c>
    </row>
    <row r="698" spans="1:21" ht="25.5" customHeight="1" x14ac:dyDescent="0.2">
      <c r="A698" s="51">
        <v>697</v>
      </c>
      <c r="B698" s="50" t="s">
        <v>1639</v>
      </c>
      <c r="C698" s="51">
        <v>33</v>
      </c>
      <c r="D698" s="51" t="s">
        <v>25</v>
      </c>
      <c r="E698" s="43" t="s">
        <v>1612</v>
      </c>
      <c r="F698" s="44" t="s">
        <v>60</v>
      </c>
      <c r="G698" s="51">
        <v>273</v>
      </c>
      <c r="H698" s="43">
        <v>44183</v>
      </c>
      <c r="I698" s="43" t="s">
        <v>1584</v>
      </c>
      <c r="J698" s="43">
        <v>44183</v>
      </c>
      <c r="K698" s="42" t="s">
        <v>36</v>
      </c>
      <c r="L698" s="42">
        <v>27.7</v>
      </c>
      <c r="M698" s="45" t="s">
        <v>31</v>
      </c>
      <c r="N698" s="43" t="s">
        <v>60</v>
      </c>
      <c r="O698" s="43" t="s">
        <v>60</v>
      </c>
      <c r="P698" s="42" t="s">
        <v>60</v>
      </c>
      <c r="Q698" s="42" t="s">
        <v>60</v>
      </c>
      <c r="R698" s="46" t="s">
        <v>60</v>
      </c>
      <c r="S698" s="43">
        <v>44183</v>
      </c>
      <c r="T698" s="51">
        <f t="shared" si="30"/>
        <v>3</v>
      </c>
      <c r="U698" s="52" t="str">
        <f t="shared" si="31"/>
        <v>Não Detectável</v>
      </c>
    </row>
    <row r="699" spans="1:21" ht="25.5" customHeight="1" x14ac:dyDescent="0.2">
      <c r="A699" s="51">
        <v>698</v>
      </c>
      <c r="B699" s="50" t="s">
        <v>1640</v>
      </c>
      <c r="C699" s="51">
        <v>48</v>
      </c>
      <c r="D699" s="51" t="s">
        <v>34</v>
      </c>
      <c r="E699" s="43">
        <v>44200</v>
      </c>
      <c r="F699" s="44" t="s">
        <v>60</v>
      </c>
      <c r="G699" s="51">
        <v>274</v>
      </c>
      <c r="H699" s="43">
        <v>44200</v>
      </c>
      <c r="I699" s="43" t="s">
        <v>1641</v>
      </c>
      <c r="J699" s="43">
        <v>44200</v>
      </c>
      <c r="K699" s="42">
        <v>23.6</v>
      </c>
      <c r="L699" s="42">
        <v>26.5</v>
      </c>
      <c r="M699" s="43" t="s">
        <v>29</v>
      </c>
      <c r="N699" s="43" t="s">
        <v>1642</v>
      </c>
      <c r="O699" s="43">
        <v>44201</v>
      </c>
      <c r="P699" s="42">
        <v>29.5</v>
      </c>
      <c r="Q699" s="42">
        <v>26.8</v>
      </c>
      <c r="R699" s="46" t="s">
        <v>29</v>
      </c>
      <c r="S699" s="43">
        <v>44201</v>
      </c>
      <c r="T699" s="51">
        <f t="shared" si="30"/>
        <v>3</v>
      </c>
      <c r="U699" s="52" t="str">
        <f t="shared" si="31"/>
        <v>Detectável</v>
      </c>
    </row>
    <row r="700" spans="1:21" ht="25.5" customHeight="1" x14ac:dyDescent="0.2">
      <c r="A700" s="51">
        <v>699</v>
      </c>
      <c r="B700" s="50" t="s">
        <v>1643</v>
      </c>
      <c r="C700" s="51">
        <v>62</v>
      </c>
      <c r="D700" s="51" t="s">
        <v>25</v>
      </c>
      <c r="E700" s="43">
        <v>44200</v>
      </c>
      <c r="F700" s="44" t="s">
        <v>60</v>
      </c>
      <c r="G700" s="51">
        <v>274</v>
      </c>
      <c r="H700" s="43">
        <v>44200</v>
      </c>
      <c r="I700" s="43" t="s">
        <v>1641</v>
      </c>
      <c r="J700" s="43">
        <v>44200</v>
      </c>
      <c r="K700" s="42">
        <v>23.6</v>
      </c>
      <c r="L700" s="42">
        <v>26.5</v>
      </c>
      <c r="M700" s="43" t="s">
        <v>29</v>
      </c>
      <c r="N700" s="43" t="s">
        <v>1642</v>
      </c>
      <c r="O700" s="43">
        <v>44201</v>
      </c>
      <c r="P700" s="42">
        <v>21.9</v>
      </c>
      <c r="Q700" s="42">
        <v>27.4</v>
      </c>
      <c r="R700" s="46" t="s">
        <v>29</v>
      </c>
      <c r="S700" s="43">
        <v>44201</v>
      </c>
      <c r="T700" s="51">
        <f t="shared" si="30"/>
        <v>3</v>
      </c>
      <c r="U700" s="52" t="str">
        <f t="shared" si="31"/>
        <v>Detectável</v>
      </c>
    </row>
    <row r="701" spans="1:21" ht="25.5" customHeight="1" x14ac:dyDescent="0.2">
      <c r="A701" s="51">
        <v>700</v>
      </c>
      <c r="B701" s="50" t="s">
        <v>1644</v>
      </c>
      <c r="C701" s="51">
        <v>64</v>
      </c>
      <c r="D701" s="51" t="s">
        <v>34</v>
      </c>
      <c r="E701" s="43">
        <v>44200</v>
      </c>
      <c r="F701" s="44" t="s">
        <v>60</v>
      </c>
      <c r="G701" s="51">
        <v>274</v>
      </c>
      <c r="H701" s="43">
        <v>44200</v>
      </c>
      <c r="I701" s="43" t="s">
        <v>1641</v>
      </c>
      <c r="J701" s="43">
        <v>44200</v>
      </c>
      <c r="K701" s="42">
        <v>23.6</v>
      </c>
      <c r="L701" s="42">
        <v>26.5</v>
      </c>
      <c r="M701" s="43" t="s">
        <v>29</v>
      </c>
      <c r="N701" s="43" t="s">
        <v>1642</v>
      </c>
      <c r="O701" s="43">
        <v>44201</v>
      </c>
      <c r="P701" s="42">
        <v>22.4</v>
      </c>
      <c r="Q701" s="42">
        <v>26.4</v>
      </c>
      <c r="R701" s="46" t="s">
        <v>29</v>
      </c>
      <c r="S701" s="43">
        <v>44201</v>
      </c>
      <c r="T701" s="51">
        <f t="shared" si="30"/>
        <v>3</v>
      </c>
      <c r="U701" s="52" t="str">
        <f t="shared" si="31"/>
        <v>Detectável</v>
      </c>
    </row>
    <row r="702" spans="1:21" ht="25.5" customHeight="1" x14ac:dyDescent="0.2">
      <c r="A702" s="51">
        <v>701</v>
      </c>
      <c r="B702" s="50" t="s">
        <v>1645</v>
      </c>
      <c r="C702" s="51">
        <v>28</v>
      </c>
      <c r="D702" s="51" t="s">
        <v>25</v>
      </c>
      <c r="E702" s="43">
        <v>44200</v>
      </c>
      <c r="F702" s="44" t="s">
        <v>60</v>
      </c>
      <c r="G702" s="51">
        <v>275</v>
      </c>
      <c r="H702" s="43">
        <v>44200</v>
      </c>
      <c r="I702" s="43" t="s">
        <v>1641</v>
      </c>
      <c r="J702" s="43">
        <v>44200</v>
      </c>
      <c r="K702" s="42">
        <v>23.1</v>
      </c>
      <c r="L702" s="42">
        <v>25.8</v>
      </c>
      <c r="M702" s="43" t="s">
        <v>29</v>
      </c>
      <c r="N702" s="43" t="s">
        <v>1642</v>
      </c>
      <c r="O702" s="43">
        <v>44201</v>
      </c>
      <c r="P702" s="42">
        <v>21.4</v>
      </c>
      <c r="Q702" s="42">
        <v>27.8</v>
      </c>
      <c r="R702" s="46" t="s">
        <v>29</v>
      </c>
      <c r="S702" s="43">
        <v>44201</v>
      </c>
      <c r="T702" s="51">
        <f t="shared" si="30"/>
        <v>3</v>
      </c>
      <c r="U702" s="52" t="str">
        <f t="shared" si="31"/>
        <v>Detectável</v>
      </c>
    </row>
    <row r="703" spans="1:21" ht="25.5" customHeight="1" x14ac:dyDescent="0.2">
      <c r="A703" s="51">
        <v>702</v>
      </c>
      <c r="B703" s="50" t="s">
        <v>1646</v>
      </c>
      <c r="C703" s="51">
        <v>36</v>
      </c>
      <c r="D703" s="51" t="s">
        <v>34</v>
      </c>
      <c r="E703" s="43">
        <v>44200</v>
      </c>
      <c r="F703" s="44" t="s">
        <v>60</v>
      </c>
      <c r="G703" s="51">
        <v>275</v>
      </c>
      <c r="H703" s="43">
        <v>44200</v>
      </c>
      <c r="I703" s="43" t="s">
        <v>1641</v>
      </c>
      <c r="J703" s="43">
        <v>44200</v>
      </c>
      <c r="K703" s="42">
        <v>23.1</v>
      </c>
      <c r="L703" s="42">
        <v>25.8</v>
      </c>
      <c r="M703" s="43" t="s">
        <v>29</v>
      </c>
      <c r="N703" s="43" t="s">
        <v>1642</v>
      </c>
      <c r="O703" s="43">
        <v>44201</v>
      </c>
      <c r="P703" s="42">
        <v>24.3</v>
      </c>
      <c r="Q703" s="42">
        <v>27.1</v>
      </c>
      <c r="R703" s="46" t="s">
        <v>29</v>
      </c>
      <c r="S703" s="43">
        <v>44201</v>
      </c>
      <c r="T703" s="51">
        <f t="shared" si="30"/>
        <v>3</v>
      </c>
      <c r="U703" s="52" t="str">
        <f t="shared" si="31"/>
        <v>Detectável</v>
      </c>
    </row>
    <row r="704" spans="1:21" ht="25.5" customHeight="1" x14ac:dyDescent="0.2">
      <c r="A704" s="51">
        <v>703</v>
      </c>
      <c r="B704" s="50" t="s">
        <v>1647</v>
      </c>
      <c r="C704" s="51">
        <v>83</v>
      </c>
      <c r="D704" s="51" t="s">
        <v>25</v>
      </c>
      <c r="E704" s="43">
        <v>44200</v>
      </c>
      <c r="F704" s="44" t="s">
        <v>60</v>
      </c>
      <c r="G704" s="51">
        <v>275</v>
      </c>
      <c r="H704" s="43">
        <v>44200</v>
      </c>
      <c r="I704" s="43" t="s">
        <v>1641</v>
      </c>
      <c r="J704" s="43">
        <v>44200</v>
      </c>
      <c r="K704" s="42">
        <v>23.1</v>
      </c>
      <c r="L704" s="42">
        <v>25.8</v>
      </c>
      <c r="M704" s="43" t="s">
        <v>29</v>
      </c>
      <c r="N704" s="43" t="s">
        <v>1642</v>
      </c>
      <c r="O704" s="43">
        <v>44201</v>
      </c>
      <c r="P704" s="42" t="s">
        <v>36</v>
      </c>
      <c r="Q704" s="42">
        <v>26</v>
      </c>
      <c r="R704" s="46" t="s">
        <v>31</v>
      </c>
      <c r="S704" s="43">
        <v>44201</v>
      </c>
      <c r="T704" s="51">
        <f t="shared" si="30"/>
        <v>3</v>
      </c>
      <c r="U704" s="52" t="str">
        <f t="shared" si="31"/>
        <v>Não Detectável</v>
      </c>
    </row>
    <row r="705" spans="1:21" ht="25.5" customHeight="1" x14ac:dyDescent="0.2">
      <c r="A705" s="51">
        <v>704</v>
      </c>
      <c r="B705" s="50" t="s">
        <v>1648</v>
      </c>
      <c r="C705" s="51">
        <v>34</v>
      </c>
      <c r="D705" s="51" t="s">
        <v>34</v>
      </c>
      <c r="E705" s="43">
        <v>44200</v>
      </c>
      <c r="F705" s="44" t="s">
        <v>60</v>
      </c>
      <c r="G705" s="51">
        <v>276</v>
      </c>
      <c r="H705" s="43">
        <v>44200</v>
      </c>
      <c r="I705" s="43" t="s">
        <v>1641</v>
      </c>
      <c r="J705" s="43">
        <v>44200</v>
      </c>
      <c r="K705" s="42" t="s">
        <v>36</v>
      </c>
      <c r="L705" s="42">
        <v>26.6</v>
      </c>
      <c r="M705" s="45" t="s">
        <v>31</v>
      </c>
      <c r="N705" s="43" t="s">
        <v>60</v>
      </c>
      <c r="O705" s="43" t="s">
        <v>60</v>
      </c>
      <c r="P705" s="42" t="s">
        <v>60</v>
      </c>
      <c r="Q705" s="42" t="s">
        <v>60</v>
      </c>
      <c r="R705" s="46" t="s">
        <v>60</v>
      </c>
      <c r="S705" s="43">
        <v>44201</v>
      </c>
      <c r="T705" s="51">
        <f t="shared" si="30"/>
        <v>3</v>
      </c>
      <c r="U705" s="52" t="str">
        <f t="shared" si="31"/>
        <v>Não Detectável</v>
      </c>
    </row>
    <row r="706" spans="1:21" ht="25.5" customHeight="1" x14ac:dyDescent="0.2">
      <c r="A706" s="51">
        <v>705</v>
      </c>
      <c r="B706" s="50" t="s">
        <v>1649</v>
      </c>
      <c r="C706" s="51">
        <v>65</v>
      </c>
      <c r="D706" s="51" t="s">
        <v>34</v>
      </c>
      <c r="E706" s="43">
        <v>44200</v>
      </c>
      <c r="F706" s="44" t="s">
        <v>60</v>
      </c>
      <c r="G706" s="51">
        <v>276</v>
      </c>
      <c r="H706" s="43">
        <v>44200</v>
      </c>
      <c r="I706" s="43" t="s">
        <v>1641</v>
      </c>
      <c r="J706" s="43">
        <v>44200</v>
      </c>
      <c r="K706" s="42" t="s">
        <v>36</v>
      </c>
      <c r="L706" s="42">
        <v>26.6</v>
      </c>
      <c r="M706" s="45" t="s">
        <v>31</v>
      </c>
      <c r="N706" s="43" t="s">
        <v>60</v>
      </c>
      <c r="O706" s="43" t="s">
        <v>60</v>
      </c>
      <c r="P706" s="42" t="s">
        <v>60</v>
      </c>
      <c r="Q706" s="42" t="s">
        <v>60</v>
      </c>
      <c r="R706" s="46" t="s">
        <v>60</v>
      </c>
      <c r="S706" s="43">
        <v>44201</v>
      </c>
      <c r="T706" s="51">
        <f t="shared" si="30"/>
        <v>3</v>
      </c>
      <c r="U706" s="52" t="str">
        <f t="shared" si="31"/>
        <v>Não Detectável</v>
      </c>
    </row>
    <row r="707" spans="1:21" ht="25.5" customHeight="1" x14ac:dyDescent="0.2">
      <c r="A707" s="51">
        <v>706</v>
      </c>
      <c r="B707" s="50" t="s">
        <v>1650</v>
      </c>
      <c r="C707" s="51">
        <v>60</v>
      </c>
      <c r="D707" s="51" t="s">
        <v>25</v>
      </c>
      <c r="E707" s="43">
        <v>44200</v>
      </c>
      <c r="F707" s="44" t="s">
        <v>60</v>
      </c>
      <c r="G707" s="51">
        <v>276</v>
      </c>
      <c r="H707" s="43">
        <v>44200</v>
      </c>
      <c r="I707" s="43" t="s">
        <v>1641</v>
      </c>
      <c r="J707" s="43">
        <v>44200</v>
      </c>
      <c r="K707" s="42" t="s">
        <v>36</v>
      </c>
      <c r="L707" s="42">
        <v>26.6</v>
      </c>
      <c r="M707" s="45" t="s">
        <v>31</v>
      </c>
      <c r="N707" s="43" t="s">
        <v>60</v>
      </c>
      <c r="O707" s="43" t="s">
        <v>60</v>
      </c>
      <c r="P707" s="42" t="s">
        <v>60</v>
      </c>
      <c r="Q707" s="42" t="s">
        <v>60</v>
      </c>
      <c r="R707" s="46" t="s">
        <v>60</v>
      </c>
      <c r="S707" s="43">
        <v>44201</v>
      </c>
      <c r="T707" s="51">
        <f t="shared" si="30"/>
        <v>3</v>
      </c>
      <c r="U707" s="52" t="str">
        <f t="shared" si="31"/>
        <v>Não Detectável</v>
      </c>
    </row>
    <row r="708" spans="1:21" ht="25.5" customHeight="1" x14ac:dyDescent="0.2">
      <c r="A708" s="51">
        <v>707</v>
      </c>
      <c r="B708" s="50" t="s">
        <v>1651</v>
      </c>
      <c r="C708" s="51">
        <v>56</v>
      </c>
      <c r="D708" s="51" t="s">
        <v>25</v>
      </c>
      <c r="E708" s="43">
        <v>44200</v>
      </c>
      <c r="F708" s="44" t="s">
        <v>60</v>
      </c>
      <c r="G708" s="51">
        <v>277</v>
      </c>
      <c r="H708" s="43">
        <v>44200</v>
      </c>
      <c r="I708" s="43" t="s">
        <v>1652</v>
      </c>
      <c r="J708" s="43">
        <v>44202</v>
      </c>
      <c r="K708" s="42">
        <v>21.4</v>
      </c>
      <c r="L708" s="42">
        <v>28.3</v>
      </c>
      <c r="M708" s="43" t="s">
        <v>29</v>
      </c>
      <c r="N708" s="43" t="s">
        <v>1653</v>
      </c>
      <c r="O708" s="43">
        <v>44203</v>
      </c>
      <c r="P708" s="42">
        <v>27.7</v>
      </c>
      <c r="Q708" s="42">
        <v>27.1</v>
      </c>
      <c r="R708" s="46" t="s">
        <v>29</v>
      </c>
      <c r="S708" s="43">
        <v>44203</v>
      </c>
      <c r="T708" s="51">
        <f t="shared" si="30"/>
        <v>3</v>
      </c>
      <c r="U708" s="52" t="str">
        <f t="shared" si="31"/>
        <v>Detectável</v>
      </c>
    </row>
    <row r="709" spans="1:21" ht="25.5" customHeight="1" x14ac:dyDescent="0.2">
      <c r="A709" s="51">
        <v>708</v>
      </c>
      <c r="B709" s="50" t="s">
        <v>1654</v>
      </c>
      <c r="C709" s="51">
        <v>61</v>
      </c>
      <c r="D709" s="51" t="s">
        <v>25</v>
      </c>
      <c r="E709" s="43">
        <v>44201</v>
      </c>
      <c r="F709" s="44" t="s">
        <v>60</v>
      </c>
      <c r="G709" s="51">
        <v>277</v>
      </c>
      <c r="H709" s="43">
        <v>44202</v>
      </c>
      <c r="I709" s="43" t="s">
        <v>1652</v>
      </c>
      <c r="J709" s="43">
        <v>44202</v>
      </c>
      <c r="K709" s="42">
        <v>21.4</v>
      </c>
      <c r="L709" s="42">
        <v>28.3</v>
      </c>
      <c r="M709" s="43" t="s">
        <v>29</v>
      </c>
      <c r="N709" s="43" t="s">
        <v>1653</v>
      </c>
      <c r="O709" s="43">
        <v>44203</v>
      </c>
      <c r="P709" s="42">
        <v>35.6</v>
      </c>
      <c r="Q709" s="42">
        <v>27.4</v>
      </c>
      <c r="R709" s="46" t="s">
        <v>29</v>
      </c>
      <c r="S709" s="43">
        <v>44203</v>
      </c>
      <c r="T709" s="51">
        <f t="shared" si="30"/>
        <v>3</v>
      </c>
      <c r="U709" s="52" t="str">
        <f t="shared" si="31"/>
        <v>Detectável</v>
      </c>
    </row>
    <row r="710" spans="1:21" ht="25.5" customHeight="1" x14ac:dyDescent="0.2">
      <c r="A710" s="51">
        <v>709</v>
      </c>
      <c r="B710" s="50" t="s">
        <v>1655</v>
      </c>
      <c r="C710" s="51">
        <v>57</v>
      </c>
      <c r="D710" s="51" t="s">
        <v>25</v>
      </c>
      <c r="E710" s="43">
        <v>44201</v>
      </c>
      <c r="F710" s="44" t="s">
        <v>60</v>
      </c>
      <c r="G710" s="51">
        <v>277</v>
      </c>
      <c r="H710" s="43">
        <v>44202</v>
      </c>
      <c r="I710" s="43" t="s">
        <v>1652</v>
      </c>
      <c r="J710" s="43">
        <v>44202</v>
      </c>
      <c r="K710" s="42">
        <v>21.4</v>
      </c>
      <c r="L710" s="42">
        <v>28.3</v>
      </c>
      <c r="M710" s="43" t="s">
        <v>29</v>
      </c>
      <c r="N710" s="43" t="s">
        <v>1653</v>
      </c>
      <c r="O710" s="43">
        <v>44203</v>
      </c>
      <c r="P710" s="42">
        <v>17.399999999999999</v>
      </c>
      <c r="Q710" s="42">
        <v>26</v>
      </c>
      <c r="R710" s="46" t="s">
        <v>29</v>
      </c>
      <c r="S710" s="43">
        <v>44203</v>
      </c>
      <c r="T710" s="51">
        <f t="shared" si="30"/>
        <v>3</v>
      </c>
      <c r="U710" s="52" t="str">
        <f t="shared" si="31"/>
        <v>Detectável</v>
      </c>
    </row>
    <row r="711" spans="1:21" ht="25.5" customHeight="1" x14ac:dyDescent="0.2">
      <c r="A711" s="51">
        <v>710</v>
      </c>
      <c r="B711" s="50" t="s">
        <v>1656</v>
      </c>
      <c r="C711" s="51">
        <v>40</v>
      </c>
      <c r="D711" s="51" t="s">
        <v>25</v>
      </c>
      <c r="E711" s="43">
        <v>44201</v>
      </c>
      <c r="F711" s="44" t="s">
        <v>60</v>
      </c>
      <c r="G711" s="51">
        <v>278</v>
      </c>
      <c r="H711" s="43">
        <v>44202</v>
      </c>
      <c r="I711" s="43" t="s">
        <v>1652</v>
      </c>
      <c r="J711" s="43">
        <v>44202</v>
      </c>
      <c r="K711" s="42">
        <v>17.3</v>
      </c>
      <c r="L711" s="42">
        <v>27.8</v>
      </c>
      <c r="M711" s="43" t="s">
        <v>29</v>
      </c>
      <c r="N711" s="43" t="s">
        <v>1653</v>
      </c>
      <c r="O711" s="43">
        <v>44203</v>
      </c>
      <c r="P711" s="42">
        <v>15.6</v>
      </c>
      <c r="Q711" s="42">
        <v>26.9</v>
      </c>
      <c r="R711" s="46" t="s">
        <v>29</v>
      </c>
      <c r="S711" s="43">
        <v>44203</v>
      </c>
      <c r="T711" s="51">
        <f t="shared" si="30"/>
        <v>3</v>
      </c>
      <c r="U711" s="52" t="str">
        <f t="shared" si="31"/>
        <v>Detectável</v>
      </c>
    </row>
    <row r="712" spans="1:21" ht="25.5" customHeight="1" x14ac:dyDescent="0.2">
      <c r="A712" s="51">
        <v>711</v>
      </c>
      <c r="B712" s="50" t="s">
        <v>1657</v>
      </c>
      <c r="C712" s="51">
        <v>65</v>
      </c>
      <c r="D712" s="51" t="s">
        <v>25</v>
      </c>
      <c r="E712" s="43">
        <v>44201</v>
      </c>
      <c r="F712" s="44" t="s">
        <v>60</v>
      </c>
      <c r="G712" s="51">
        <v>278</v>
      </c>
      <c r="H712" s="43">
        <v>44202</v>
      </c>
      <c r="I712" s="43" t="s">
        <v>1652</v>
      </c>
      <c r="J712" s="43">
        <v>44202</v>
      </c>
      <c r="K712" s="42">
        <v>17.3</v>
      </c>
      <c r="L712" s="42">
        <v>27.8</v>
      </c>
      <c r="M712" s="43" t="s">
        <v>29</v>
      </c>
      <c r="N712" s="43" t="s">
        <v>1653</v>
      </c>
      <c r="O712" s="43">
        <v>44203</v>
      </c>
      <c r="P712" s="42">
        <v>25.4</v>
      </c>
      <c r="Q712" s="42">
        <v>27.8</v>
      </c>
      <c r="R712" s="46" t="s">
        <v>29</v>
      </c>
      <c r="S712" s="43">
        <v>44203</v>
      </c>
      <c r="T712" s="51">
        <f t="shared" si="30"/>
        <v>3</v>
      </c>
      <c r="U712" s="52" t="str">
        <f t="shared" si="31"/>
        <v>Detectável</v>
      </c>
    </row>
    <row r="713" spans="1:21" ht="25.5" customHeight="1" x14ac:dyDescent="0.2">
      <c r="A713" s="51">
        <v>712</v>
      </c>
      <c r="B713" s="50" t="s">
        <v>1658</v>
      </c>
      <c r="C713" s="51">
        <v>68</v>
      </c>
      <c r="D713" s="51" t="s">
        <v>34</v>
      </c>
      <c r="E713" s="43">
        <v>44201</v>
      </c>
      <c r="F713" s="44" t="s">
        <v>60</v>
      </c>
      <c r="G713" s="51">
        <v>278</v>
      </c>
      <c r="H713" s="43">
        <v>44202</v>
      </c>
      <c r="I713" s="43" t="s">
        <v>1652</v>
      </c>
      <c r="J713" s="43">
        <v>44202</v>
      </c>
      <c r="K713" s="42">
        <v>17.3</v>
      </c>
      <c r="L713" s="42">
        <v>27.8</v>
      </c>
      <c r="M713" s="43" t="s">
        <v>29</v>
      </c>
      <c r="N713" s="43" t="s">
        <v>1653</v>
      </c>
      <c r="O713" s="43">
        <v>44203</v>
      </c>
      <c r="P713" s="42">
        <v>21.3</v>
      </c>
      <c r="Q713" s="42">
        <v>26.9</v>
      </c>
      <c r="R713" s="46" t="s">
        <v>29</v>
      </c>
      <c r="S713" s="43">
        <v>44203</v>
      </c>
      <c r="T713" s="51">
        <f t="shared" si="30"/>
        <v>3</v>
      </c>
      <c r="U713" s="52" t="str">
        <f t="shared" si="31"/>
        <v>Detectável</v>
      </c>
    </row>
    <row r="714" spans="1:21" ht="25.5" customHeight="1" x14ac:dyDescent="0.2">
      <c r="A714" s="51">
        <v>713</v>
      </c>
      <c r="B714" s="50" t="s">
        <v>1659</v>
      </c>
      <c r="C714" s="51">
        <v>46</v>
      </c>
      <c r="D714" s="51" t="s">
        <v>25</v>
      </c>
      <c r="E714" s="43">
        <v>44201</v>
      </c>
      <c r="F714" s="44" t="s">
        <v>60</v>
      </c>
      <c r="G714" s="51">
        <v>279</v>
      </c>
      <c r="H714" s="43">
        <v>44202</v>
      </c>
      <c r="I714" s="43" t="s">
        <v>1652</v>
      </c>
      <c r="J714" s="43">
        <v>44202</v>
      </c>
      <c r="K714" s="42">
        <v>17.8</v>
      </c>
      <c r="L714" s="42">
        <v>28.5</v>
      </c>
      <c r="M714" s="43" t="s">
        <v>29</v>
      </c>
      <c r="N714" s="43" t="s">
        <v>1653</v>
      </c>
      <c r="O714" s="43">
        <v>44203</v>
      </c>
      <c r="P714" s="42">
        <v>15.3</v>
      </c>
      <c r="Q714" s="42">
        <v>27.6</v>
      </c>
      <c r="R714" s="46" t="s">
        <v>29</v>
      </c>
      <c r="S714" s="43">
        <v>44203</v>
      </c>
      <c r="T714" s="51">
        <f t="shared" si="30"/>
        <v>3</v>
      </c>
      <c r="U714" s="52" t="str">
        <f t="shared" si="31"/>
        <v>Detectável</v>
      </c>
    </row>
    <row r="715" spans="1:21" ht="25.5" customHeight="1" x14ac:dyDescent="0.2">
      <c r="A715" s="51">
        <v>714</v>
      </c>
      <c r="B715" s="50" t="s">
        <v>1660</v>
      </c>
      <c r="C715" s="51">
        <v>20</v>
      </c>
      <c r="D715" s="51" t="s">
        <v>25</v>
      </c>
      <c r="E715" s="43">
        <v>44201</v>
      </c>
      <c r="F715" s="44" t="s">
        <v>60</v>
      </c>
      <c r="G715" s="51">
        <v>279</v>
      </c>
      <c r="H715" s="43">
        <v>44202</v>
      </c>
      <c r="I715" s="43" t="s">
        <v>1652</v>
      </c>
      <c r="J715" s="43">
        <v>44202</v>
      </c>
      <c r="K715" s="42">
        <v>17.8</v>
      </c>
      <c r="L715" s="42">
        <v>28.5</v>
      </c>
      <c r="M715" s="43" t="s">
        <v>29</v>
      </c>
      <c r="N715" s="43" t="s">
        <v>1653</v>
      </c>
      <c r="O715" s="43">
        <v>44203</v>
      </c>
      <c r="P715" s="42">
        <v>21.5</v>
      </c>
      <c r="Q715" s="42">
        <v>26.6</v>
      </c>
      <c r="R715" s="46" t="s">
        <v>29</v>
      </c>
      <c r="S715" s="43">
        <v>44203</v>
      </c>
      <c r="T715" s="51">
        <f t="shared" si="30"/>
        <v>3</v>
      </c>
      <c r="U715" s="52" t="str">
        <f t="shared" si="31"/>
        <v>Detectável</v>
      </c>
    </row>
    <row r="716" spans="1:21" ht="25.5" customHeight="1" x14ac:dyDescent="0.2">
      <c r="A716" s="51">
        <v>715</v>
      </c>
      <c r="B716" s="50" t="s">
        <v>1661</v>
      </c>
      <c r="C716" s="51">
        <v>42</v>
      </c>
      <c r="D716" s="51" t="s">
        <v>34</v>
      </c>
      <c r="E716" s="43">
        <v>44201</v>
      </c>
      <c r="F716" s="44" t="s">
        <v>60</v>
      </c>
      <c r="G716" s="51">
        <v>279</v>
      </c>
      <c r="H716" s="43">
        <v>44202</v>
      </c>
      <c r="I716" s="43" t="s">
        <v>1652</v>
      </c>
      <c r="J716" s="43">
        <v>44202</v>
      </c>
      <c r="K716" s="42">
        <v>17.8</v>
      </c>
      <c r="L716" s="42">
        <v>28.5</v>
      </c>
      <c r="M716" s="43" t="s">
        <v>29</v>
      </c>
      <c r="N716" s="43" t="s">
        <v>1653</v>
      </c>
      <c r="O716" s="43">
        <v>44203</v>
      </c>
      <c r="P716" s="42" t="s">
        <v>36</v>
      </c>
      <c r="Q716" s="42">
        <v>28.6</v>
      </c>
      <c r="R716" s="46" t="s">
        <v>31</v>
      </c>
      <c r="S716" s="43">
        <v>44203</v>
      </c>
      <c r="T716" s="51">
        <f t="shared" si="30"/>
        <v>3</v>
      </c>
      <c r="U716" s="52" t="str">
        <f t="shared" si="31"/>
        <v>Não Detectável</v>
      </c>
    </row>
    <row r="717" spans="1:21" ht="25.5" customHeight="1" x14ac:dyDescent="0.2">
      <c r="A717" s="51">
        <v>716</v>
      </c>
      <c r="B717" s="50" t="s">
        <v>1662</v>
      </c>
      <c r="C717" s="51">
        <v>41</v>
      </c>
      <c r="D717" s="51" t="s">
        <v>25</v>
      </c>
      <c r="E717" s="43">
        <v>44201</v>
      </c>
      <c r="F717" s="44" t="s">
        <v>60</v>
      </c>
      <c r="G717" s="51">
        <v>280</v>
      </c>
      <c r="H717" s="43">
        <v>44202</v>
      </c>
      <c r="I717" s="43" t="s">
        <v>1652</v>
      </c>
      <c r="J717" s="43">
        <v>44202</v>
      </c>
      <c r="K717" s="42">
        <v>15.4</v>
      </c>
      <c r="L717" s="42">
        <v>27</v>
      </c>
      <c r="M717" s="43" t="s">
        <v>29</v>
      </c>
      <c r="N717" s="43" t="s">
        <v>1653</v>
      </c>
      <c r="O717" s="43">
        <v>44203</v>
      </c>
      <c r="P717" s="42" t="s">
        <v>36</v>
      </c>
      <c r="Q717" s="42">
        <v>28.8</v>
      </c>
      <c r="R717" s="46" t="s">
        <v>31</v>
      </c>
      <c r="S717" s="43">
        <v>44203</v>
      </c>
      <c r="T717" s="51">
        <f t="shared" si="30"/>
        <v>3</v>
      </c>
      <c r="U717" s="52" t="str">
        <f t="shared" si="31"/>
        <v>Não Detectável</v>
      </c>
    </row>
    <row r="718" spans="1:21" ht="25.5" customHeight="1" x14ac:dyDescent="0.2">
      <c r="A718" s="51">
        <v>717</v>
      </c>
      <c r="B718" s="50" t="s">
        <v>1663</v>
      </c>
      <c r="C718" s="51">
        <v>21</v>
      </c>
      <c r="D718" s="51" t="s">
        <v>34</v>
      </c>
      <c r="E718" s="43">
        <v>44201</v>
      </c>
      <c r="F718" s="44" t="s">
        <v>60</v>
      </c>
      <c r="G718" s="51">
        <v>280</v>
      </c>
      <c r="H718" s="43">
        <v>44202</v>
      </c>
      <c r="I718" s="43" t="s">
        <v>1652</v>
      </c>
      <c r="J718" s="43">
        <v>44202</v>
      </c>
      <c r="K718" s="42">
        <v>15.4</v>
      </c>
      <c r="L718" s="42">
        <v>27</v>
      </c>
      <c r="M718" s="43" t="s">
        <v>29</v>
      </c>
      <c r="N718" s="43" t="s">
        <v>1653</v>
      </c>
      <c r="O718" s="43">
        <v>44203</v>
      </c>
      <c r="P718" s="42">
        <v>14.2</v>
      </c>
      <c r="Q718" s="42">
        <v>25.2</v>
      </c>
      <c r="R718" s="46" t="s">
        <v>29</v>
      </c>
      <c r="S718" s="43">
        <v>44203</v>
      </c>
      <c r="T718" s="51">
        <f t="shared" si="30"/>
        <v>3</v>
      </c>
      <c r="U718" s="52" t="str">
        <f t="shared" si="31"/>
        <v>Detectável</v>
      </c>
    </row>
    <row r="719" spans="1:21" ht="25.5" customHeight="1" x14ac:dyDescent="0.2">
      <c r="A719" s="51">
        <v>718</v>
      </c>
      <c r="B719" s="50" t="s">
        <v>1664</v>
      </c>
      <c r="C719" s="51">
        <v>62</v>
      </c>
      <c r="D719" s="51" t="s">
        <v>25</v>
      </c>
      <c r="E719" s="43">
        <v>44201</v>
      </c>
      <c r="F719" s="44" t="s">
        <v>60</v>
      </c>
      <c r="G719" s="51">
        <v>280</v>
      </c>
      <c r="H719" s="43">
        <v>44202</v>
      </c>
      <c r="I719" s="43" t="s">
        <v>1652</v>
      </c>
      <c r="J719" s="43">
        <v>44202</v>
      </c>
      <c r="K719" s="42">
        <v>15.4</v>
      </c>
      <c r="L719" s="42">
        <v>27</v>
      </c>
      <c r="M719" s="43" t="s">
        <v>29</v>
      </c>
      <c r="N719" s="43" t="s">
        <v>1653</v>
      </c>
      <c r="O719" s="43">
        <v>44203</v>
      </c>
      <c r="P719" s="42">
        <v>36.299999999999997</v>
      </c>
      <c r="Q719" s="42">
        <v>26.1</v>
      </c>
      <c r="R719" s="46" t="s">
        <v>29</v>
      </c>
      <c r="S719" s="43">
        <v>44203</v>
      </c>
      <c r="T719" s="51">
        <f t="shared" si="30"/>
        <v>3</v>
      </c>
      <c r="U719" s="52" t="str">
        <f t="shared" si="31"/>
        <v>Detectável</v>
      </c>
    </row>
    <row r="720" spans="1:21" ht="25.5" customHeight="1" x14ac:dyDescent="0.2">
      <c r="A720" s="51">
        <v>719</v>
      </c>
      <c r="B720" s="50" t="s">
        <v>1665</v>
      </c>
      <c r="C720" s="51">
        <v>22</v>
      </c>
      <c r="D720" s="51" t="s">
        <v>25</v>
      </c>
      <c r="E720" s="43">
        <v>44201</v>
      </c>
      <c r="F720" s="44" t="s">
        <v>60</v>
      </c>
      <c r="G720" s="51">
        <v>281</v>
      </c>
      <c r="H720" s="43">
        <v>44202</v>
      </c>
      <c r="I720" s="43" t="s">
        <v>1652</v>
      </c>
      <c r="J720" s="43">
        <v>44202</v>
      </c>
      <c r="K720" s="42">
        <v>25.5</v>
      </c>
      <c r="L720" s="42">
        <v>27.8</v>
      </c>
      <c r="M720" s="43" t="s">
        <v>29</v>
      </c>
      <c r="N720" s="43" t="s">
        <v>1653</v>
      </c>
      <c r="O720" s="43">
        <v>44203</v>
      </c>
      <c r="P720" s="42" t="s">
        <v>36</v>
      </c>
      <c r="Q720" s="42">
        <v>27.2</v>
      </c>
      <c r="R720" s="46" t="s">
        <v>31</v>
      </c>
      <c r="S720" s="43">
        <v>44203</v>
      </c>
      <c r="T720" s="51">
        <f t="shared" si="30"/>
        <v>3</v>
      </c>
      <c r="U720" s="52" t="str">
        <f t="shared" si="31"/>
        <v>Não Detectável</v>
      </c>
    </row>
    <row r="721" spans="1:21" ht="25.5" customHeight="1" x14ac:dyDescent="0.2">
      <c r="A721" s="51">
        <v>720</v>
      </c>
      <c r="B721" s="50" t="s">
        <v>1666</v>
      </c>
      <c r="C721" s="51">
        <v>32</v>
      </c>
      <c r="D721" s="51" t="s">
        <v>25</v>
      </c>
      <c r="E721" s="43">
        <v>44201</v>
      </c>
      <c r="F721" s="44" t="s">
        <v>60</v>
      </c>
      <c r="G721" s="51">
        <v>281</v>
      </c>
      <c r="H721" s="43">
        <v>44202</v>
      </c>
      <c r="I721" s="43" t="s">
        <v>1652</v>
      </c>
      <c r="J721" s="43">
        <v>44202</v>
      </c>
      <c r="K721" s="42">
        <v>25.5</v>
      </c>
      <c r="L721" s="42">
        <v>27.8</v>
      </c>
      <c r="M721" s="43" t="s">
        <v>29</v>
      </c>
      <c r="N721" s="43" t="s">
        <v>1653</v>
      </c>
      <c r="O721" s="43">
        <v>44203</v>
      </c>
      <c r="P721" s="42">
        <v>23</v>
      </c>
      <c r="Q721" s="42">
        <v>26.9</v>
      </c>
      <c r="R721" s="46" t="s">
        <v>29</v>
      </c>
      <c r="S721" s="43">
        <v>44203</v>
      </c>
      <c r="T721" s="51">
        <f t="shared" si="30"/>
        <v>3</v>
      </c>
      <c r="U721" s="52" t="str">
        <f t="shared" si="31"/>
        <v>Detectável</v>
      </c>
    </row>
    <row r="722" spans="1:21" ht="25.5" customHeight="1" x14ac:dyDescent="0.2">
      <c r="A722" s="51">
        <v>721</v>
      </c>
      <c r="B722" s="50" t="s">
        <v>1667</v>
      </c>
      <c r="C722" s="51">
        <v>25</v>
      </c>
      <c r="D722" s="51" t="s">
        <v>25</v>
      </c>
      <c r="E722" s="43">
        <v>44201</v>
      </c>
      <c r="F722" s="44" t="s">
        <v>60</v>
      </c>
      <c r="G722" s="51">
        <v>281</v>
      </c>
      <c r="H722" s="43">
        <v>44202</v>
      </c>
      <c r="I722" s="43" t="s">
        <v>1652</v>
      </c>
      <c r="J722" s="43">
        <v>44202</v>
      </c>
      <c r="K722" s="42">
        <v>25.5</v>
      </c>
      <c r="L722" s="42">
        <v>27.8</v>
      </c>
      <c r="M722" s="43" t="s">
        <v>29</v>
      </c>
      <c r="N722" s="43" t="s">
        <v>1653</v>
      </c>
      <c r="O722" s="43">
        <v>44203</v>
      </c>
      <c r="P722" s="42" t="s">
        <v>36</v>
      </c>
      <c r="Q722" s="42">
        <v>30.5</v>
      </c>
      <c r="R722" s="46" t="s">
        <v>31</v>
      </c>
      <c r="S722" s="43">
        <v>44203</v>
      </c>
      <c r="T722" s="51">
        <f t="shared" si="30"/>
        <v>3</v>
      </c>
      <c r="U722" s="52" t="str">
        <f t="shared" si="31"/>
        <v>Não Detectável</v>
      </c>
    </row>
    <row r="723" spans="1:21" ht="25.5" customHeight="1" x14ac:dyDescent="0.2">
      <c r="A723" s="51">
        <v>722</v>
      </c>
      <c r="B723" s="50" t="s">
        <v>1668</v>
      </c>
      <c r="C723" s="51">
        <v>25</v>
      </c>
      <c r="D723" s="51" t="s">
        <v>25</v>
      </c>
      <c r="E723" s="43">
        <v>44201</v>
      </c>
      <c r="F723" s="44" t="s">
        <v>60</v>
      </c>
      <c r="G723" s="51">
        <v>282</v>
      </c>
      <c r="H723" s="43">
        <v>44202</v>
      </c>
      <c r="I723" s="43" t="s">
        <v>1652</v>
      </c>
      <c r="J723" s="43">
        <v>44202</v>
      </c>
      <c r="K723" s="42" t="s">
        <v>36</v>
      </c>
      <c r="L723" s="42">
        <v>27.5</v>
      </c>
      <c r="M723" s="45" t="s">
        <v>31</v>
      </c>
      <c r="N723" s="43" t="s">
        <v>60</v>
      </c>
      <c r="O723" s="43" t="s">
        <v>60</v>
      </c>
      <c r="P723" s="42" t="s">
        <v>60</v>
      </c>
      <c r="Q723" s="42" t="s">
        <v>60</v>
      </c>
      <c r="R723" s="46" t="s">
        <v>60</v>
      </c>
      <c r="S723" s="43">
        <v>44202</v>
      </c>
      <c r="T723" s="51">
        <f t="shared" si="30"/>
        <v>3</v>
      </c>
      <c r="U723" s="52" t="str">
        <f t="shared" si="31"/>
        <v>Não Detectável</v>
      </c>
    </row>
    <row r="724" spans="1:21" ht="25.5" customHeight="1" x14ac:dyDescent="0.2">
      <c r="A724" s="51">
        <v>723</v>
      </c>
      <c r="B724" s="50" t="s">
        <v>1669</v>
      </c>
      <c r="C724" s="51">
        <v>40</v>
      </c>
      <c r="D724" s="51" t="s">
        <v>34</v>
      </c>
      <c r="E724" s="43">
        <v>44201</v>
      </c>
      <c r="F724" s="44" t="s">
        <v>60</v>
      </c>
      <c r="G724" s="51">
        <v>282</v>
      </c>
      <c r="H724" s="43">
        <v>44202</v>
      </c>
      <c r="I724" s="43" t="s">
        <v>1652</v>
      </c>
      <c r="J724" s="43">
        <v>44202</v>
      </c>
      <c r="K724" s="42" t="s">
        <v>36</v>
      </c>
      <c r="L724" s="42">
        <v>27.5</v>
      </c>
      <c r="M724" s="45" t="s">
        <v>31</v>
      </c>
      <c r="N724" s="43" t="s">
        <v>60</v>
      </c>
      <c r="O724" s="43" t="s">
        <v>60</v>
      </c>
      <c r="P724" s="42" t="s">
        <v>60</v>
      </c>
      <c r="Q724" s="42" t="s">
        <v>60</v>
      </c>
      <c r="R724" s="46" t="s">
        <v>60</v>
      </c>
      <c r="S724" s="43">
        <v>44202</v>
      </c>
      <c r="T724" s="51">
        <f t="shared" si="30"/>
        <v>3</v>
      </c>
      <c r="U724" s="52" t="str">
        <f t="shared" si="31"/>
        <v>Não Detectável</v>
      </c>
    </row>
    <row r="725" spans="1:21" ht="25.5" customHeight="1" x14ac:dyDescent="0.2">
      <c r="A725" s="51">
        <v>724</v>
      </c>
      <c r="B725" s="50" t="s">
        <v>1670</v>
      </c>
      <c r="C725" s="51">
        <v>50</v>
      </c>
      <c r="D725" s="51" t="s">
        <v>25</v>
      </c>
      <c r="E725" s="43">
        <v>44201</v>
      </c>
      <c r="F725" s="44" t="s">
        <v>60</v>
      </c>
      <c r="G725" s="51">
        <v>282</v>
      </c>
      <c r="H725" s="43">
        <v>44202</v>
      </c>
      <c r="I725" s="43" t="s">
        <v>1652</v>
      </c>
      <c r="J725" s="43">
        <v>44202</v>
      </c>
      <c r="K725" s="42" t="s">
        <v>36</v>
      </c>
      <c r="L725" s="42">
        <v>27.5</v>
      </c>
      <c r="M725" s="45" t="s">
        <v>31</v>
      </c>
      <c r="N725" s="43" t="s">
        <v>60</v>
      </c>
      <c r="O725" s="43" t="s">
        <v>60</v>
      </c>
      <c r="P725" s="42" t="s">
        <v>60</v>
      </c>
      <c r="Q725" s="42" t="s">
        <v>60</v>
      </c>
      <c r="R725" s="46" t="s">
        <v>60</v>
      </c>
      <c r="S725" s="43">
        <v>44202</v>
      </c>
      <c r="T725" s="51">
        <f t="shared" si="30"/>
        <v>3</v>
      </c>
      <c r="U725" s="52" t="str">
        <f t="shared" si="31"/>
        <v>Não Detectável</v>
      </c>
    </row>
    <row r="726" spans="1:21" ht="25.5" customHeight="1" x14ac:dyDescent="0.2">
      <c r="A726" s="51">
        <v>725</v>
      </c>
      <c r="B726" s="50" t="s">
        <v>1671</v>
      </c>
      <c r="C726" s="51">
        <v>49</v>
      </c>
      <c r="D726" s="51" t="s">
        <v>25</v>
      </c>
      <c r="E726" s="43">
        <v>44201</v>
      </c>
      <c r="F726" s="44" t="s">
        <v>60</v>
      </c>
      <c r="G726" s="51">
        <v>283</v>
      </c>
      <c r="H726" s="43">
        <v>44202</v>
      </c>
      <c r="I726" s="43" t="s">
        <v>1652</v>
      </c>
      <c r="J726" s="43">
        <v>44202</v>
      </c>
      <c r="K726" s="42">
        <v>16.2</v>
      </c>
      <c r="L726" s="42">
        <v>27.3</v>
      </c>
      <c r="M726" s="43" t="s">
        <v>29</v>
      </c>
      <c r="N726" s="43" t="s">
        <v>1653</v>
      </c>
      <c r="O726" s="43">
        <v>44203</v>
      </c>
      <c r="P726" s="42">
        <v>13.9</v>
      </c>
      <c r="Q726" s="42">
        <v>27.1</v>
      </c>
      <c r="R726" s="46" t="s">
        <v>29</v>
      </c>
      <c r="S726" s="43">
        <v>44203</v>
      </c>
      <c r="T726" s="51">
        <f t="shared" si="30"/>
        <v>3</v>
      </c>
      <c r="U726" s="52" t="str">
        <f t="shared" si="31"/>
        <v>Detectável</v>
      </c>
    </row>
    <row r="727" spans="1:21" ht="25.5" customHeight="1" x14ac:dyDescent="0.2">
      <c r="A727" s="51">
        <v>726</v>
      </c>
      <c r="B727" s="50" t="s">
        <v>1672</v>
      </c>
      <c r="C727" s="51">
        <v>43</v>
      </c>
      <c r="D727" s="51" t="s">
        <v>25</v>
      </c>
      <c r="E727" s="43">
        <v>44201</v>
      </c>
      <c r="F727" s="44" t="s">
        <v>60</v>
      </c>
      <c r="G727" s="51">
        <v>283</v>
      </c>
      <c r="H727" s="43">
        <v>44202</v>
      </c>
      <c r="I727" s="43" t="s">
        <v>1652</v>
      </c>
      <c r="J727" s="43">
        <v>44202</v>
      </c>
      <c r="K727" s="42">
        <v>16.2</v>
      </c>
      <c r="L727" s="42">
        <v>27.3</v>
      </c>
      <c r="M727" s="43" t="s">
        <v>29</v>
      </c>
      <c r="N727" s="43" t="s">
        <v>1653</v>
      </c>
      <c r="O727" s="43">
        <v>44203</v>
      </c>
      <c r="P727" s="42">
        <v>25.8</v>
      </c>
      <c r="Q727" s="42">
        <v>26.4</v>
      </c>
      <c r="R727" s="46" t="s">
        <v>29</v>
      </c>
      <c r="S727" s="43">
        <v>44203</v>
      </c>
      <c r="T727" s="51">
        <f t="shared" si="30"/>
        <v>3</v>
      </c>
      <c r="U727" s="52" t="str">
        <f t="shared" si="31"/>
        <v>Detectável</v>
      </c>
    </row>
    <row r="728" spans="1:21" ht="25.5" customHeight="1" x14ac:dyDescent="0.2">
      <c r="A728" s="51">
        <v>727</v>
      </c>
      <c r="B728" s="50" t="s">
        <v>1673</v>
      </c>
      <c r="C728" s="51">
        <v>27</v>
      </c>
      <c r="D728" s="51" t="s">
        <v>25</v>
      </c>
      <c r="E728" s="43">
        <v>44201</v>
      </c>
      <c r="F728" s="44" t="s">
        <v>60</v>
      </c>
      <c r="G728" s="51">
        <v>283</v>
      </c>
      <c r="H728" s="43">
        <v>44202</v>
      </c>
      <c r="I728" s="43" t="s">
        <v>1652</v>
      </c>
      <c r="J728" s="43">
        <v>44202</v>
      </c>
      <c r="K728" s="42">
        <v>16.2</v>
      </c>
      <c r="L728" s="42">
        <v>27.3</v>
      </c>
      <c r="M728" s="43" t="s">
        <v>29</v>
      </c>
      <c r="N728" s="43" t="s">
        <v>1653</v>
      </c>
      <c r="O728" s="43">
        <v>44203</v>
      </c>
      <c r="P728" s="42" t="s">
        <v>36</v>
      </c>
      <c r="Q728" s="42">
        <v>26.5</v>
      </c>
      <c r="R728" s="46" t="s">
        <v>31</v>
      </c>
      <c r="S728" s="43">
        <v>44203</v>
      </c>
      <c r="T728" s="51">
        <f t="shared" si="30"/>
        <v>3</v>
      </c>
      <c r="U728" s="52" t="str">
        <f t="shared" si="31"/>
        <v>Não Detectável</v>
      </c>
    </row>
    <row r="729" spans="1:21" ht="25.5" customHeight="1" x14ac:dyDescent="0.2">
      <c r="A729" s="51">
        <v>728</v>
      </c>
      <c r="B729" s="50" t="s">
        <v>1674</v>
      </c>
      <c r="C729" s="51">
        <v>34</v>
      </c>
      <c r="D729" s="51" t="s">
        <v>25</v>
      </c>
      <c r="E729" s="43">
        <v>44202</v>
      </c>
      <c r="F729" s="44" t="s">
        <v>60</v>
      </c>
      <c r="G729" s="51">
        <v>284</v>
      </c>
      <c r="H729" s="43">
        <v>44203</v>
      </c>
      <c r="I729" s="43" t="s">
        <v>1653</v>
      </c>
      <c r="J729" s="43">
        <v>44203</v>
      </c>
      <c r="K729" s="42">
        <v>20.6</v>
      </c>
      <c r="L729" s="42">
        <v>27.6</v>
      </c>
      <c r="M729" s="43" t="s">
        <v>29</v>
      </c>
      <c r="N729" s="43" t="s">
        <v>1675</v>
      </c>
      <c r="O729" s="43">
        <v>44204</v>
      </c>
      <c r="P729" s="42" t="s">
        <v>36</v>
      </c>
      <c r="Q729" s="42" t="s">
        <v>36</v>
      </c>
      <c r="R729" s="46" t="s">
        <v>201</v>
      </c>
      <c r="S729" s="43">
        <v>44204</v>
      </c>
      <c r="T729" s="51">
        <f t="shared" si="30"/>
        <v>3</v>
      </c>
      <c r="U729" s="52" t="str">
        <f t="shared" si="31"/>
        <v>Inconclusivo</v>
      </c>
    </row>
    <row r="730" spans="1:21" ht="25.5" customHeight="1" x14ac:dyDescent="0.2">
      <c r="A730" s="51">
        <v>729</v>
      </c>
      <c r="B730" s="50" t="s">
        <v>1676</v>
      </c>
      <c r="C730" s="51">
        <v>60</v>
      </c>
      <c r="D730" s="51" t="s">
        <v>25</v>
      </c>
      <c r="E730" s="43">
        <v>44202</v>
      </c>
      <c r="F730" s="44" t="s">
        <v>60</v>
      </c>
      <c r="G730" s="51">
        <v>284</v>
      </c>
      <c r="H730" s="43">
        <v>44203</v>
      </c>
      <c r="I730" s="43" t="s">
        <v>1653</v>
      </c>
      <c r="J730" s="43">
        <v>44203</v>
      </c>
      <c r="K730" s="42">
        <v>20.6</v>
      </c>
      <c r="L730" s="42">
        <v>27.6</v>
      </c>
      <c r="M730" s="43" t="s">
        <v>29</v>
      </c>
      <c r="N730" s="43" t="s">
        <v>1677</v>
      </c>
      <c r="O730" s="43">
        <v>44204</v>
      </c>
      <c r="P730" s="42" t="s">
        <v>36</v>
      </c>
      <c r="Q730" s="42">
        <v>29.2</v>
      </c>
      <c r="R730" s="46" t="s">
        <v>31</v>
      </c>
      <c r="S730" s="43">
        <v>44204</v>
      </c>
      <c r="T730" s="51">
        <f t="shared" si="30"/>
        <v>3</v>
      </c>
      <c r="U730" s="52" t="str">
        <f t="shared" si="31"/>
        <v>Não Detectável</v>
      </c>
    </row>
    <row r="731" spans="1:21" ht="25.5" customHeight="1" x14ac:dyDescent="0.2">
      <c r="A731" s="51">
        <v>730</v>
      </c>
      <c r="B731" s="50" t="s">
        <v>1678</v>
      </c>
      <c r="C731" s="51">
        <v>24</v>
      </c>
      <c r="D731" s="51" t="s">
        <v>25</v>
      </c>
      <c r="E731" s="43">
        <v>44202</v>
      </c>
      <c r="F731" s="44" t="s">
        <v>60</v>
      </c>
      <c r="G731" s="51">
        <v>284</v>
      </c>
      <c r="H731" s="43">
        <v>44203</v>
      </c>
      <c r="I731" s="43" t="s">
        <v>1653</v>
      </c>
      <c r="J731" s="43">
        <v>44203</v>
      </c>
      <c r="K731" s="42">
        <v>20.6</v>
      </c>
      <c r="L731" s="42">
        <v>27.6</v>
      </c>
      <c r="M731" s="43" t="s">
        <v>29</v>
      </c>
      <c r="N731" s="43" t="s">
        <v>1677</v>
      </c>
      <c r="O731" s="43">
        <v>44204</v>
      </c>
      <c r="P731" s="42">
        <v>19.8</v>
      </c>
      <c r="Q731" s="42">
        <v>27.9</v>
      </c>
      <c r="R731" s="46" t="s">
        <v>29</v>
      </c>
      <c r="S731" s="43">
        <v>44204</v>
      </c>
      <c r="T731" s="51">
        <f t="shared" si="30"/>
        <v>3</v>
      </c>
      <c r="U731" s="52" t="str">
        <f t="shared" si="31"/>
        <v>Detectável</v>
      </c>
    </row>
    <row r="732" spans="1:21" ht="25.5" customHeight="1" x14ac:dyDescent="0.2">
      <c r="A732" s="51">
        <v>731</v>
      </c>
      <c r="B732" s="50" t="s">
        <v>1679</v>
      </c>
      <c r="C732" s="51">
        <v>44</v>
      </c>
      <c r="D732" s="51" t="s">
        <v>34</v>
      </c>
      <c r="E732" s="43">
        <v>44202</v>
      </c>
      <c r="F732" s="44" t="s">
        <v>60</v>
      </c>
      <c r="G732" s="51">
        <v>285</v>
      </c>
      <c r="H732" s="43">
        <v>44203</v>
      </c>
      <c r="I732" s="43" t="s">
        <v>1653</v>
      </c>
      <c r="J732" s="43">
        <v>44203</v>
      </c>
      <c r="K732" s="42">
        <v>27.5</v>
      </c>
      <c r="L732" s="42">
        <v>26.5</v>
      </c>
      <c r="M732" s="43" t="s">
        <v>29</v>
      </c>
      <c r="N732" s="43" t="s">
        <v>1677</v>
      </c>
      <c r="O732" s="43">
        <v>44204</v>
      </c>
      <c r="P732" s="42" t="s">
        <v>36</v>
      </c>
      <c r="Q732" s="42">
        <v>28.9</v>
      </c>
      <c r="R732" s="46" t="s">
        <v>31</v>
      </c>
      <c r="S732" s="43">
        <v>44204</v>
      </c>
      <c r="T732" s="51">
        <f t="shared" si="30"/>
        <v>3</v>
      </c>
      <c r="U732" s="52" t="str">
        <f t="shared" si="31"/>
        <v>Não Detectável</v>
      </c>
    </row>
    <row r="733" spans="1:21" ht="25.5" customHeight="1" x14ac:dyDescent="0.2">
      <c r="A733" s="51">
        <v>732</v>
      </c>
      <c r="B733" s="50" t="s">
        <v>1680</v>
      </c>
      <c r="C733" s="51">
        <v>28</v>
      </c>
      <c r="D733" s="51" t="s">
        <v>34</v>
      </c>
      <c r="E733" s="43">
        <v>44202</v>
      </c>
      <c r="F733" s="44" t="s">
        <v>60</v>
      </c>
      <c r="G733" s="51">
        <v>285</v>
      </c>
      <c r="H733" s="43">
        <v>44203</v>
      </c>
      <c r="I733" s="43" t="s">
        <v>1653</v>
      </c>
      <c r="J733" s="43">
        <v>44203</v>
      </c>
      <c r="K733" s="42">
        <v>27.5</v>
      </c>
      <c r="L733" s="42">
        <v>26.5</v>
      </c>
      <c r="M733" s="43" t="s">
        <v>29</v>
      </c>
      <c r="N733" s="43" t="s">
        <v>1677</v>
      </c>
      <c r="O733" s="43">
        <v>44204</v>
      </c>
      <c r="P733" s="42">
        <v>32.799999999999997</v>
      </c>
      <c r="Q733" s="42">
        <v>27.3</v>
      </c>
      <c r="R733" s="46" t="s">
        <v>29</v>
      </c>
      <c r="S733" s="43">
        <v>44204</v>
      </c>
      <c r="T733" s="51">
        <f t="shared" si="30"/>
        <v>3</v>
      </c>
      <c r="U733" s="52" t="str">
        <f t="shared" si="31"/>
        <v>Detectável</v>
      </c>
    </row>
    <row r="734" spans="1:21" ht="25.5" customHeight="1" x14ac:dyDescent="0.2">
      <c r="A734" s="51">
        <v>733</v>
      </c>
      <c r="B734" s="50" t="s">
        <v>1681</v>
      </c>
      <c r="C734" s="51">
        <v>49</v>
      </c>
      <c r="D734" s="51" t="s">
        <v>25</v>
      </c>
      <c r="E734" s="43">
        <v>44202</v>
      </c>
      <c r="F734" s="44" t="s">
        <v>60</v>
      </c>
      <c r="G734" s="51">
        <v>285</v>
      </c>
      <c r="H734" s="43">
        <v>44203</v>
      </c>
      <c r="I734" s="43" t="s">
        <v>1653</v>
      </c>
      <c r="J734" s="43">
        <v>44203</v>
      </c>
      <c r="K734" s="42">
        <v>27.5</v>
      </c>
      <c r="L734" s="42">
        <v>26.5</v>
      </c>
      <c r="M734" s="43" t="s">
        <v>29</v>
      </c>
      <c r="N734" s="43" t="s">
        <v>1677</v>
      </c>
      <c r="O734" s="43">
        <v>44204</v>
      </c>
      <c r="P734" s="42">
        <v>25.9</v>
      </c>
      <c r="Q734" s="42">
        <v>26.3</v>
      </c>
      <c r="R734" s="46" t="s">
        <v>29</v>
      </c>
      <c r="S734" s="43">
        <v>44204</v>
      </c>
      <c r="T734" s="51">
        <f t="shared" si="30"/>
        <v>3</v>
      </c>
      <c r="U734" s="52" t="str">
        <f t="shared" si="31"/>
        <v>Detectável</v>
      </c>
    </row>
    <row r="735" spans="1:21" ht="25.5" customHeight="1" x14ac:dyDescent="0.2">
      <c r="A735" s="51">
        <v>734</v>
      </c>
      <c r="B735" s="50" t="s">
        <v>1682</v>
      </c>
      <c r="C735" s="51">
        <v>39</v>
      </c>
      <c r="D735" s="51" t="s">
        <v>25</v>
      </c>
      <c r="E735" s="43">
        <v>44202</v>
      </c>
      <c r="F735" s="44" t="s">
        <v>60</v>
      </c>
      <c r="G735" s="51">
        <v>286</v>
      </c>
      <c r="H735" s="43">
        <v>44203</v>
      </c>
      <c r="I735" s="43" t="s">
        <v>1653</v>
      </c>
      <c r="J735" s="43">
        <v>44203</v>
      </c>
      <c r="K735" s="42">
        <v>17.7</v>
      </c>
      <c r="L735" s="42">
        <v>27.2</v>
      </c>
      <c r="M735" s="43" t="s">
        <v>29</v>
      </c>
      <c r="N735" s="43" t="s">
        <v>1677</v>
      </c>
      <c r="O735" s="43">
        <v>44204</v>
      </c>
      <c r="P735" s="42" t="s">
        <v>36</v>
      </c>
      <c r="Q735" s="42">
        <v>27.1</v>
      </c>
      <c r="R735" s="46" t="s">
        <v>31</v>
      </c>
      <c r="S735" s="43">
        <v>44204</v>
      </c>
      <c r="T735" s="51">
        <f t="shared" si="30"/>
        <v>3</v>
      </c>
      <c r="U735" s="52" t="str">
        <f t="shared" si="31"/>
        <v>Não Detectável</v>
      </c>
    </row>
    <row r="736" spans="1:21" ht="25.5" customHeight="1" x14ac:dyDescent="0.2">
      <c r="A736" s="51">
        <v>735</v>
      </c>
      <c r="B736" s="50" t="s">
        <v>1683</v>
      </c>
      <c r="C736" s="51">
        <v>32</v>
      </c>
      <c r="D736" s="51" t="s">
        <v>34</v>
      </c>
      <c r="E736" s="43">
        <v>44202</v>
      </c>
      <c r="F736" s="44" t="s">
        <v>60</v>
      </c>
      <c r="G736" s="51">
        <v>286</v>
      </c>
      <c r="H736" s="43">
        <v>44203</v>
      </c>
      <c r="I736" s="43" t="s">
        <v>1653</v>
      </c>
      <c r="J736" s="43">
        <v>44203</v>
      </c>
      <c r="K736" s="42">
        <v>17.7</v>
      </c>
      <c r="L736" s="42">
        <v>27.2</v>
      </c>
      <c r="M736" s="43" t="s">
        <v>29</v>
      </c>
      <c r="N736" s="43" t="s">
        <v>1677</v>
      </c>
      <c r="O736" s="43">
        <v>44204</v>
      </c>
      <c r="P736" s="42">
        <v>16.600000000000001</v>
      </c>
      <c r="Q736" s="42">
        <v>27.2</v>
      </c>
      <c r="R736" s="46" t="s">
        <v>29</v>
      </c>
      <c r="S736" s="43">
        <v>44204</v>
      </c>
      <c r="T736" s="51">
        <f t="shared" si="30"/>
        <v>3</v>
      </c>
      <c r="U736" s="52" t="str">
        <f t="shared" si="31"/>
        <v>Detectável</v>
      </c>
    </row>
    <row r="737" spans="1:21" ht="25.5" customHeight="1" x14ac:dyDescent="0.2">
      <c r="A737" s="51">
        <v>736</v>
      </c>
      <c r="B737" s="50" t="s">
        <v>1684</v>
      </c>
      <c r="C737" s="51">
        <v>21</v>
      </c>
      <c r="D737" s="51" t="s">
        <v>34</v>
      </c>
      <c r="E737" s="43">
        <v>44202</v>
      </c>
      <c r="F737" s="44" t="s">
        <v>60</v>
      </c>
      <c r="G737" s="51">
        <v>286</v>
      </c>
      <c r="H737" s="43">
        <v>44203</v>
      </c>
      <c r="I737" s="43" t="s">
        <v>1653</v>
      </c>
      <c r="J737" s="43">
        <v>44203</v>
      </c>
      <c r="K737" s="42">
        <v>17.7</v>
      </c>
      <c r="L737" s="42">
        <v>27.2</v>
      </c>
      <c r="M737" s="43" t="s">
        <v>29</v>
      </c>
      <c r="N737" s="43" t="s">
        <v>1677</v>
      </c>
      <c r="O737" s="43">
        <v>44204</v>
      </c>
      <c r="P737" s="42" t="s">
        <v>36</v>
      </c>
      <c r="Q737" s="42">
        <v>29</v>
      </c>
      <c r="R737" s="46" t="s">
        <v>31</v>
      </c>
      <c r="S737" s="43">
        <v>44204</v>
      </c>
      <c r="T737" s="51">
        <f t="shared" si="30"/>
        <v>3</v>
      </c>
      <c r="U737" s="52" t="str">
        <f t="shared" si="31"/>
        <v>Não Detectável</v>
      </c>
    </row>
    <row r="738" spans="1:21" ht="25.5" customHeight="1" x14ac:dyDescent="0.2">
      <c r="A738" s="51">
        <v>737</v>
      </c>
      <c r="B738" s="50" t="s">
        <v>1685</v>
      </c>
      <c r="C738" s="51">
        <v>63</v>
      </c>
      <c r="D738" s="51" t="s">
        <v>25</v>
      </c>
      <c r="E738" s="43">
        <v>44202</v>
      </c>
      <c r="F738" s="44" t="s">
        <v>60</v>
      </c>
      <c r="G738" s="51">
        <v>287</v>
      </c>
      <c r="H738" s="43">
        <v>44203</v>
      </c>
      <c r="I738" s="43" t="s">
        <v>1653</v>
      </c>
      <c r="J738" s="43">
        <v>44203</v>
      </c>
      <c r="K738" s="42">
        <v>23.6</v>
      </c>
      <c r="L738" s="42">
        <v>26.9</v>
      </c>
      <c r="M738" s="43" t="s">
        <v>29</v>
      </c>
      <c r="N738" s="43" t="s">
        <v>1677</v>
      </c>
      <c r="O738" s="43">
        <v>44204</v>
      </c>
      <c r="P738" s="42" t="s">
        <v>36</v>
      </c>
      <c r="Q738" s="42">
        <v>28.5</v>
      </c>
      <c r="R738" s="46" t="s">
        <v>31</v>
      </c>
      <c r="S738" s="43">
        <v>44204</v>
      </c>
      <c r="T738" s="51">
        <f t="shared" si="30"/>
        <v>3</v>
      </c>
      <c r="U738" s="52" t="str">
        <f t="shared" si="31"/>
        <v>Não Detectável</v>
      </c>
    </row>
    <row r="739" spans="1:21" ht="25.5" customHeight="1" x14ac:dyDescent="0.2">
      <c r="A739" s="51">
        <v>738</v>
      </c>
      <c r="B739" s="50" t="s">
        <v>1686</v>
      </c>
      <c r="C739" s="51">
        <v>34</v>
      </c>
      <c r="D739" s="51" t="s">
        <v>34</v>
      </c>
      <c r="E739" s="43">
        <v>44202</v>
      </c>
      <c r="F739" s="44" t="s">
        <v>60</v>
      </c>
      <c r="G739" s="51">
        <v>287</v>
      </c>
      <c r="H739" s="43">
        <v>44203</v>
      </c>
      <c r="I739" s="43" t="s">
        <v>1653</v>
      </c>
      <c r="J739" s="43">
        <v>44203</v>
      </c>
      <c r="K739" s="42">
        <v>23.6</v>
      </c>
      <c r="L739" s="42">
        <v>26.9</v>
      </c>
      <c r="M739" s="43" t="s">
        <v>29</v>
      </c>
      <c r="N739" s="43" t="s">
        <v>1677</v>
      </c>
      <c r="O739" s="43">
        <v>44204</v>
      </c>
      <c r="P739" s="42" t="s">
        <v>36</v>
      </c>
      <c r="Q739" s="42">
        <v>28</v>
      </c>
      <c r="R739" s="46" t="s">
        <v>31</v>
      </c>
      <c r="S739" s="43">
        <v>44204</v>
      </c>
      <c r="T739" s="51">
        <f t="shared" si="30"/>
        <v>3</v>
      </c>
      <c r="U739" s="52" t="str">
        <f t="shared" si="31"/>
        <v>Não Detectável</v>
      </c>
    </row>
    <row r="740" spans="1:21" ht="25.5" customHeight="1" x14ac:dyDescent="0.2">
      <c r="A740" s="51">
        <v>739</v>
      </c>
      <c r="B740" s="50" t="s">
        <v>1687</v>
      </c>
      <c r="C740" s="51">
        <v>34</v>
      </c>
      <c r="D740" s="51" t="s">
        <v>34</v>
      </c>
      <c r="E740" s="43">
        <v>44202</v>
      </c>
      <c r="F740" s="44" t="s">
        <v>60</v>
      </c>
      <c r="G740" s="51">
        <v>287</v>
      </c>
      <c r="H740" s="43">
        <v>44203</v>
      </c>
      <c r="I740" s="43" t="s">
        <v>1653</v>
      </c>
      <c r="J740" s="43">
        <v>44203</v>
      </c>
      <c r="K740" s="42">
        <v>23.6</v>
      </c>
      <c r="L740" s="42">
        <v>26.9</v>
      </c>
      <c r="M740" s="43" t="s">
        <v>29</v>
      </c>
      <c r="N740" s="43" t="s">
        <v>1677</v>
      </c>
      <c r="O740" s="43">
        <v>44204</v>
      </c>
      <c r="P740" s="42">
        <v>21.9</v>
      </c>
      <c r="Q740" s="42">
        <v>26.3</v>
      </c>
      <c r="R740" s="46" t="s">
        <v>29</v>
      </c>
      <c r="S740" s="43">
        <v>44204</v>
      </c>
      <c r="T740" s="51">
        <f t="shared" si="30"/>
        <v>3</v>
      </c>
      <c r="U740" s="52" t="str">
        <f t="shared" si="31"/>
        <v>Detectável</v>
      </c>
    </row>
    <row r="741" spans="1:21" ht="25.5" customHeight="1" x14ac:dyDescent="0.2">
      <c r="A741" s="51">
        <v>740</v>
      </c>
      <c r="B741" s="50" t="s">
        <v>1688</v>
      </c>
      <c r="C741" s="51">
        <v>48</v>
      </c>
      <c r="D741" s="51" t="s">
        <v>25</v>
      </c>
      <c r="E741" s="43">
        <v>44202</v>
      </c>
      <c r="F741" s="44" t="s">
        <v>60</v>
      </c>
      <c r="G741" s="51">
        <v>288</v>
      </c>
      <c r="H741" s="43">
        <v>44203</v>
      </c>
      <c r="I741" s="43" t="s">
        <v>1653</v>
      </c>
      <c r="J741" s="43">
        <v>44203</v>
      </c>
      <c r="K741" s="42" t="s">
        <v>36</v>
      </c>
      <c r="L741" s="42">
        <v>26.8</v>
      </c>
      <c r="M741" s="45" t="s">
        <v>31</v>
      </c>
      <c r="N741" s="43" t="s">
        <v>60</v>
      </c>
      <c r="O741" s="43" t="s">
        <v>60</v>
      </c>
      <c r="P741" s="42" t="s">
        <v>60</v>
      </c>
      <c r="Q741" s="42" t="s">
        <v>60</v>
      </c>
      <c r="R741" s="46" t="s">
        <v>60</v>
      </c>
      <c r="S741" s="43">
        <v>44203</v>
      </c>
      <c r="T741" s="51">
        <f t="shared" si="30"/>
        <v>3</v>
      </c>
      <c r="U741" s="52" t="str">
        <f t="shared" si="31"/>
        <v>Não Detectável</v>
      </c>
    </row>
    <row r="742" spans="1:21" ht="25.5" customHeight="1" x14ac:dyDescent="0.2">
      <c r="A742" s="51">
        <v>741</v>
      </c>
      <c r="B742" s="50" t="s">
        <v>1689</v>
      </c>
      <c r="C742" s="51">
        <v>31</v>
      </c>
      <c r="D742" s="51" t="s">
        <v>25</v>
      </c>
      <c r="E742" s="43">
        <v>44202</v>
      </c>
      <c r="F742" s="44" t="s">
        <v>60</v>
      </c>
      <c r="G742" s="51">
        <v>288</v>
      </c>
      <c r="H742" s="43">
        <v>44203</v>
      </c>
      <c r="I742" s="43" t="s">
        <v>1653</v>
      </c>
      <c r="J742" s="43">
        <v>44203</v>
      </c>
      <c r="K742" s="42" t="s">
        <v>36</v>
      </c>
      <c r="L742" s="42">
        <v>26.8</v>
      </c>
      <c r="M742" s="45" t="s">
        <v>31</v>
      </c>
      <c r="N742" s="43" t="s">
        <v>60</v>
      </c>
      <c r="O742" s="43" t="s">
        <v>60</v>
      </c>
      <c r="P742" s="42" t="s">
        <v>60</v>
      </c>
      <c r="Q742" s="42" t="s">
        <v>60</v>
      </c>
      <c r="R742" s="46" t="s">
        <v>60</v>
      </c>
      <c r="S742" s="43">
        <v>44203</v>
      </c>
      <c r="T742" s="51">
        <f t="shared" si="30"/>
        <v>3</v>
      </c>
      <c r="U742" s="52" t="str">
        <f t="shared" si="31"/>
        <v>Não Detectável</v>
      </c>
    </row>
    <row r="743" spans="1:21" ht="25.5" customHeight="1" x14ac:dyDescent="0.2">
      <c r="A743" s="51">
        <v>742</v>
      </c>
      <c r="B743" s="50" t="s">
        <v>1690</v>
      </c>
      <c r="C743" s="51">
        <v>27</v>
      </c>
      <c r="D743" s="51" t="s">
        <v>25</v>
      </c>
      <c r="E743" s="43">
        <v>44202</v>
      </c>
      <c r="F743" s="44" t="s">
        <v>60</v>
      </c>
      <c r="G743" s="51">
        <v>288</v>
      </c>
      <c r="H743" s="43">
        <v>44203</v>
      </c>
      <c r="I743" s="43" t="s">
        <v>1653</v>
      </c>
      <c r="J743" s="43">
        <v>44203</v>
      </c>
      <c r="K743" s="42" t="s">
        <v>36</v>
      </c>
      <c r="L743" s="42">
        <v>26.8</v>
      </c>
      <c r="M743" s="45" t="s">
        <v>31</v>
      </c>
      <c r="N743" s="43" t="s">
        <v>60</v>
      </c>
      <c r="O743" s="43" t="s">
        <v>60</v>
      </c>
      <c r="P743" s="42" t="s">
        <v>60</v>
      </c>
      <c r="Q743" s="42" t="s">
        <v>60</v>
      </c>
      <c r="R743" s="46" t="s">
        <v>60</v>
      </c>
      <c r="S743" s="43">
        <v>44203</v>
      </c>
      <c r="T743" s="51">
        <f t="shared" si="30"/>
        <v>3</v>
      </c>
      <c r="U743" s="52" t="str">
        <f t="shared" si="31"/>
        <v>Não Detectável</v>
      </c>
    </row>
    <row r="744" spans="1:21" ht="25.5" customHeight="1" x14ac:dyDescent="0.2">
      <c r="A744" s="51">
        <v>743</v>
      </c>
      <c r="B744" s="50" t="s">
        <v>1691</v>
      </c>
      <c r="C744" s="51">
        <v>27</v>
      </c>
      <c r="D744" s="51" t="s">
        <v>34</v>
      </c>
      <c r="E744" s="43">
        <v>44202</v>
      </c>
      <c r="F744" s="44" t="s">
        <v>60</v>
      </c>
      <c r="G744" s="51">
        <v>289</v>
      </c>
      <c r="H744" s="43">
        <v>44203</v>
      </c>
      <c r="I744" s="43" t="s">
        <v>1653</v>
      </c>
      <c r="J744" s="43">
        <v>44203</v>
      </c>
      <c r="K744" s="42">
        <v>22.1</v>
      </c>
      <c r="L744" s="42">
        <v>27.3</v>
      </c>
      <c r="M744" s="43" t="s">
        <v>29</v>
      </c>
      <c r="N744" s="43" t="s">
        <v>1677</v>
      </c>
      <c r="O744" s="43">
        <v>44204</v>
      </c>
      <c r="P744" s="42" t="s">
        <v>36</v>
      </c>
      <c r="Q744" s="42">
        <v>31.5</v>
      </c>
      <c r="R744" s="46" t="s">
        <v>31</v>
      </c>
      <c r="S744" s="43">
        <v>44204</v>
      </c>
      <c r="T744" s="51">
        <f t="shared" si="30"/>
        <v>3</v>
      </c>
      <c r="U744" s="52" t="str">
        <f t="shared" si="31"/>
        <v>Não Detectável</v>
      </c>
    </row>
    <row r="745" spans="1:21" ht="25.5" customHeight="1" x14ac:dyDescent="0.2">
      <c r="A745" s="51">
        <v>744</v>
      </c>
      <c r="B745" s="50" t="s">
        <v>1692</v>
      </c>
      <c r="C745" s="51">
        <v>21</v>
      </c>
      <c r="D745" s="51" t="s">
        <v>34</v>
      </c>
      <c r="E745" s="43">
        <v>44202</v>
      </c>
      <c r="F745" s="44" t="s">
        <v>60</v>
      </c>
      <c r="G745" s="51">
        <v>289</v>
      </c>
      <c r="H745" s="43">
        <v>44203</v>
      </c>
      <c r="I745" s="43" t="s">
        <v>1653</v>
      </c>
      <c r="J745" s="43">
        <v>44203</v>
      </c>
      <c r="K745" s="42">
        <v>22.1</v>
      </c>
      <c r="L745" s="42">
        <v>27.3</v>
      </c>
      <c r="M745" s="43" t="s">
        <v>29</v>
      </c>
      <c r="N745" s="43" t="s">
        <v>1677</v>
      </c>
      <c r="O745" s="43">
        <v>44204</v>
      </c>
      <c r="P745" s="42" t="s">
        <v>36</v>
      </c>
      <c r="Q745" s="42">
        <v>27.5</v>
      </c>
      <c r="R745" s="46" t="s">
        <v>31</v>
      </c>
      <c r="S745" s="43">
        <v>44204</v>
      </c>
      <c r="T745" s="51">
        <f t="shared" si="30"/>
        <v>3</v>
      </c>
      <c r="U745" s="52" t="str">
        <f t="shared" si="31"/>
        <v>Não Detectável</v>
      </c>
    </row>
    <row r="746" spans="1:21" ht="25.5" customHeight="1" x14ac:dyDescent="0.2">
      <c r="A746" s="51">
        <v>745</v>
      </c>
      <c r="B746" s="50" t="s">
        <v>1693</v>
      </c>
      <c r="C746" s="51">
        <v>44</v>
      </c>
      <c r="D746" s="51" t="s">
        <v>34</v>
      </c>
      <c r="E746" s="43">
        <v>44202</v>
      </c>
      <c r="F746" s="44" t="s">
        <v>60</v>
      </c>
      <c r="G746" s="51">
        <v>289</v>
      </c>
      <c r="H746" s="43">
        <v>44203</v>
      </c>
      <c r="I746" s="43" t="s">
        <v>1653</v>
      </c>
      <c r="J746" s="43">
        <v>44203</v>
      </c>
      <c r="K746" s="42">
        <v>22.1</v>
      </c>
      <c r="L746" s="42">
        <v>27.3</v>
      </c>
      <c r="M746" s="43" t="s">
        <v>29</v>
      </c>
      <c r="N746" s="43" t="s">
        <v>1677</v>
      </c>
      <c r="O746" s="43">
        <v>44204</v>
      </c>
      <c r="P746" s="42">
        <v>21.5</v>
      </c>
      <c r="Q746" s="42">
        <v>28.3</v>
      </c>
      <c r="R746" s="46" t="s">
        <v>29</v>
      </c>
      <c r="S746" s="43">
        <v>44204</v>
      </c>
      <c r="T746" s="51">
        <f t="shared" si="30"/>
        <v>3</v>
      </c>
      <c r="U746" s="52" t="str">
        <f t="shared" si="31"/>
        <v>Detectável</v>
      </c>
    </row>
    <row r="747" spans="1:21" ht="25.5" customHeight="1" x14ac:dyDescent="0.2">
      <c r="A747" s="51">
        <v>746</v>
      </c>
      <c r="B747" s="50" t="s">
        <v>1694</v>
      </c>
      <c r="C747" s="51">
        <v>56</v>
      </c>
      <c r="D747" s="51" t="s">
        <v>34</v>
      </c>
      <c r="E747" s="43">
        <v>44202</v>
      </c>
      <c r="F747" s="44" t="s">
        <v>60</v>
      </c>
      <c r="G747" s="51">
        <v>290</v>
      </c>
      <c r="H747" s="43">
        <v>44203</v>
      </c>
      <c r="I747" s="43" t="s">
        <v>1653</v>
      </c>
      <c r="J747" s="43">
        <v>44203</v>
      </c>
      <c r="K747" s="42">
        <v>26.7</v>
      </c>
      <c r="L747" s="42">
        <v>28.8</v>
      </c>
      <c r="M747" s="43" t="s">
        <v>29</v>
      </c>
      <c r="N747" s="43" t="s">
        <v>1677</v>
      </c>
      <c r="O747" s="43">
        <v>44204</v>
      </c>
      <c r="P747" s="42" t="s">
        <v>36</v>
      </c>
      <c r="Q747" s="42">
        <v>28.7</v>
      </c>
      <c r="R747" s="46" t="s">
        <v>31</v>
      </c>
      <c r="S747" s="43">
        <v>44204</v>
      </c>
      <c r="T747" s="51">
        <f t="shared" si="30"/>
        <v>3</v>
      </c>
      <c r="U747" s="52" t="str">
        <f t="shared" si="31"/>
        <v>Não Detectável</v>
      </c>
    </row>
    <row r="748" spans="1:21" ht="25.5" customHeight="1" x14ac:dyDescent="0.2">
      <c r="A748" s="51">
        <v>747</v>
      </c>
      <c r="B748" s="50" t="s">
        <v>1695</v>
      </c>
      <c r="C748" s="51">
        <v>38</v>
      </c>
      <c r="D748" s="51" t="s">
        <v>34</v>
      </c>
      <c r="E748" s="43">
        <v>44202</v>
      </c>
      <c r="F748" s="44" t="s">
        <v>60</v>
      </c>
      <c r="G748" s="51">
        <v>290</v>
      </c>
      <c r="H748" s="43">
        <v>44203</v>
      </c>
      <c r="I748" s="43" t="s">
        <v>1653</v>
      </c>
      <c r="J748" s="43">
        <v>44203</v>
      </c>
      <c r="K748" s="42">
        <v>26.7</v>
      </c>
      <c r="L748" s="42">
        <v>28.8</v>
      </c>
      <c r="M748" s="43" t="s">
        <v>29</v>
      </c>
      <c r="N748" s="43" t="s">
        <v>1677</v>
      </c>
      <c r="O748" s="43">
        <v>44204</v>
      </c>
      <c r="P748" s="42">
        <v>25.2</v>
      </c>
      <c r="Q748" s="42">
        <v>31.4</v>
      </c>
      <c r="R748" s="46" t="s">
        <v>29</v>
      </c>
      <c r="S748" s="43">
        <v>44204</v>
      </c>
      <c r="T748" s="51">
        <f t="shared" si="30"/>
        <v>3</v>
      </c>
      <c r="U748" s="52" t="str">
        <f t="shared" si="31"/>
        <v>Detectável</v>
      </c>
    </row>
    <row r="749" spans="1:21" ht="25.5" customHeight="1" x14ac:dyDescent="0.2">
      <c r="A749" s="51">
        <v>748</v>
      </c>
      <c r="B749" s="50" t="s">
        <v>1696</v>
      </c>
      <c r="C749" s="51">
        <v>47</v>
      </c>
      <c r="D749" s="51" t="s">
        <v>25</v>
      </c>
      <c r="E749" s="43">
        <v>44202</v>
      </c>
      <c r="F749" s="44" t="s">
        <v>60</v>
      </c>
      <c r="G749" s="51">
        <v>290</v>
      </c>
      <c r="H749" s="43">
        <v>44203</v>
      </c>
      <c r="I749" s="43" t="s">
        <v>1653</v>
      </c>
      <c r="J749" s="43">
        <v>44203</v>
      </c>
      <c r="K749" s="42">
        <v>26.7</v>
      </c>
      <c r="L749" s="42">
        <v>28.8</v>
      </c>
      <c r="M749" s="43" t="s">
        <v>29</v>
      </c>
      <c r="N749" s="43" t="s">
        <v>1677</v>
      </c>
      <c r="O749" s="43">
        <v>44204</v>
      </c>
      <c r="P749" s="42" t="s">
        <v>36</v>
      </c>
      <c r="Q749" s="42">
        <v>30.6</v>
      </c>
      <c r="R749" s="46" t="s">
        <v>31</v>
      </c>
      <c r="S749" s="43">
        <v>44204</v>
      </c>
      <c r="T749" s="51">
        <f t="shared" si="30"/>
        <v>3</v>
      </c>
      <c r="U749" s="52" t="str">
        <f t="shared" si="31"/>
        <v>Não Detectável</v>
      </c>
    </row>
    <row r="750" spans="1:21" ht="25.5" customHeight="1" x14ac:dyDescent="0.2">
      <c r="A750" s="51">
        <v>749</v>
      </c>
      <c r="B750" s="50" t="s">
        <v>1697</v>
      </c>
      <c r="C750" s="51">
        <v>23</v>
      </c>
      <c r="D750" s="51" t="s">
        <v>34</v>
      </c>
      <c r="E750" s="43">
        <v>44202</v>
      </c>
      <c r="F750" s="44" t="s">
        <v>60</v>
      </c>
      <c r="G750" s="51">
        <v>291</v>
      </c>
      <c r="H750" s="43">
        <v>44203</v>
      </c>
      <c r="I750" s="43" t="s">
        <v>1677</v>
      </c>
      <c r="J750" s="43">
        <v>44204</v>
      </c>
      <c r="K750" s="42">
        <v>20.6</v>
      </c>
      <c r="L750" s="42">
        <v>27.7</v>
      </c>
      <c r="M750" s="43" t="s">
        <v>29</v>
      </c>
      <c r="N750" s="43" t="s">
        <v>1675</v>
      </c>
      <c r="O750" s="43">
        <v>44204</v>
      </c>
      <c r="P750" s="42">
        <v>30.8</v>
      </c>
      <c r="Q750" s="42">
        <v>26</v>
      </c>
      <c r="R750" s="46" t="s">
        <v>29</v>
      </c>
      <c r="S750" s="43">
        <v>44204</v>
      </c>
      <c r="T750" s="51">
        <f t="shared" si="30"/>
        <v>3</v>
      </c>
      <c r="U750" s="52" t="str">
        <f t="shared" si="31"/>
        <v>Detectável</v>
      </c>
    </row>
    <row r="751" spans="1:21" ht="25.5" customHeight="1" x14ac:dyDescent="0.2">
      <c r="A751" s="51">
        <v>750</v>
      </c>
      <c r="B751" s="50" t="s">
        <v>1698</v>
      </c>
      <c r="C751" s="51">
        <v>41</v>
      </c>
      <c r="D751" s="51" t="s">
        <v>25</v>
      </c>
      <c r="E751" s="43">
        <v>44203</v>
      </c>
      <c r="F751" s="44" t="s">
        <v>60</v>
      </c>
      <c r="G751" s="51">
        <v>291</v>
      </c>
      <c r="H751" s="43">
        <v>44204</v>
      </c>
      <c r="I751" s="43" t="s">
        <v>1677</v>
      </c>
      <c r="J751" s="43">
        <v>44204</v>
      </c>
      <c r="K751" s="42">
        <v>20.6</v>
      </c>
      <c r="L751" s="42">
        <v>27.7</v>
      </c>
      <c r="M751" s="43" t="s">
        <v>29</v>
      </c>
      <c r="N751" s="43" t="s">
        <v>1675</v>
      </c>
      <c r="O751" s="43">
        <v>44204</v>
      </c>
      <c r="P751" s="42">
        <v>19.100000000000001</v>
      </c>
      <c r="Q751" s="42">
        <v>29.1</v>
      </c>
      <c r="R751" s="46" t="s">
        <v>29</v>
      </c>
      <c r="S751" s="43">
        <v>44204</v>
      </c>
      <c r="T751" s="51">
        <f t="shared" si="30"/>
        <v>3</v>
      </c>
      <c r="U751" s="52" t="str">
        <f t="shared" si="31"/>
        <v>Detectável</v>
      </c>
    </row>
    <row r="752" spans="1:21" ht="25.5" customHeight="1" x14ac:dyDescent="0.2">
      <c r="A752" s="51">
        <v>751</v>
      </c>
      <c r="B752" s="50" t="s">
        <v>1699</v>
      </c>
      <c r="C752" s="51">
        <v>64</v>
      </c>
      <c r="D752" s="51" t="s">
        <v>25</v>
      </c>
      <c r="E752" s="43">
        <v>44203</v>
      </c>
      <c r="F752" s="44" t="s">
        <v>60</v>
      </c>
      <c r="G752" s="51">
        <v>291</v>
      </c>
      <c r="H752" s="43">
        <v>44204</v>
      </c>
      <c r="I752" s="43" t="s">
        <v>1677</v>
      </c>
      <c r="J752" s="43">
        <v>44204</v>
      </c>
      <c r="K752" s="42">
        <v>20.6</v>
      </c>
      <c r="L752" s="42">
        <v>27.7</v>
      </c>
      <c r="M752" s="43" t="s">
        <v>29</v>
      </c>
      <c r="N752" s="43" t="s">
        <v>1675</v>
      </c>
      <c r="O752" s="43">
        <v>44204</v>
      </c>
      <c r="P752" s="42" t="s">
        <v>36</v>
      </c>
      <c r="Q752" s="42">
        <v>26.1</v>
      </c>
      <c r="R752" s="46" t="s">
        <v>31</v>
      </c>
      <c r="S752" s="43">
        <v>44204</v>
      </c>
      <c r="T752" s="51">
        <f t="shared" si="30"/>
        <v>3</v>
      </c>
      <c r="U752" s="52" t="str">
        <f t="shared" si="31"/>
        <v>Não Detectável</v>
      </c>
    </row>
    <row r="753" spans="1:21" ht="25.5" customHeight="1" x14ac:dyDescent="0.2">
      <c r="A753" s="51">
        <v>752</v>
      </c>
      <c r="B753" s="50" t="s">
        <v>1700</v>
      </c>
      <c r="C753" s="51">
        <v>26</v>
      </c>
      <c r="D753" s="51" t="s">
        <v>34</v>
      </c>
      <c r="E753" s="43">
        <v>44203</v>
      </c>
      <c r="F753" s="44" t="s">
        <v>60</v>
      </c>
      <c r="G753" s="51">
        <v>292</v>
      </c>
      <c r="H753" s="43">
        <v>44204</v>
      </c>
      <c r="I753" s="43" t="s">
        <v>1677</v>
      </c>
      <c r="J753" s="43">
        <v>44204</v>
      </c>
      <c r="K753" s="42">
        <v>20.6</v>
      </c>
      <c r="L753" s="42">
        <v>24.1</v>
      </c>
      <c r="M753" s="43" t="s">
        <v>29</v>
      </c>
      <c r="N753" s="43" t="s">
        <v>1675</v>
      </c>
      <c r="O753" s="43">
        <v>44204</v>
      </c>
      <c r="P753" s="42">
        <v>19.899999999999999</v>
      </c>
      <c r="Q753" s="42">
        <v>26.7</v>
      </c>
      <c r="R753" s="46" t="s">
        <v>29</v>
      </c>
      <c r="S753" s="43">
        <v>44204</v>
      </c>
      <c r="T753" s="51">
        <f t="shared" si="30"/>
        <v>3</v>
      </c>
      <c r="U753" s="52" t="str">
        <f t="shared" si="31"/>
        <v>Detectável</v>
      </c>
    </row>
    <row r="754" spans="1:21" ht="25.5" customHeight="1" x14ac:dyDescent="0.2">
      <c r="A754" s="51">
        <v>753</v>
      </c>
      <c r="B754" s="50" t="s">
        <v>1701</v>
      </c>
      <c r="C754" s="51">
        <v>17</v>
      </c>
      <c r="D754" s="51" t="s">
        <v>25</v>
      </c>
      <c r="E754" s="43">
        <v>44203</v>
      </c>
      <c r="F754" s="44" t="s">
        <v>60</v>
      </c>
      <c r="G754" s="51">
        <v>292</v>
      </c>
      <c r="H754" s="43">
        <v>44204</v>
      </c>
      <c r="I754" s="43" t="s">
        <v>1677</v>
      </c>
      <c r="J754" s="43">
        <v>44204</v>
      </c>
      <c r="K754" s="42">
        <v>20.6</v>
      </c>
      <c r="L754" s="42">
        <v>24.1</v>
      </c>
      <c r="M754" s="43" t="s">
        <v>29</v>
      </c>
      <c r="N754" s="43" t="s">
        <v>1675</v>
      </c>
      <c r="O754" s="43">
        <v>44204</v>
      </c>
      <c r="P754" s="42" t="s">
        <v>36</v>
      </c>
      <c r="Q754" s="42">
        <v>26.5</v>
      </c>
      <c r="R754" s="46" t="s">
        <v>31</v>
      </c>
      <c r="S754" s="43">
        <v>44204</v>
      </c>
      <c r="T754" s="51">
        <f t="shared" si="30"/>
        <v>3</v>
      </c>
      <c r="U754" s="52" t="str">
        <f t="shared" si="31"/>
        <v>Não Detectável</v>
      </c>
    </row>
    <row r="755" spans="1:21" ht="25.5" customHeight="1" x14ac:dyDescent="0.2">
      <c r="A755" s="51">
        <v>754</v>
      </c>
      <c r="B755" s="50" t="s">
        <v>1702</v>
      </c>
      <c r="C755" s="51">
        <v>42</v>
      </c>
      <c r="D755" s="51" t="s">
        <v>25</v>
      </c>
      <c r="E755" s="43">
        <v>44203</v>
      </c>
      <c r="F755" s="44" t="s">
        <v>60</v>
      </c>
      <c r="G755" s="51">
        <v>292</v>
      </c>
      <c r="H755" s="43">
        <v>44204</v>
      </c>
      <c r="I755" s="43" t="s">
        <v>1677</v>
      </c>
      <c r="J755" s="43">
        <v>44204</v>
      </c>
      <c r="K755" s="42">
        <v>20.6</v>
      </c>
      <c r="L755" s="42">
        <v>24.1</v>
      </c>
      <c r="M755" s="43" t="s">
        <v>29</v>
      </c>
      <c r="N755" s="43" t="s">
        <v>1675</v>
      </c>
      <c r="O755" s="43">
        <v>44204</v>
      </c>
      <c r="P755" s="42" t="s">
        <v>36</v>
      </c>
      <c r="Q755" s="42">
        <v>21.8</v>
      </c>
      <c r="R755" s="46" t="s">
        <v>31</v>
      </c>
      <c r="S755" s="43">
        <v>44204</v>
      </c>
      <c r="T755" s="51">
        <f t="shared" si="30"/>
        <v>3</v>
      </c>
      <c r="U755" s="52" t="str">
        <f t="shared" si="31"/>
        <v>Não Detectável</v>
      </c>
    </row>
    <row r="756" spans="1:21" ht="25.5" customHeight="1" x14ac:dyDescent="0.2">
      <c r="A756" s="51">
        <v>755</v>
      </c>
      <c r="B756" s="50" t="s">
        <v>1703</v>
      </c>
      <c r="C756" s="51">
        <v>37</v>
      </c>
      <c r="D756" s="51" t="s">
        <v>25</v>
      </c>
      <c r="E756" s="43">
        <v>44203</v>
      </c>
      <c r="F756" s="44" t="s">
        <v>60</v>
      </c>
      <c r="G756" s="51">
        <v>293</v>
      </c>
      <c r="H756" s="43">
        <v>44204</v>
      </c>
      <c r="I756" s="43" t="s">
        <v>1677</v>
      </c>
      <c r="J756" s="43">
        <v>44204</v>
      </c>
      <c r="K756" s="42">
        <v>29.6</v>
      </c>
      <c r="L756" s="42">
        <v>26</v>
      </c>
      <c r="M756" s="43" t="s">
        <v>29</v>
      </c>
      <c r="N756" s="43" t="s">
        <v>1675</v>
      </c>
      <c r="O756" s="43">
        <v>44204</v>
      </c>
      <c r="P756" s="42" t="s">
        <v>36</v>
      </c>
      <c r="Q756" s="42">
        <v>26.2</v>
      </c>
      <c r="R756" s="46" t="s">
        <v>31</v>
      </c>
      <c r="S756" s="43">
        <v>44204</v>
      </c>
      <c r="T756" s="51">
        <f t="shared" si="30"/>
        <v>3</v>
      </c>
      <c r="U756" s="52" t="str">
        <f t="shared" si="31"/>
        <v>Não Detectável</v>
      </c>
    </row>
    <row r="757" spans="1:21" ht="25.5" customHeight="1" x14ac:dyDescent="0.2">
      <c r="A757" s="51">
        <v>756</v>
      </c>
      <c r="B757" s="50" t="s">
        <v>1704</v>
      </c>
      <c r="C757" s="51">
        <v>19</v>
      </c>
      <c r="D757" s="51" t="s">
        <v>34</v>
      </c>
      <c r="E757" s="43">
        <v>44203</v>
      </c>
      <c r="F757" s="44" t="s">
        <v>60</v>
      </c>
      <c r="G757" s="51">
        <v>293</v>
      </c>
      <c r="H757" s="43">
        <v>44204</v>
      </c>
      <c r="I757" s="43" t="s">
        <v>1677</v>
      </c>
      <c r="J757" s="43">
        <v>44204</v>
      </c>
      <c r="K757" s="42">
        <v>29.6</v>
      </c>
      <c r="L757" s="42">
        <v>26</v>
      </c>
      <c r="M757" s="43" t="s">
        <v>29</v>
      </c>
      <c r="N757" s="43" t="s">
        <v>1675</v>
      </c>
      <c r="O757" s="43">
        <v>44204</v>
      </c>
      <c r="P757" s="42" t="s">
        <v>36</v>
      </c>
      <c r="Q757" s="42">
        <v>28.5</v>
      </c>
      <c r="R757" s="46" t="s">
        <v>31</v>
      </c>
      <c r="S757" s="43">
        <v>44204</v>
      </c>
      <c r="T757" s="51">
        <f t="shared" ref="T757:T820" si="32">COUNTIF(G:G,G757)</f>
        <v>3</v>
      </c>
      <c r="U757" s="52" t="str">
        <f t="shared" ref="U757:U820" si="33">IF(M757="Não Detectável","Não Detectável",IF(R757="","",R757))</f>
        <v>Não Detectável</v>
      </c>
    </row>
    <row r="758" spans="1:21" ht="25.5" customHeight="1" x14ac:dyDescent="0.2">
      <c r="A758" s="51">
        <v>757</v>
      </c>
      <c r="B758" s="50" t="s">
        <v>1705</v>
      </c>
      <c r="C758" s="51">
        <v>68</v>
      </c>
      <c r="D758" s="51" t="s">
        <v>25</v>
      </c>
      <c r="E758" s="43">
        <v>44203</v>
      </c>
      <c r="F758" s="44" t="s">
        <v>60</v>
      </c>
      <c r="G758" s="51">
        <v>293</v>
      </c>
      <c r="H758" s="43">
        <v>44204</v>
      </c>
      <c r="I758" s="43" t="s">
        <v>1677</v>
      </c>
      <c r="J758" s="43">
        <v>44204</v>
      </c>
      <c r="K758" s="42">
        <v>29.6</v>
      </c>
      <c r="L758" s="42">
        <v>26</v>
      </c>
      <c r="M758" s="43" t="s">
        <v>29</v>
      </c>
      <c r="N758" s="43" t="s">
        <v>1675</v>
      </c>
      <c r="O758" s="43">
        <v>44204</v>
      </c>
      <c r="P758" s="42">
        <v>27.9</v>
      </c>
      <c r="Q758" s="42">
        <v>24.3</v>
      </c>
      <c r="R758" s="46" t="s">
        <v>29</v>
      </c>
      <c r="S758" s="43">
        <v>44204</v>
      </c>
      <c r="T758" s="51">
        <f t="shared" si="32"/>
        <v>3</v>
      </c>
      <c r="U758" s="52" t="str">
        <f t="shared" si="33"/>
        <v>Detectável</v>
      </c>
    </row>
    <row r="759" spans="1:21" ht="25.5" customHeight="1" x14ac:dyDescent="0.2">
      <c r="A759" s="51">
        <v>758</v>
      </c>
      <c r="B759" s="50" t="s">
        <v>1706</v>
      </c>
      <c r="C759" s="51">
        <v>76</v>
      </c>
      <c r="D759" s="51" t="s">
        <v>34</v>
      </c>
      <c r="E759" s="43">
        <v>44203</v>
      </c>
      <c r="F759" s="44" t="s">
        <v>60</v>
      </c>
      <c r="G759" s="51">
        <v>294</v>
      </c>
      <c r="H759" s="43">
        <v>44204</v>
      </c>
      <c r="I759" s="43" t="s">
        <v>1677</v>
      </c>
      <c r="J759" s="43">
        <v>44204</v>
      </c>
      <c r="K759" s="42">
        <v>20</v>
      </c>
      <c r="L759" s="42">
        <v>27.2</v>
      </c>
      <c r="M759" s="43" t="s">
        <v>29</v>
      </c>
      <c r="N759" s="43" t="s">
        <v>1675</v>
      </c>
      <c r="O759" s="43">
        <v>44204</v>
      </c>
      <c r="P759" s="42">
        <v>17.7</v>
      </c>
      <c r="Q759" s="42">
        <v>26.7</v>
      </c>
      <c r="R759" s="46" t="s">
        <v>29</v>
      </c>
      <c r="S759" s="43">
        <v>44204</v>
      </c>
      <c r="T759" s="51">
        <f t="shared" si="32"/>
        <v>3</v>
      </c>
      <c r="U759" s="52" t="str">
        <f t="shared" si="33"/>
        <v>Detectável</v>
      </c>
    </row>
    <row r="760" spans="1:21" ht="25.5" customHeight="1" x14ac:dyDescent="0.2">
      <c r="A760" s="51">
        <v>759</v>
      </c>
      <c r="B760" s="50" t="s">
        <v>1707</v>
      </c>
      <c r="C760" s="51">
        <v>29</v>
      </c>
      <c r="D760" s="51" t="s">
        <v>25</v>
      </c>
      <c r="E760" s="43">
        <v>44203</v>
      </c>
      <c r="F760" s="44" t="s">
        <v>60</v>
      </c>
      <c r="G760" s="51">
        <v>294</v>
      </c>
      <c r="H760" s="43">
        <v>44204</v>
      </c>
      <c r="I760" s="43" t="s">
        <v>1677</v>
      </c>
      <c r="J760" s="43">
        <v>44204</v>
      </c>
      <c r="K760" s="42">
        <v>20</v>
      </c>
      <c r="L760" s="42">
        <v>27.2</v>
      </c>
      <c r="M760" s="43" t="s">
        <v>29</v>
      </c>
      <c r="N760" s="43" t="s">
        <v>1675</v>
      </c>
      <c r="O760" s="43">
        <v>44204</v>
      </c>
      <c r="P760" s="42">
        <v>29</v>
      </c>
      <c r="Q760" s="42">
        <v>26.5</v>
      </c>
      <c r="R760" s="46" t="s">
        <v>1708</v>
      </c>
      <c r="S760" s="43">
        <v>44204</v>
      </c>
      <c r="T760" s="51">
        <f t="shared" si="32"/>
        <v>3</v>
      </c>
      <c r="U760" s="52" t="str">
        <f t="shared" si="33"/>
        <v xml:space="preserve"> Detectável</v>
      </c>
    </row>
    <row r="761" spans="1:21" ht="25.5" customHeight="1" x14ac:dyDescent="0.2">
      <c r="A761" s="51">
        <v>760</v>
      </c>
      <c r="B761" s="50" t="s">
        <v>1709</v>
      </c>
      <c r="C761" s="51">
        <v>23</v>
      </c>
      <c r="D761" s="51" t="s">
        <v>25</v>
      </c>
      <c r="E761" s="43">
        <v>44203</v>
      </c>
      <c r="F761" s="44" t="s">
        <v>60</v>
      </c>
      <c r="G761" s="51">
        <v>294</v>
      </c>
      <c r="H761" s="43">
        <v>44204</v>
      </c>
      <c r="I761" s="43" t="s">
        <v>1677</v>
      </c>
      <c r="J761" s="43">
        <v>44204</v>
      </c>
      <c r="K761" s="42">
        <v>20</v>
      </c>
      <c r="L761" s="42">
        <v>27.2</v>
      </c>
      <c r="M761" s="43" t="s">
        <v>29</v>
      </c>
      <c r="N761" s="43" t="s">
        <v>1675</v>
      </c>
      <c r="O761" s="43">
        <v>44204</v>
      </c>
      <c r="P761" s="42" t="s">
        <v>36</v>
      </c>
      <c r="Q761" s="42">
        <v>25.9</v>
      </c>
      <c r="R761" s="46" t="s">
        <v>31</v>
      </c>
      <c r="S761" s="43">
        <v>44204</v>
      </c>
      <c r="T761" s="51">
        <f t="shared" si="32"/>
        <v>3</v>
      </c>
      <c r="U761" s="52" t="str">
        <f t="shared" si="33"/>
        <v>Não Detectável</v>
      </c>
    </row>
    <row r="762" spans="1:21" ht="25.5" customHeight="1" x14ac:dyDescent="0.2">
      <c r="A762" s="51">
        <v>761</v>
      </c>
      <c r="B762" s="50" t="s">
        <v>1710</v>
      </c>
      <c r="C762" s="51">
        <v>26</v>
      </c>
      <c r="D762" s="51" t="s">
        <v>34</v>
      </c>
      <c r="E762" s="43">
        <v>44203</v>
      </c>
      <c r="F762" s="44" t="s">
        <v>60</v>
      </c>
      <c r="G762" s="51">
        <v>295</v>
      </c>
      <c r="H762" s="43">
        <v>44204</v>
      </c>
      <c r="I762" s="43" t="s">
        <v>1677</v>
      </c>
      <c r="J762" s="43">
        <v>44204</v>
      </c>
      <c r="K762" s="42">
        <v>23.2</v>
      </c>
      <c r="L762" s="42">
        <v>27.9</v>
      </c>
      <c r="M762" s="43" t="s">
        <v>29</v>
      </c>
      <c r="N762" s="43" t="s">
        <v>1675</v>
      </c>
      <c r="O762" s="43">
        <v>44204</v>
      </c>
      <c r="P762" s="42" t="s">
        <v>36</v>
      </c>
      <c r="Q762" s="42">
        <v>28.3</v>
      </c>
      <c r="R762" s="46" t="s">
        <v>31</v>
      </c>
      <c r="S762" s="43">
        <v>44204</v>
      </c>
      <c r="T762" s="51">
        <f t="shared" si="32"/>
        <v>3</v>
      </c>
      <c r="U762" s="52" t="str">
        <f t="shared" si="33"/>
        <v>Não Detectável</v>
      </c>
    </row>
    <row r="763" spans="1:21" ht="25.5" customHeight="1" x14ac:dyDescent="0.2">
      <c r="A763" s="51">
        <v>762</v>
      </c>
      <c r="B763" s="50" t="s">
        <v>1711</v>
      </c>
      <c r="C763" s="51">
        <v>26</v>
      </c>
      <c r="D763" s="51" t="s">
        <v>25</v>
      </c>
      <c r="E763" s="43">
        <v>44203</v>
      </c>
      <c r="F763" s="44" t="s">
        <v>60</v>
      </c>
      <c r="G763" s="51">
        <v>295</v>
      </c>
      <c r="H763" s="43">
        <v>44204</v>
      </c>
      <c r="I763" s="43" t="s">
        <v>1677</v>
      </c>
      <c r="J763" s="43">
        <v>44204</v>
      </c>
      <c r="K763" s="42">
        <v>23.2</v>
      </c>
      <c r="L763" s="42">
        <v>27.9</v>
      </c>
      <c r="M763" s="43" t="s">
        <v>29</v>
      </c>
      <c r="N763" s="43" t="s">
        <v>1675</v>
      </c>
      <c r="O763" s="43">
        <v>44204</v>
      </c>
      <c r="P763" s="42">
        <v>21.5</v>
      </c>
      <c r="Q763" s="42">
        <v>27.4</v>
      </c>
      <c r="R763" s="46" t="s">
        <v>29</v>
      </c>
      <c r="S763" s="43">
        <v>44204</v>
      </c>
      <c r="T763" s="51">
        <f t="shared" si="32"/>
        <v>3</v>
      </c>
      <c r="U763" s="52" t="str">
        <f t="shared" si="33"/>
        <v>Detectável</v>
      </c>
    </row>
    <row r="764" spans="1:21" ht="25.5" customHeight="1" x14ac:dyDescent="0.2">
      <c r="A764" s="51">
        <v>763</v>
      </c>
      <c r="B764" s="50" t="s">
        <v>1712</v>
      </c>
      <c r="C764" s="51">
        <v>23</v>
      </c>
      <c r="D764" s="51" t="s">
        <v>25</v>
      </c>
      <c r="E764" s="43">
        <v>44203</v>
      </c>
      <c r="F764" s="44" t="s">
        <v>60</v>
      </c>
      <c r="G764" s="51">
        <v>295</v>
      </c>
      <c r="H764" s="43">
        <v>44204</v>
      </c>
      <c r="I764" s="43" t="s">
        <v>1677</v>
      </c>
      <c r="J764" s="43">
        <v>44204</v>
      </c>
      <c r="K764" s="42">
        <v>23.2</v>
      </c>
      <c r="L764" s="42">
        <v>27.9</v>
      </c>
      <c r="M764" s="43" t="s">
        <v>29</v>
      </c>
      <c r="N764" s="43" t="s">
        <v>1675</v>
      </c>
      <c r="O764" s="43">
        <v>44204</v>
      </c>
      <c r="P764" s="42" t="s">
        <v>36</v>
      </c>
      <c r="Q764" s="42">
        <v>27.4</v>
      </c>
      <c r="R764" s="46" t="s">
        <v>31</v>
      </c>
      <c r="S764" s="43">
        <v>44204</v>
      </c>
      <c r="T764" s="51">
        <f t="shared" si="32"/>
        <v>3</v>
      </c>
      <c r="U764" s="52" t="str">
        <f t="shared" si="33"/>
        <v>Não Detectável</v>
      </c>
    </row>
    <row r="765" spans="1:21" ht="25.5" customHeight="1" x14ac:dyDescent="0.2">
      <c r="A765" s="51">
        <v>764</v>
      </c>
      <c r="B765" s="50" t="s">
        <v>1713</v>
      </c>
      <c r="C765" s="51">
        <v>21</v>
      </c>
      <c r="D765" s="51" t="s">
        <v>34</v>
      </c>
      <c r="E765" s="43">
        <v>44203</v>
      </c>
      <c r="F765" s="44" t="s">
        <v>60</v>
      </c>
      <c r="G765" s="51">
        <v>296</v>
      </c>
      <c r="H765" s="43">
        <v>44204</v>
      </c>
      <c r="I765" s="43" t="s">
        <v>1677</v>
      </c>
      <c r="J765" s="43">
        <v>44204</v>
      </c>
      <c r="K765" s="42" t="s">
        <v>36</v>
      </c>
      <c r="L765" s="42">
        <v>28.3</v>
      </c>
      <c r="M765" s="45" t="s">
        <v>31</v>
      </c>
      <c r="N765" s="43" t="s">
        <v>60</v>
      </c>
      <c r="O765" s="43" t="s">
        <v>60</v>
      </c>
      <c r="P765" s="42" t="s">
        <v>60</v>
      </c>
      <c r="Q765" s="42" t="s">
        <v>60</v>
      </c>
      <c r="R765" s="46" t="s">
        <v>60</v>
      </c>
      <c r="S765" s="43">
        <v>44204</v>
      </c>
      <c r="T765" s="51">
        <f t="shared" si="32"/>
        <v>3</v>
      </c>
      <c r="U765" s="52" t="str">
        <f t="shared" si="33"/>
        <v>Não Detectável</v>
      </c>
    </row>
    <row r="766" spans="1:21" ht="25.5" customHeight="1" x14ac:dyDescent="0.2">
      <c r="A766" s="51">
        <v>765</v>
      </c>
      <c r="B766" s="50" t="s">
        <v>1714</v>
      </c>
      <c r="C766" s="51">
        <v>27</v>
      </c>
      <c r="D766" s="51" t="s">
        <v>25</v>
      </c>
      <c r="E766" s="43">
        <v>44203</v>
      </c>
      <c r="F766" s="44" t="s">
        <v>60</v>
      </c>
      <c r="G766" s="51">
        <v>296</v>
      </c>
      <c r="H766" s="43">
        <v>44204</v>
      </c>
      <c r="I766" s="43" t="s">
        <v>1677</v>
      </c>
      <c r="J766" s="43">
        <v>44204</v>
      </c>
      <c r="K766" s="42" t="s">
        <v>36</v>
      </c>
      <c r="L766" s="42">
        <v>28.3</v>
      </c>
      <c r="M766" s="45" t="s">
        <v>31</v>
      </c>
      <c r="N766" s="43" t="s">
        <v>60</v>
      </c>
      <c r="O766" s="43" t="s">
        <v>60</v>
      </c>
      <c r="P766" s="42" t="s">
        <v>60</v>
      </c>
      <c r="Q766" s="42" t="s">
        <v>60</v>
      </c>
      <c r="R766" s="46" t="s">
        <v>60</v>
      </c>
      <c r="S766" s="43">
        <v>44204</v>
      </c>
      <c r="T766" s="51">
        <f t="shared" si="32"/>
        <v>3</v>
      </c>
      <c r="U766" s="52" t="str">
        <f t="shared" si="33"/>
        <v>Não Detectável</v>
      </c>
    </row>
    <row r="767" spans="1:21" ht="25.5" customHeight="1" x14ac:dyDescent="0.2">
      <c r="A767" s="51">
        <v>766</v>
      </c>
      <c r="B767" s="50" t="s">
        <v>1715</v>
      </c>
      <c r="C767" s="51">
        <v>22</v>
      </c>
      <c r="D767" s="51" t="s">
        <v>34</v>
      </c>
      <c r="E767" s="43">
        <v>44203</v>
      </c>
      <c r="F767" s="44" t="s">
        <v>60</v>
      </c>
      <c r="G767" s="51">
        <v>296</v>
      </c>
      <c r="H767" s="43">
        <v>44204</v>
      </c>
      <c r="I767" s="43" t="s">
        <v>1677</v>
      </c>
      <c r="J767" s="43">
        <v>44204</v>
      </c>
      <c r="K767" s="42" t="s">
        <v>36</v>
      </c>
      <c r="L767" s="42">
        <v>28.3</v>
      </c>
      <c r="M767" s="45" t="s">
        <v>31</v>
      </c>
      <c r="N767" s="43" t="s">
        <v>60</v>
      </c>
      <c r="O767" s="43" t="s">
        <v>60</v>
      </c>
      <c r="P767" s="42" t="s">
        <v>60</v>
      </c>
      <c r="Q767" s="42" t="s">
        <v>60</v>
      </c>
      <c r="R767" s="46" t="s">
        <v>60</v>
      </c>
      <c r="S767" s="43">
        <v>44204</v>
      </c>
      <c r="T767" s="51">
        <f t="shared" si="32"/>
        <v>3</v>
      </c>
      <c r="U767" s="52" t="str">
        <f t="shared" si="33"/>
        <v>Não Detectável</v>
      </c>
    </row>
    <row r="768" spans="1:21" ht="25.5" customHeight="1" x14ac:dyDescent="0.2">
      <c r="A768" s="51">
        <v>767</v>
      </c>
      <c r="B768" s="50" t="s">
        <v>1716</v>
      </c>
      <c r="C768" s="51">
        <v>26</v>
      </c>
      <c r="D768" s="51" t="s">
        <v>25</v>
      </c>
      <c r="E768" s="43">
        <v>44203</v>
      </c>
      <c r="F768" s="44" t="s">
        <v>60</v>
      </c>
      <c r="G768" s="51">
        <v>297</v>
      </c>
      <c r="H768" s="43">
        <v>44204</v>
      </c>
      <c r="I768" s="43" t="s">
        <v>1677</v>
      </c>
      <c r="J768" s="43">
        <v>44204</v>
      </c>
      <c r="K768" s="42">
        <v>35.1</v>
      </c>
      <c r="L768" s="42">
        <v>27.2</v>
      </c>
      <c r="M768" s="43" t="s">
        <v>29</v>
      </c>
      <c r="N768" s="43" t="s">
        <v>1675</v>
      </c>
      <c r="O768" s="43">
        <v>44204</v>
      </c>
      <c r="P768" s="42" t="s">
        <v>36</v>
      </c>
      <c r="Q768" s="42">
        <v>27.1</v>
      </c>
      <c r="R768" s="46" t="s">
        <v>31</v>
      </c>
      <c r="S768" s="43">
        <v>44204</v>
      </c>
      <c r="T768" s="51">
        <f t="shared" si="32"/>
        <v>3</v>
      </c>
      <c r="U768" s="52" t="str">
        <f t="shared" si="33"/>
        <v>Não Detectável</v>
      </c>
    </row>
    <row r="769" spans="1:21" ht="25.5" customHeight="1" x14ac:dyDescent="0.2">
      <c r="A769" s="51">
        <v>768</v>
      </c>
      <c r="B769" s="50" t="s">
        <v>1717</v>
      </c>
      <c r="C769" s="51">
        <v>71</v>
      </c>
      <c r="D769" s="51" t="s">
        <v>25</v>
      </c>
      <c r="E769" s="43">
        <v>44203</v>
      </c>
      <c r="F769" s="44" t="s">
        <v>60</v>
      </c>
      <c r="G769" s="51">
        <v>297</v>
      </c>
      <c r="H769" s="43">
        <v>44204</v>
      </c>
      <c r="I769" s="43" t="s">
        <v>1677</v>
      </c>
      <c r="J769" s="43">
        <v>44204</v>
      </c>
      <c r="K769" s="42">
        <v>35.1</v>
      </c>
      <c r="L769" s="42">
        <v>27.2</v>
      </c>
      <c r="M769" s="43" t="s">
        <v>29</v>
      </c>
      <c r="N769" s="43" t="s">
        <v>1675</v>
      </c>
      <c r="O769" s="43">
        <v>44204</v>
      </c>
      <c r="P769" s="42">
        <v>31.5</v>
      </c>
      <c r="Q769" s="42">
        <v>27.6</v>
      </c>
      <c r="R769" s="46" t="s">
        <v>29</v>
      </c>
      <c r="S769" s="43">
        <v>44204</v>
      </c>
      <c r="T769" s="51">
        <f t="shared" si="32"/>
        <v>3</v>
      </c>
      <c r="U769" s="52" t="str">
        <f t="shared" si="33"/>
        <v>Detectável</v>
      </c>
    </row>
    <row r="770" spans="1:21" ht="25.5" customHeight="1" x14ac:dyDescent="0.2">
      <c r="A770" s="51">
        <v>769</v>
      </c>
      <c r="B770" s="50" t="s">
        <v>1718</v>
      </c>
      <c r="C770" s="51">
        <v>47</v>
      </c>
      <c r="D770" s="51" t="s">
        <v>25</v>
      </c>
      <c r="E770" s="43">
        <v>44203</v>
      </c>
      <c r="F770" s="44" t="s">
        <v>60</v>
      </c>
      <c r="G770" s="51">
        <v>297</v>
      </c>
      <c r="H770" s="43">
        <v>44204</v>
      </c>
      <c r="I770" s="43" t="s">
        <v>1677</v>
      </c>
      <c r="J770" s="43">
        <v>44204</v>
      </c>
      <c r="K770" s="42">
        <v>35.1</v>
      </c>
      <c r="L770" s="42">
        <v>27.2</v>
      </c>
      <c r="M770" s="43" t="s">
        <v>29</v>
      </c>
      <c r="N770" s="43" t="s">
        <v>1675</v>
      </c>
      <c r="O770" s="43">
        <v>44204</v>
      </c>
      <c r="P770" s="42" t="s">
        <v>36</v>
      </c>
      <c r="Q770" s="42">
        <v>25.7</v>
      </c>
      <c r="R770" s="46" t="s">
        <v>31</v>
      </c>
      <c r="S770" s="43">
        <v>44204</v>
      </c>
      <c r="T770" s="51">
        <f t="shared" si="32"/>
        <v>3</v>
      </c>
      <c r="U770" s="52" t="str">
        <f t="shared" si="33"/>
        <v>Não Detectável</v>
      </c>
    </row>
    <row r="771" spans="1:21" ht="25.5" customHeight="1" x14ac:dyDescent="0.2">
      <c r="A771" s="51">
        <v>770</v>
      </c>
      <c r="B771" s="50" t="s">
        <v>1719</v>
      </c>
      <c r="C771" s="51">
        <v>57</v>
      </c>
      <c r="D771" s="51" t="s">
        <v>34</v>
      </c>
      <c r="E771" s="43">
        <v>44204</v>
      </c>
      <c r="F771" s="44" t="s">
        <v>60</v>
      </c>
      <c r="G771" s="51">
        <v>298</v>
      </c>
      <c r="H771" s="43">
        <v>44207</v>
      </c>
      <c r="I771" s="43" t="s">
        <v>1720</v>
      </c>
      <c r="J771" s="43">
        <v>44207</v>
      </c>
      <c r="K771" s="42">
        <v>17.899999999999999</v>
      </c>
      <c r="L771" s="42">
        <v>27.5</v>
      </c>
      <c r="M771" s="43" t="s">
        <v>29</v>
      </c>
      <c r="N771" s="43" t="s">
        <v>1721</v>
      </c>
      <c r="O771" s="43">
        <v>44207</v>
      </c>
      <c r="P771" s="42">
        <v>34.200000000000003</v>
      </c>
      <c r="Q771" s="42">
        <v>28</v>
      </c>
      <c r="R771" s="46" t="s">
        <v>29</v>
      </c>
      <c r="S771" s="43">
        <v>44208</v>
      </c>
      <c r="T771" s="51">
        <f t="shared" si="32"/>
        <v>3</v>
      </c>
      <c r="U771" s="52" t="str">
        <f t="shared" si="33"/>
        <v>Detectável</v>
      </c>
    </row>
    <row r="772" spans="1:21" ht="25.5" customHeight="1" x14ac:dyDescent="0.2">
      <c r="A772" s="51">
        <v>771</v>
      </c>
      <c r="B772" s="50" t="s">
        <v>1722</v>
      </c>
      <c r="C772" s="51">
        <v>20</v>
      </c>
      <c r="D772" s="51" t="s">
        <v>34</v>
      </c>
      <c r="E772" s="43">
        <v>44204</v>
      </c>
      <c r="F772" s="44" t="s">
        <v>60</v>
      </c>
      <c r="G772" s="51">
        <v>298</v>
      </c>
      <c r="H772" s="43">
        <v>44207</v>
      </c>
      <c r="I772" s="43" t="s">
        <v>1720</v>
      </c>
      <c r="J772" s="43">
        <v>44207</v>
      </c>
      <c r="K772" s="42">
        <v>17.899999999999999</v>
      </c>
      <c r="L772" s="42">
        <v>27.5</v>
      </c>
      <c r="M772" s="43" t="s">
        <v>29</v>
      </c>
      <c r="N772" s="43" t="s">
        <v>1721</v>
      </c>
      <c r="O772" s="43">
        <v>44207</v>
      </c>
      <c r="P772" s="42">
        <v>15.8</v>
      </c>
      <c r="Q772" s="42">
        <v>27.9</v>
      </c>
      <c r="R772" s="46" t="s">
        <v>29</v>
      </c>
      <c r="S772" s="43">
        <v>44208</v>
      </c>
      <c r="T772" s="51">
        <f t="shared" si="32"/>
        <v>3</v>
      </c>
      <c r="U772" s="52" t="str">
        <f t="shared" si="33"/>
        <v>Detectável</v>
      </c>
    </row>
    <row r="773" spans="1:21" ht="25.5" customHeight="1" x14ac:dyDescent="0.2">
      <c r="A773" s="51">
        <v>772</v>
      </c>
      <c r="B773" s="50" t="s">
        <v>1723</v>
      </c>
      <c r="C773" s="51">
        <v>29</v>
      </c>
      <c r="D773" s="51" t="s">
        <v>34</v>
      </c>
      <c r="E773" s="43">
        <v>44204</v>
      </c>
      <c r="F773" s="44" t="s">
        <v>60</v>
      </c>
      <c r="G773" s="51">
        <v>298</v>
      </c>
      <c r="H773" s="43">
        <v>44207</v>
      </c>
      <c r="I773" s="43" t="s">
        <v>1720</v>
      </c>
      <c r="J773" s="43">
        <v>44207</v>
      </c>
      <c r="K773" s="42">
        <v>17.899999999999999</v>
      </c>
      <c r="L773" s="42">
        <v>27.5</v>
      </c>
      <c r="M773" s="43" t="s">
        <v>29</v>
      </c>
      <c r="N773" s="43" t="s">
        <v>1721</v>
      </c>
      <c r="O773" s="43">
        <v>44207</v>
      </c>
      <c r="P773" s="42">
        <v>30.5</v>
      </c>
      <c r="Q773" s="42">
        <v>28.5</v>
      </c>
      <c r="R773" s="46" t="s">
        <v>29</v>
      </c>
      <c r="S773" s="43">
        <v>44208</v>
      </c>
      <c r="T773" s="51">
        <f t="shared" si="32"/>
        <v>3</v>
      </c>
      <c r="U773" s="52" t="str">
        <f t="shared" si="33"/>
        <v>Detectável</v>
      </c>
    </row>
    <row r="774" spans="1:21" ht="25.5" customHeight="1" x14ac:dyDescent="0.2">
      <c r="A774" s="51">
        <v>773</v>
      </c>
      <c r="B774" s="50" t="s">
        <v>1724</v>
      </c>
      <c r="C774" s="51">
        <v>67</v>
      </c>
      <c r="D774" s="51" t="s">
        <v>34</v>
      </c>
      <c r="E774" s="43">
        <v>44204</v>
      </c>
      <c r="F774" s="44" t="s">
        <v>60</v>
      </c>
      <c r="G774" s="51">
        <v>299</v>
      </c>
      <c r="H774" s="43">
        <v>44207</v>
      </c>
      <c r="I774" s="43" t="s">
        <v>1720</v>
      </c>
      <c r="J774" s="43">
        <v>44207</v>
      </c>
      <c r="K774" s="42" t="s">
        <v>1725</v>
      </c>
      <c r="L774" s="42">
        <v>27.6</v>
      </c>
      <c r="M774" s="45" t="s">
        <v>31</v>
      </c>
      <c r="N774" s="42" t="s">
        <v>60</v>
      </c>
      <c r="O774" s="42" t="s">
        <v>60</v>
      </c>
      <c r="P774" s="42" t="s">
        <v>60</v>
      </c>
      <c r="Q774" s="42" t="s">
        <v>60</v>
      </c>
      <c r="R774" s="46" t="s">
        <v>60</v>
      </c>
      <c r="S774" s="43">
        <v>44207</v>
      </c>
      <c r="T774" s="51">
        <f t="shared" si="32"/>
        <v>3</v>
      </c>
      <c r="U774" s="52" t="str">
        <f t="shared" si="33"/>
        <v>Não Detectável</v>
      </c>
    </row>
    <row r="775" spans="1:21" ht="25.5" customHeight="1" x14ac:dyDescent="0.2">
      <c r="A775" s="51">
        <v>774</v>
      </c>
      <c r="B775" s="50" t="s">
        <v>1726</v>
      </c>
      <c r="C775" s="51">
        <v>42</v>
      </c>
      <c r="D775" s="51" t="s">
        <v>25</v>
      </c>
      <c r="E775" s="43">
        <v>44204</v>
      </c>
      <c r="F775" s="44" t="s">
        <v>60</v>
      </c>
      <c r="G775" s="51">
        <v>299</v>
      </c>
      <c r="H775" s="43">
        <v>44207</v>
      </c>
      <c r="I775" s="43" t="s">
        <v>1720</v>
      </c>
      <c r="J775" s="43">
        <v>44207</v>
      </c>
      <c r="K775" s="42" t="s">
        <v>1725</v>
      </c>
      <c r="L775" s="42">
        <v>27.6</v>
      </c>
      <c r="M775" s="45" t="s">
        <v>31</v>
      </c>
      <c r="N775" s="42" t="s">
        <v>60</v>
      </c>
      <c r="O775" s="42" t="s">
        <v>60</v>
      </c>
      <c r="P775" s="42" t="s">
        <v>60</v>
      </c>
      <c r="Q775" s="42" t="s">
        <v>60</v>
      </c>
      <c r="R775" s="46" t="s">
        <v>60</v>
      </c>
      <c r="S775" s="43">
        <v>44207</v>
      </c>
      <c r="T775" s="51">
        <f t="shared" si="32"/>
        <v>3</v>
      </c>
      <c r="U775" s="52" t="str">
        <f t="shared" si="33"/>
        <v>Não Detectável</v>
      </c>
    </row>
    <row r="776" spans="1:21" ht="25.5" customHeight="1" x14ac:dyDescent="0.2">
      <c r="A776" s="51">
        <v>775</v>
      </c>
      <c r="B776" s="50" t="s">
        <v>1727</v>
      </c>
      <c r="C776" s="51">
        <v>37</v>
      </c>
      <c r="D776" s="51" t="s">
        <v>25</v>
      </c>
      <c r="E776" s="43">
        <v>44204</v>
      </c>
      <c r="F776" s="44" t="s">
        <v>60</v>
      </c>
      <c r="G776" s="51">
        <v>299</v>
      </c>
      <c r="H776" s="43">
        <v>44207</v>
      </c>
      <c r="I776" s="43" t="s">
        <v>1720</v>
      </c>
      <c r="J776" s="43">
        <v>44207</v>
      </c>
      <c r="K776" s="42" t="s">
        <v>1725</v>
      </c>
      <c r="L776" s="42">
        <v>27.6</v>
      </c>
      <c r="M776" s="45" t="s">
        <v>31</v>
      </c>
      <c r="N776" s="42" t="s">
        <v>60</v>
      </c>
      <c r="O776" s="42" t="s">
        <v>60</v>
      </c>
      <c r="P776" s="42" t="s">
        <v>60</v>
      </c>
      <c r="Q776" s="42" t="s">
        <v>60</v>
      </c>
      <c r="R776" s="46" t="s">
        <v>60</v>
      </c>
      <c r="S776" s="43">
        <v>44207</v>
      </c>
      <c r="T776" s="51">
        <f t="shared" si="32"/>
        <v>3</v>
      </c>
      <c r="U776" s="52" t="str">
        <f t="shared" si="33"/>
        <v>Não Detectável</v>
      </c>
    </row>
    <row r="777" spans="1:21" ht="25.5" customHeight="1" x14ac:dyDescent="0.2">
      <c r="A777" s="51">
        <v>776</v>
      </c>
      <c r="B777" s="50" t="s">
        <v>1728</v>
      </c>
      <c r="C777" s="51">
        <v>28</v>
      </c>
      <c r="D777" s="51" t="s">
        <v>34</v>
      </c>
      <c r="E777" s="43">
        <v>44204</v>
      </c>
      <c r="F777" s="44" t="s">
        <v>60</v>
      </c>
      <c r="G777" s="51">
        <v>300</v>
      </c>
      <c r="H777" s="43">
        <v>44207</v>
      </c>
      <c r="I777" s="43" t="s">
        <v>1720</v>
      </c>
      <c r="J777" s="43">
        <v>44207</v>
      </c>
      <c r="K777" s="42">
        <v>28.2</v>
      </c>
      <c r="L777" s="42">
        <v>29.3</v>
      </c>
      <c r="M777" s="48" t="s">
        <v>29</v>
      </c>
      <c r="N777" s="43" t="s">
        <v>1721</v>
      </c>
      <c r="O777" s="43">
        <v>44207</v>
      </c>
      <c r="P777" s="42">
        <v>27.4</v>
      </c>
      <c r="Q777" s="42">
        <v>29.7</v>
      </c>
      <c r="R777" s="46" t="s">
        <v>29</v>
      </c>
      <c r="S777" s="43">
        <v>44208</v>
      </c>
      <c r="T777" s="51">
        <f t="shared" si="32"/>
        <v>3</v>
      </c>
      <c r="U777" s="52" t="str">
        <f t="shared" si="33"/>
        <v>Detectável</v>
      </c>
    </row>
    <row r="778" spans="1:21" ht="25.5" customHeight="1" x14ac:dyDescent="0.2">
      <c r="A778" s="51">
        <v>777</v>
      </c>
      <c r="B778" s="50" t="s">
        <v>1729</v>
      </c>
      <c r="C778" s="51">
        <v>36</v>
      </c>
      <c r="D778" s="51" t="s">
        <v>34</v>
      </c>
      <c r="E778" s="43">
        <v>44204</v>
      </c>
      <c r="F778" s="44" t="s">
        <v>60</v>
      </c>
      <c r="G778" s="51">
        <v>300</v>
      </c>
      <c r="H778" s="43">
        <v>44207</v>
      </c>
      <c r="I778" s="43" t="s">
        <v>1720</v>
      </c>
      <c r="J778" s="43">
        <v>44207</v>
      </c>
      <c r="K778" s="42">
        <v>28.2</v>
      </c>
      <c r="L778" s="42">
        <v>29.3</v>
      </c>
      <c r="M778" s="48" t="s">
        <v>29</v>
      </c>
      <c r="N778" s="43" t="s">
        <v>1721</v>
      </c>
      <c r="O778" s="43">
        <v>44207</v>
      </c>
      <c r="P778" s="42">
        <v>34.299999999999997</v>
      </c>
      <c r="Q778" s="42">
        <v>30.5</v>
      </c>
      <c r="R778" s="46" t="s">
        <v>29</v>
      </c>
      <c r="S778" s="43">
        <v>44208</v>
      </c>
      <c r="T778" s="51">
        <f t="shared" si="32"/>
        <v>3</v>
      </c>
      <c r="U778" s="52" t="str">
        <f t="shared" si="33"/>
        <v>Detectável</v>
      </c>
    </row>
    <row r="779" spans="1:21" ht="25.5" customHeight="1" x14ac:dyDescent="0.2">
      <c r="A779" s="51">
        <v>778</v>
      </c>
      <c r="B779" s="50" t="s">
        <v>1730</v>
      </c>
      <c r="C779" s="51">
        <v>52</v>
      </c>
      <c r="D779" s="51" t="s">
        <v>25</v>
      </c>
      <c r="E779" s="43">
        <v>44204</v>
      </c>
      <c r="F779" s="44" t="s">
        <v>60</v>
      </c>
      <c r="G779" s="51">
        <v>300</v>
      </c>
      <c r="H779" s="43">
        <v>44207</v>
      </c>
      <c r="I779" s="43" t="s">
        <v>1720</v>
      </c>
      <c r="J779" s="43">
        <v>44207</v>
      </c>
      <c r="K779" s="42">
        <v>28.2</v>
      </c>
      <c r="L779" s="42">
        <v>29.3</v>
      </c>
      <c r="M779" s="48" t="s">
        <v>29</v>
      </c>
      <c r="N779" s="43" t="s">
        <v>1721</v>
      </c>
      <c r="O779" s="43">
        <v>44207</v>
      </c>
      <c r="P779" s="42" t="s">
        <v>36</v>
      </c>
      <c r="Q779" s="42">
        <v>28</v>
      </c>
      <c r="R779" s="46" t="s">
        <v>31</v>
      </c>
      <c r="S779" s="43">
        <v>44208</v>
      </c>
      <c r="T779" s="51">
        <f t="shared" si="32"/>
        <v>3</v>
      </c>
      <c r="U779" s="52" t="str">
        <f t="shared" si="33"/>
        <v>Não Detectável</v>
      </c>
    </row>
    <row r="780" spans="1:21" ht="25.5" customHeight="1" x14ac:dyDescent="0.2">
      <c r="A780" s="51">
        <v>779</v>
      </c>
      <c r="B780" s="50" t="s">
        <v>1731</v>
      </c>
      <c r="C780" s="51">
        <v>47</v>
      </c>
      <c r="D780" s="51" t="s">
        <v>25</v>
      </c>
      <c r="E780" s="43">
        <v>44204</v>
      </c>
      <c r="F780" s="44" t="s">
        <v>60</v>
      </c>
      <c r="G780" s="51">
        <v>301</v>
      </c>
      <c r="H780" s="43">
        <v>44207</v>
      </c>
      <c r="I780" s="43" t="s">
        <v>1720</v>
      </c>
      <c r="J780" s="43">
        <v>44207</v>
      </c>
      <c r="K780" s="42">
        <v>26</v>
      </c>
      <c r="L780" s="42">
        <v>28.1</v>
      </c>
      <c r="M780" s="48" t="s">
        <v>29</v>
      </c>
      <c r="N780" s="43" t="s">
        <v>1721</v>
      </c>
      <c r="O780" s="43">
        <v>44207</v>
      </c>
      <c r="P780" s="42" t="s">
        <v>36</v>
      </c>
      <c r="Q780" s="42">
        <v>28.7</v>
      </c>
      <c r="R780" s="46" t="s">
        <v>31</v>
      </c>
      <c r="S780" s="43">
        <v>44208</v>
      </c>
      <c r="T780" s="51">
        <f t="shared" si="32"/>
        <v>3</v>
      </c>
      <c r="U780" s="52" t="str">
        <f t="shared" si="33"/>
        <v>Não Detectável</v>
      </c>
    </row>
    <row r="781" spans="1:21" ht="25.5" customHeight="1" x14ac:dyDescent="0.2">
      <c r="A781" s="51">
        <v>780</v>
      </c>
      <c r="B781" s="50" t="s">
        <v>1732</v>
      </c>
      <c r="C781" s="51">
        <v>44</v>
      </c>
      <c r="D781" s="51" t="s">
        <v>34</v>
      </c>
      <c r="E781" s="43">
        <v>44204</v>
      </c>
      <c r="F781" s="44" t="s">
        <v>60</v>
      </c>
      <c r="G781" s="51">
        <v>301</v>
      </c>
      <c r="H781" s="43">
        <v>44207</v>
      </c>
      <c r="I781" s="43" t="s">
        <v>1720</v>
      </c>
      <c r="J781" s="43">
        <v>44207</v>
      </c>
      <c r="K781" s="42">
        <v>26</v>
      </c>
      <c r="L781" s="42">
        <v>28.1</v>
      </c>
      <c r="M781" s="48" t="s">
        <v>29</v>
      </c>
      <c r="N781" s="43" t="s">
        <v>1721</v>
      </c>
      <c r="O781" s="43">
        <v>44207</v>
      </c>
      <c r="P781" s="42" t="s">
        <v>36</v>
      </c>
      <c r="Q781" s="42">
        <v>29.4</v>
      </c>
      <c r="R781" s="46" t="s">
        <v>31</v>
      </c>
      <c r="S781" s="43">
        <v>44208</v>
      </c>
      <c r="T781" s="51">
        <f t="shared" si="32"/>
        <v>3</v>
      </c>
      <c r="U781" s="52" t="str">
        <f t="shared" si="33"/>
        <v>Não Detectável</v>
      </c>
    </row>
    <row r="782" spans="1:21" ht="25.5" customHeight="1" x14ac:dyDescent="0.2">
      <c r="A782" s="51">
        <v>781</v>
      </c>
      <c r="B782" s="50" t="s">
        <v>1733</v>
      </c>
      <c r="C782" s="51">
        <v>70</v>
      </c>
      <c r="D782" s="51" t="s">
        <v>25</v>
      </c>
      <c r="E782" s="43">
        <v>44204</v>
      </c>
      <c r="F782" s="44" t="s">
        <v>60</v>
      </c>
      <c r="G782" s="51">
        <v>301</v>
      </c>
      <c r="H782" s="43">
        <v>44207</v>
      </c>
      <c r="I782" s="43" t="s">
        <v>1720</v>
      </c>
      <c r="J782" s="43">
        <v>44207</v>
      </c>
      <c r="K782" s="42">
        <v>26</v>
      </c>
      <c r="L782" s="42">
        <v>28.1</v>
      </c>
      <c r="M782" s="48" t="s">
        <v>29</v>
      </c>
      <c r="N782" s="43" t="s">
        <v>1721</v>
      </c>
      <c r="O782" s="43">
        <v>44207</v>
      </c>
      <c r="P782" s="42">
        <v>23.8</v>
      </c>
      <c r="Q782" s="42">
        <v>27.9</v>
      </c>
      <c r="R782" s="46" t="s">
        <v>29</v>
      </c>
      <c r="S782" s="43">
        <v>44208</v>
      </c>
      <c r="T782" s="51">
        <f t="shared" si="32"/>
        <v>3</v>
      </c>
      <c r="U782" s="52" t="str">
        <f t="shared" si="33"/>
        <v>Detectável</v>
      </c>
    </row>
    <row r="783" spans="1:21" ht="25.5" customHeight="1" x14ac:dyDescent="0.2">
      <c r="A783" s="51">
        <v>782</v>
      </c>
      <c r="B783" s="50" t="s">
        <v>1734</v>
      </c>
      <c r="C783" s="51">
        <v>57</v>
      </c>
      <c r="D783" s="51" t="s">
        <v>34</v>
      </c>
      <c r="E783" s="43">
        <v>44204</v>
      </c>
      <c r="F783" s="44" t="s">
        <v>60</v>
      </c>
      <c r="G783" s="51">
        <v>302</v>
      </c>
      <c r="H783" s="43">
        <v>44207</v>
      </c>
      <c r="I783" s="43" t="s">
        <v>1735</v>
      </c>
      <c r="J783" s="43">
        <v>44208</v>
      </c>
      <c r="K783" s="42">
        <v>19.8</v>
      </c>
      <c r="L783" s="42">
        <v>27.7</v>
      </c>
      <c r="M783" s="48" t="s">
        <v>29</v>
      </c>
      <c r="N783" s="43" t="s">
        <v>1736</v>
      </c>
      <c r="O783" s="43">
        <v>44208</v>
      </c>
      <c r="P783" s="42" t="s">
        <v>36</v>
      </c>
      <c r="Q783" s="42">
        <v>28.8</v>
      </c>
      <c r="R783" s="46" t="s">
        <v>31</v>
      </c>
      <c r="S783" s="43">
        <v>44209</v>
      </c>
      <c r="T783" s="51">
        <f t="shared" si="32"/>
        <v>3</v>
      </c>
      <c r="U783" s="52" t="str">
        <f t="shared" si="33"/>
        <v>Não Detectável</v>
      </c>
    </row>
    <row r="784" spans="1:21" ht="25.5" customHeight="1" x14ac:dyDescent="0.2">
      <c r="A784" s="51">
        <v>783</v>
      </c>
      <c r="B784" s="50" t="s">
        <v>1737</v>
      </c>
      <c r="C784" s="51">
        <v>68</v>
      </c>
      <c r="D784" s="51" t="s">
        <v>25</v>
      </c>
      <c r="E784" s="43">
        <v>44207</v>
      </c>
      <c r="F784" s="44" t="s">
        <v>60</v>
      </c>
      <c r="G784" s="51">
        <v>302</v>
      </c>
      <c r="H784" s="43">
        <v>44208</v>
      </c>
      <c r="I784" s="43" t="s">
        <v>1735</v>
      </c>
      <c r="J784" s="43">
        <v>44208</v>
      </c>
      <c r="K784" s="42">
        <v>19.8</v>
      </c>
      <c r="L784" s="42">
        <v>27.7</v>
      </c>
      <c r="M784" s="48" t="s">
        <v>29</v>
      </c>
      <c r="N784" s="43" t="s">
        <v>1736</v>
      </c>
      <c r="O784" s="43">
        <v>44208</v>
      </c>
      <c r="P784" s="42">
        <v>23.3</v>
      </c>
      <c r="Q784" s="42">
        <v>28.4</v>
      </c>
      <c r="R784" s="46" t="s">
        <v>29</v>
      </c>
      <c r="S784" s="43">
        <v>44209</v>
      </c>
      <c r="T784" s="51">
        <f t="shared" si="32"/>
        <v>3</v>
      </c>
      <c r="U784" s="52" t="str">
        <f t="shared" si="33"/>
        <v>Detectável</v>
      </c>
    </row>
    <row r="785" spans="1:21" ht="25.5" customHeight="1" x14ac:dyDescent="0.2">
      <c r="A785" s="51">
        <v>784</v>
      </c>
      <c r="B785" s="50" t="s">
        <v>1738</v>
      </c>
      <c r="C785" s="51">
        <v>38</v>
      </c>
      <c r="D785" s="51" t="s">
        <v>25</v>
      </c>
      <c r="E785" s="43">
        <v>44207</v>
      </c>
      <c r="F785" s="44" t="s">
        <v>60</v>
      </c>
      <c r="G785" s="51">
        <v>302</v>
      </c>
      <c r="H785" s="43">
        <v>44208</v>
      </c>
      <c r="I785" s="43" t="s">
        <v>1735</v>
      </c>
      <c r="J785" s="43">
        <v>44208</v>
      </c>
      <c r="K785" s="42">
        <v>19.8</v>
      </c>
      <c r="L785" s="42">
        <v>27.7</v>
      </c>
      <c r="M785" s="48" t="s">
        <v>29</v>
      </c>
      <c r="N785" s="43" t="s">
        <v>1736</v>
      </c>
      <c r="O785" s="43">
        <v>44208</v>
      </c>
      <c r="P785" s="42" t="s">
        <v>36</v>
      </c>
      <c r="Q785" s="42">
        <v>28.6</v>
      </c>
      <c r="R785" s="46" t="s">
        <v>31</v>
      </c>
      <c r="S785" s="43">
        <v>44209</v>
      </c>
      <c r="T785" s="51">
        <f t="shared" si="32"/>
        <v>3</v>
      </c>
      <c r="U785" s="52" t="str">
        <f t="shared" si="33"/>
        <v>Não Detectável</v>
      </c>
    </row>
    <row r="786" spans="1:21" ht="25.5" customHeight="1" x14ac:dyDescent="0.2">
      <c r="A786" s="51">
        <v>785</v>
      </c>
      <c r="B786" s="50" t="s">
        <v>1739</v>
      </c>
      <c r="C786" s="51">
        <v>55</v>
      </c>
      <c r="D786" s="51" t="s">
        <v>25</v>
      </c>
      <c r="E786" s="43">
        <v>44207</v>
      </c>
      <c r="F786" s="44" t="s">
        <v>60</v>
      </c>
      <c r="G786" s="51">
        <v>303</v>
      </c>
      <c r="H786" s="43">
        <v>44208</v>
      </c>
      <c r="I786" s="43" t="s">
        <v>1735</v>
      </c>
      <c r="J786" s="43">
        <v>44208</v>
      </c>
      <c r="K786" s="42">
        <v>28.1</v>
      </c>
      <c r="L786" s="42">
        <v>27.5</v>
      </c>
      <c r="M786" s="48" t="s">
        <v>29</v>
      </c>
      <c r="N786" s="43" t="s">
        <v>1736</v>
      </c>
      <c r="O786" s="43">
        <v>44208</v>
      </c>
      <c r="P786" s="42">
        <v>30.2</v>
      </c>
      <c r="Q786" s="42">
        <v>27.7</v>
      </c>
      <c r="R786" s="46" t="s">
        <v>29</v>
      </c>
      <c r="S786" s="43">
        <v>44209</v>
      </c>
      <c r="T786" s="51">
        <f t="shared" si="32"/>
        <v>3</v>
      </c>
      <c r="U786" s="52" t="str">
        <f t="shared" si="33"/>
        <v>Detectável</v>
      </c>
    </row>
    <row r="787" spans="1:21" ht="25.5" customHeight="1" x14ac:dyDescent="0.2">
      <c r="A787" s="51">
        <v>786</v>
      </c>
      <c r="B787" s="50" t="s">
        <v>1740</v>
      </c>
      <c r="C787" s="51">
        <v>47</v>
      </c>
      <c r="D787" s="51" t="s">
        <v>34</v>
      </c>
      <c r="E787" s="43">
        <v>44207</v>
      </c>
      <c r="F787" s="44" t="s">
        <v>60</v>
      </c>
      <c r="G787" s="51">
        <v>303</v>
      </c>
      <c r="H787" s="43">
        <v>44208</v>
      </c>
      <c r="I787" s="43" t="s">
        <v>1735</v>
      </c>
      <c r="J787" s="43">
        <v>44208</v>
      </c>
      <c r="K787" s="42">
        <v>28.1</v>
      </c>
      <c r="L787" s="42">
        <v>27.5</v>
      </c>
      <c r="M787" s="48" t="s">
        <v>29</v>
      </c>
      <c r="N787" s="43" t="s">
        <v>1736</v>
      </c>
      <c r="O787" s="43">
        <v>44208</v>
      </c>
      <c r="P787" s="42" t="s">
        <v>36</v>
      </c>
      <c r="Q787" s="42">
        <v>28.7</v>
      </c>
      <c r="R787" s="46" t="s">
        <v>31</v>
      </c>
      <c r="S787" s="43">
        <v>44209</v>
      </c>
      <c r="T787" s="51">
        <f t="shared" si="32"/>
        <v>3</v>
      </c>
      <c r="U787" s="52" t="str">
        <f t="shared" si="33"/>
        <v>Não Detectável</v>
      </c>
    </row>
    <row r="788" spans="1:21" ht="25.5" customHeight="1" x14ac:dyDescent="0.2">
      <c r="A788" s="51">
        <v>787</v>
      </c>
      <c r="B788" s="50" t="s">
        <v>1741</v>
      </c>
      <c r="C788" s="51">
        <v>25</v>
      </c>
      <c r="D788" s="51" t="s">
        <v>25</v>
      </c>
      <c r="E788" s="43">
        <v>44207</v>
      </c>
      <c r="F788" s="44" t="s">
        <v>60</v>
      </c>
      <c r="G788" s="51">
        <v>303</v>
      </c>
      <c r="H788" s="43">
        <v>44208</v>
      </c>
      <c r="I788" s="43" t="s">
        <v>1735</v>
      </c>
      <c r="J788" s="43">
        <v>44208</v>
      </c>
      <c r="K788" s="42">
        <v>28.1</v>
      </c>
      <c r="L788" s="42">
        <v>27.5</v>
      </c>
      <c r="M788" s="48" t="s">
        <v>29</v>
      </c>
      <c r="N788" s="43" t="s">
        <v>1736</v>
      </c>
      <c r="O788" s="43">
        <v>44208</v>
      </c>
      <c r="P788" s="42" t="s">
        <v>36</v>
      </c>
      <c r="Q788" s="42">
        <v>27.2</v>
      </c>
      <c r="R788" s="46" t="s">
        <v>31</v>
      </c>
      <c r="S788" s="43">
        <v>44209</v>
      </c>
      <c r="T788" s="51">
        <f t="shared" si="32"/>
        <v>3</v>
      </c>
      <c r="U788" s="52" t="str">
        <f t="shared" si="33"/>
        <v>Não Detectável</v>
      </c>
    </row>
    <row r="789" spans="1:21" ht="25.5" customHeight="1" x14ac:dyDescent="0.2">
      <c r="A789" s="51">
        <v>788</v>
      </c>
      <c r="B789" s="50" t="s">
        <v>1742</v>
      </c>
      <c r="C789" s="51">
        <v>70</v>
      </c>
      <c r="D789" s="51" t="s">
        <v>34</v>
      </c>
      <c r="E789" s="43">
        <v>44207</v>
      </c>
      <c r="F789" s="44" t="s">
        <v>60</v>
      </c>
      <c r="G789" s="51">
        <v>304</v>
      </c>
      <c r="H789" s="43">
        <v>44208</v>
      </c>
      <c r="I789" s="43" t="s">
        <v>1735</v>
      </c>
      <c r="J789" s="43">
        <v>44208</v>
      </c>
      <c r="K789" s="42">
        <v>18.3</v>
      </c>
      <c r="L789" s="42">
        <v>26.8</v>
      </c>
      <c r="M789" s="48" t="s">
        <v>29</v>
      </c>
      <c r="N789" s="43" t="s">
        <v>1736</v>
      </c>
      <c r="O789" s="43">
        <v>44208</v>
      </c>
      <c r="P789" s="42">
        <v>32</v>
      </c>
      <c r="Q789" s="42">
        <v>26.8</v>
      </c>
      <c r="R789" s="46" t="s">
        <v>29</v>
      </c>
      <c r="S789" s="43">
        <v>44209</v>
      </c>
      <c r="T789" s="51">
        <f t="shared" si="32"/>
        <v>3</v>
      </c>
      <c r="U789" s="52" t="str">
        <f t="shared" si="33"/>
        <v>Detectável</v>
      </c>
    </row>
    <row r="790" spans="1:21" ht="25.5" customHeight="1" x14ac:dyDescent="0.2">
      <c r="A790" s="51">
        <v>789</v>
      </c>
      <c r="B790" s="50" t="s">
        <v>1743</v>
      </c>
      <c r="C790" s="51">
        <v>31</v>
      </c>
      <c r="D790" s="51" t="s">
        <v>25</v>
      </c>
      <c r="E790" s="43">
        <v>44207</v>
      </c>
      <c r="F790" s="44" t="s">
        <v>60</v>
      </c>
      <c r="G790" s="51">
        <v>304</v>
      </c>
      <c r="H790" s="43">
        <v>44208</v>
      </c>
      <c r="I790" s="43" t="s">
        <v>1735</v>
      </c>
      <c r="J790" s="43">
        <v>44208</v>
      </c>
      <c r="K790" s="42">
        <v>18.3</v>
      </c>
      <c r="L790" s="42">
        <v>26.8</v>
      </c>
      <c r="M790" s="48" t="s">
        <v>29</v>
      </c>
      <c r="N790" s="43" t="s">
        <v>1736</v>
      </c>
      <c r="O790" s="43">
        <v>44208</v>
      </c>
      <c r="P790" s="42">
        <v>16.399999999999999</v>
      </c>
      <c r="Q790" s="42">
        <v>26.9</v>
      </c>
      <c r="R790" s="46" t="s">
        <v>29</v>
      </c>
      <c r="S790" s="43">
        <v>44209</v>
      </c>
      <c r="T790" s="51">
        <f t="shared" si="32"/>
        <v>3</v>
      </c>
      <c r="U790" s="52" t="str">
        <f t="shared" si="33"/>
        <v>Detectável</v>
      </c>
    </row>
    <row r="791" spans="1:21" ht="25.5" customHeight="1" x14ac:dyDescent="0.2">
      <c r="A791" s="51">
        <v>790</v>
      </c>
      <c r="B791" s="50" t="s">
        <v>1744</v>
      </c>
      <c r="C791" s="51">
        <v>27</v>
      </c>
      <c r="D791" s="51" t="s">
        <v>25</v>
      </c>
      <c r="E791" s="43">
        <v>44207</v>
      </c>
      <c r="F791" s="44" t="s">
        <v>60</v>
      </c>
      <c r="G791" s="51">
        <v>304</v>
      </c>
      <c r="H791" s="43">
        <v>44208</v>
      </c>
      <c r="I791" s="43" t="s">
        <v>1735</v>
      </c>
      <c r="J791" s="43">
        <v>44208</v>
      </c>
      <c r="K791" s="42">
        <v>18.3</v>
      </c>
      <c r="L791" s="42">
        <v>26.8</v>
      </c>
      <c r="M791" s="48" t="s">
        <v>29</v>
      </c>
      <c r="N791" s="43" t="s">
        <v>1736</v>
      </c>
      <c r="O791" s="43">
        <v>44208</v>
      </c>
      <c r="P791" s="42">
        <v>28.4</v>
      </c>
      <c r="Q791" s="42">
        <v>26.9</v>
      </c>
      <c r="R791" s="46" t="s">
        <v>29</v>
      </c>
      <c r="S791" s="43">
        <v>44209</v>
      </c>
      <c r="T791" s="51">
        <f t="shared" si="32"/>
        <v>3</v>
      </c>
      <c r="U791" s="52" t="str">
        <f t="shared" si="33"/>
        <v>Detectável</v>
      </c>
    </row>
    <row r="792" spans="1:21" ht="25.5" customHeight="1" x14ac:dyDescent="0.2">
      <c r="A792" s="51">
        <v>791</v>
      </c>
      <c r="B792" s="50" t="s">
        <v>1745</v>
      </c>
      <c r="C792" s="51">
        <v>48</v>
      </c>
      <c r="D792" s="51" t="s">
        <v>25</v>
      </c>
      <c r="E792" s="43">
        <v>44207</v>
      </c>
      <c r="F792" s="44" t="s">
        <v>60</v>
      </c>
      <c r="G792" s="51">
        <v>305</v>
      </c>
      <c r="H792" s="43">
        <v>44208</v>
      </c>
      <c r="I792" s="43" t="s">
        <v>1735</v>
      </c>
      <c r="J792" s="43">
        <v>44208</v>
      </c>
      <c r="K792" s="42">
        <v>24.6</v>
      </c>
      <c r="L792" s="42">
        <v>27.7</v>
      </c>
      <c r="M792" s="48" t="s">
        <v>29</v>
      </c>
      <c r="N792" s="43" t="s">
        <v>1736</v>
      </c>
      <c r="O792" s="43">
        <v>44208</v>
      </c>
      <c r="P792" s="42">
        <v>24.7</v>
      </c>
      <c r="Q792" s="42">
        <v>28.6</v>
      </c>
      <c r="R792" s="46" t="s">
        <v>29</v>
      </c>
      <c r="S792" s="43">
        <v>44209</v>
      </c>
      <c r="T792" s="51">
        <f t="shared" si="32"/>
        <v>3</v>
      </c>
      <c r="U792" s="52" t="str">
        <f t="shared" si="33"/>
        <v>Detectável</v>
      </c>
    </row>
    <row r="793" spans="1:21" ht="25.5" customHeight="1" x14ac:dyDescent="0.2">
      <c r="A793" s="51">
        <v>792</v>
      </c>
      <c r="B793" s="50" t="s">
        <v>1746</v>
      </c>
      <c r="C793" s="51">
        <v>30</v>
      </c>
      <c r="D793" s="51" t="s">
        <v>34</v>
      </c>
      <c r="E793" s="43">
        <v>44207</v>
      </c>
      <c r="F793" s="44" t="s">
        <v>60</v>
      </c>
      <c r="G793" s="51">
        <v>305</v>
      </c>
      <c r="H793" s="43">
        <v>44208</v>
      </c>
      <c r="I793" s="43" t="s">
        <v>1735</v>
      </c>
      <c r="J793" s="43">
        <v>44208</v>
      </c>
      <c r="K793" s="42">
        <v>24.6</v>
      </c>
      <c r="L793" s="42">
        <v>27.7</v>
      </c>
      <c r="M793" s="48" t="s">
        <v>29</v>
      </c>
      <c r="N793" s="43" t="s">
        <v>1736</v>
      </c>
      <c r="O793" s="43">
        <v>44208</v>
      </c>
      <c r="P793" s="42">
        <v>21.8</v>
      </c>
      <c r="Q793" s="42">
        <v>28.7</v>
      </c>
      <c r="R793" s="46" t="s">
        <v>29</v>
      </c>
      <c r="S793" s="43">
        <v>44209</v>
      </c>
      <c r="T793" s="51">
        <f t="shared" si="32"/>
        <v>3</v>
      </c>
      <c r="U793" s="52" t="str">
        <f t="shared" si="33"/>
        <v>Detectável</v>
      </c>
    </row>
    <row r="794" spans="1:21" ht="25.5" customHeight="1" x14ac:dyDescent="0.2">
      <c r="A794" s="51">
        <v>793</v>
      </c>
      <c r="B794" s="50" t="s">
        <v>1747</v>
      </c>
      <c r="C794" s="51">
        <v>53</v>
      </c>
      <c r="D794" s="51" t="s">
        <v>34</v>
      </c>
      <c r="E794" s="43">
        <v>44207</v>
      </c>
      <c r="F794" s="44" t="s">
        <v>60</v>
      </c>
      <c r="G794" s="51">
        <v>305</v>
      </c>
      <c r="H794" s="43">
        <v>44208</v>
      </c>
      <c r="I794" s="43" t="s">
        <v>1735</v>
      </c>
      <c r="J794" s="43">
        <v>44208</v>
      </c>
      <c r="K794" s="42">
        <v>24.6</v>
      </c>
      <c r="L794" s="42">
        <v>27.7</v>
      </c>
      <c r="M794" s="48" t="s">
        <v>29</v>
      </c>
      <c r="N794" s="43" t="s">
        <v>1736</v>
      </c>
      <c r="O794" s="43">
        <v>44208</v>
      </c>
      <c r="P794" s="42" t="s">
        <v>36</v>
      </c>
      <c r="Q794" s="42">
        <v>27.2</v>
      </c>
      <c r="R794" s="46" t="s">
        <v>31</v>
      </c>
      <c r="S794" s="43">
        <v>44209</v>
      </c>
      <c r="T794" s="51">
        <f t="shared" si="32"/>
        <v>3</v>
      </c>
      <c r="U794" s="52" t="str">
        <f t="shared" si="33"/>
        <v>Não Detectável</v>
      </c>
    </row>
    <row r="795" spans="1:21" ht="25.5" customHeight="1" x14ac:dyDescent="0.2">
      <c r="A795" s="51">
        <v>794</v>
      </c>
      <c r="B795" s="50" t="s">
        <v>1748</v>
      </c>
      <c r="C795" s="51">
        <v>20</v>
      </c>
      <c r="D795" s="51" t="s">
        <v>34</v>
      </c>
      <c r="E795" s="43">
        <v>44207</v>
      </c>
      <c r="F795" s="44" t="s">
        <v>60</v>
      </c>
      <c r="G795" s="51">
        <v>306</v>
      </c>
      <c r="H795" s="43">
        <v>44208</v>
      </c>
      <c r="I795" s="43" t="s">
        <v>1735</v>
      </c>
      <c r="J795" s="43">
        <v>44208</v>
      </c>
      <c r="K795" s="42" t="s">
        <v>36</v>
      </c>
      <c r="L795" s="42">
        <v>28.5</v>
      </c>
      <c r="M795" s="45" t="s">
        <v>31</v>
      </c>
      <c r="N795" s="43" t="s">
        <v>1736</v>
      </c>
      <c r="O795" s="43">
        <v>44208</v>
      </c>
      <c r="P795" s="42" t="s">
        <v>36</v>
      </c>
      <c r="Q795" s="42">
        <v>28.7</v>
      </c>
      <c r="R795" s="46" t="s">
        <v>31</v>
      </c>
      <c r="S795" s="43">
        <v>44208</v>
      </c>
      <c r="T795" s="51">
        <f t="shared" si="32"/>
        <v>3</v>
      </c>
      <c r="U795" s="52" t="str">
        <f t="shared" si="33"/>
        <v>Não Detectável</v>
      </c>
    </row>
    <row r="796" spans="1:21" ht="25.5" customHeight="1" x14ac:dyDescent="0.2">
      <c r="A796" s="51">
        <v>795</v>
      </c>
      <c r="B796" s="50" t="s">
        <v>1749</v>
      </c>
      <c r="C796" s="51">
        <v>46</v>
      </c>
      <c r="D796" s="51" t="s">
        <v>25</v>
      </c>
      <c r="E796" s="43">
        <v>44207</v>
      </c>
      <c r="F796" s="44" t="s">
        <v>60</v>
      </c>
      <c r="G796" s="51">
        <v>306</v>
      </c>
      <c r="H796" s="43">
        <v>44208</v>
      </c>
      <c r="I796" s="43" t="s">
        <v>1735</v>
      </c>
      <c r="J796" s="43">
        <v>44208</v>
      </c>
      <c r="K796" s="42" t="s">
        <v>36</v>
      </c>
      <c r="L796" s="42">
        <v>28.5</v>
      </c>
      <c r="M796" s="45" t="s">
        <v>31</v>
      </c>
      <c r="N796" s="43" t="s">
        <v>1736</v>
      </c>
      <c r="O796" s="43">
        <v>44208</v>
      </c>
      <c r="P796" s="42" t="s">
        <v>36</v>
      </c>
      <c r="Q796" s="42">
        <v>29.1</v>
      </c>
      <c r="R796" s="46" t="s">
        <v>31</v>
      </c>
      <c r="S796" s="43">
        <v>44208</v>
      </c>
      <c r="T796" s="51">
        <f t="shared" si="32"/>
        <v>3</v>
      </c>
      <c r="U796" s="52" t="str">
        <f t="shared" si="33"/>
        <v>Não Detectável</v>
      </c>
    </row>
    <row r="797" spans="1:21" ht="25.5" customHeight="1" x14ac:dyDescent="0.2">
      <c r="A797" s="51">
        <v>796</v>
      </c>
      <c r="B797" s="50" t="s">
        <v>1750</v>
      </c>
      <c r="C797" s="51">
        <v>30</v>
      </c>
      <c r="D797" s="51" t="s">
        <v>34</v>
      </c>
      <c r="E797" s="43">
        <v>44207</v>
      </c>
      <c r="F797" s="44" t="s">
        <v>60</v>
      </c>
      <c r="G797" s="51">
        <v>306</v>
      </c>
      <c r="H797" s="43">
        <v>44208</v>
      </c>
      <c r="I797" s="43" t="s">
        <v>1735</v>
      </c>
      <c r="J797" s="43">
        <v>44208</v>
      </c>
      <c r="K797" s="42" t="s">
        <v>36</v>
      </c>
      <c r="L797" s="42">
        <v>28.5</v>
      </c>
      <c r="M797" s="45" t="s">
        <v>31</v>
      </c>
      <c r="N797" s="43" t="s">
        <v>1736</v>
      </c>
      <c r="O797" s="43">
        <v>44208</v>
      </c>
      <c r="P797" s="42" t="s">
        <v>36</v>
      </c>
      <c r="Q797" s="42">
        <v>27.2</v>
      </c>
      <c r="R797" s="46" t="s">
        <v>31</v>
      </c>
      <c r="S797" s="43">
        <v>44208</v>
      </c>
      <c r="T797" s="51">
        <f t="shared" si="32"/>
        <v>3</v>
      </c>
      <c r="U797" s="52" t="str">
        <f t="shared" si="33"/>
        <v>Não Detectável</v>
      </c>
    </row>
    <row r="798" spans="1:21" ht="25.5" customHeight="1" x14ac:dyDescent="0.2">
      <c r="A798" s="51">
        <v>797</v>
      </c>
      <c r="B798" s="50" t="s">
        <v>1751</v>
      </c>
      <c r="C798" s="51">
        <v>41</v>
      </c>
      <c r="D798" s="51" t="s">
        <v>25</v>
      </c>
      <c r="E798" s="43">
        <v>44208</v>
      </c>
      <c r="F798" s="44" t="s">
        <v>60</v>
      </c>
      <c r="G798" s="51">
        <v>307</v>
      </c>
      <c r="H798" s="43">
        <v>44209</v>
      </c>
      <c r="I798" s="43" t="s">
        <v>1752</v>
      </c>
      <c r="J798" s="43">
        <v>44209</v>
      </c>
      <c r="K798" s="42">
        <v>29.1</v>
      </c>
      <c r="L798" s="42">
        <v>27.6</v>
      </c>
      <c r="M798" s="48" t="s">
        <v>29</v>
      </c>
      <c r="N798" s="43" t="s">
        <v>1753</v>
      </c>
      <c r="O798" s="43">
        <v>44209</v>
      </c>
      <c r="P798" s="42">
        <v>28</v>
      </c>
      <c r="Q798" s="42">
        <v>28.66</v>
      </c>
      <c r="R798" s="46" t="s">
        <v>29</v>
      </c>
      <c r="S798" s="43">
        <v>44210</v>
      </c>
      <c r="T798" s="51">
        <f t="shared" si="32"/>
        <v>3</v>
      </c>
      <c r="U798" s="52" t="str">
        <f t="shared" si="33"/>
        <v>Detectável</v>
      </c>
    </row>
    <row r="799" spans="1:21" ht="25.5" customHeight="1" x14ac:dyDescent="0.2">
      <c r="A799" s="51">
        <v>798</v>
      </c>
      <c r="B799" s="50" t="s">
        <v>1754</v>
      </c>
      <c r="C799" s="51">
        <v>51</v>
      </c>
      <c r="D799" s="51" t="s">
        <v>25</v>
      </c>
      <c r="E799" s="43">
        <v>44208</v>
      </c>
      <c r="F799" s="44" t="s">
        <v>60</v>
      </c>
      <c r="G799" s="51">
        <v>307</v>
      </c>
      <c r="H799" s="43">
        <v>44209</v>
      </c>
      <c r="I799" s="43" t="s">
        <v>1752</v>
      </c>
      <c r="J799" s="43">
        <v>44209</v>
      </c>
      <c r="K799" s="42">
        <v>29.1</v>
      </c>
      <c r="L799" s="42">
        <v>27.6</v>
      </c>
      <c r="M799" s="48" t="s">
        <v>29</v>
      </c>
      <c r="N799" s="43" t="s">
        <v>1753</v>
      </c>
      <c r="O799" s="43">
        <v>44209</v>
      </c>
      <c r="P799" s="42" t="s">
        <v>36</v>
      </c>
      <c r="Q799" s="42">
        <v>28.3</v>
      </c>
      <c r="R799" s="46" t="s">
        <v>31</v>
      </c>
      <c r="S799" s="43">
        <v>44210</v>
      </c>
      <c r="T799" s="51">
        <f t="shared" si="32"/>
        <v>3</v>
      </c>
      <c r="U799" s="52" t="str">
        <f t="shared" si="33"/>
        <v>Não Detectável</v>
      </c>
    </row>
    <row r="800" spans="1:21" ht="25.5" customHeight="1" x14ac:dyDescent="0.2">
      <c r="A800" s="51">
        <v>799</v>
      </c>
      <c r="B800" s="50" t="s">
        <v>1755</v>
      </c>
      <c r="C800" s="51">
        <v>41</v>
      </c>
      <c r="D800" s="51" t="s">
        <v>34</v>
      </c>
      <c r="E800" s="43">
        <v>44208</v>
      </c>
      <c r="F800" s="44" t="s">
        <v>60</v>
      </c>
      <c r="G800" s="51">
        <v>307</v>
      </c>
      <c r="H800" s="43">
        <v>44209</v>
      </c>
      <c r="I800" s="43" t="s">
        <v>1752</v>
      </c>
      <c r="J800" s="43">
        <v>44209</v>
      </c>
      <c r="K800" s="42">
        <v>29.1</v>
      </c>
      <c r="L800" s="42">
        <v>27.6</v>
      </c>
      <c r="M800" s="48" t="s">
        <v>29</v>
      </c>
      <c r="N800" s="43" t="s">
        <v>1753</v>
      </c>
      <c r="O800" s="43">
        <v>44209</v>
      </c>
      <c r="P800" s="42" t="s">
        <v>36</v>
      </c>
      <c r="Q800" s="42">
        <v>28.3</v>
      </c>
      <c r="R800" s="46" t="s">
        <v>31</v>
      </c>
      <c r="S800" s="43">
        <v>44210</v>
      </c>
      <c r="T800" s="51">
        <f t="shared" si="32"/>
        <v>3</v>
      </c>
      <c r="U800" s="52" t="str">
        <f t="shared" si="33"/>
        <v>Não Detectável</v>
      </c>
    </row>
    <row r="801" spans="1:21" ht="25.5" customHeight="1" x14ac:dyDescent="0.2">
      <c r="A801" s="51">
        <v>800</v>
      </c>
      <c r="B801" s="50" t="s">
        <v>1756</v>
      </c>
      <c r="C801" s="51">
        <v>27</v>
      </c>
      <c r="D801" s="51" t="s">
        <v>25</v>
      </c>
      <c r="E801" s="43">
        <v>44208</v>
      </c>
      <c r="F801" s="44" t="s">
        <v>60</v>
      </c>
      <c r="G801" s="51">
        <v>308</v>
      </c>
      <c r="H801" s="43">
        <v>44209</v>
      </c>
      <c r="I801" s="43" t="s">
        <v>1752</v>
      </c>
      <c r="J801" s="43">
        <v>44209</v>
      </c>
      <c r="K801" s="42">
        <v>26.5</v>
      </c>
      <c r="L801" s="42">
        <v>26.9</v>
      </c>
      <c r="M801" s="48" t="s">
        <v>29</v>
      </c>
      <c r="N801" s="43" t="s">
        <v>1753</v>
      </c>
      <c r="O801" s="43">
        <v>44209</v>
      </c>
      <c r="P801" s="42" t="s">
        <v>36</v>
      </c>
      <c r="Q801" s="42">
        <v>29.6</v>
      </c>
      <c r="R801" s="46" t="s">
        <v>31</v>
      </c>
      <c r="S801" s="43">
        <v>44210</v>
      </c>
      <c r="T801" s="51">
        <f t="shared" si="32"/>
        <v>3</v>
      </c>
      <c r="U801" s="52" t="str">
        <f t="shared" si="33"/>
        <v>Não Detectável</v>
      </c>
    </row>
    <row r="802" spans="1:21" ht="25.5" customHeight="1" x14ac:dyDescent="0.2">
      <c r="A802" s="51">
        <v>801</v>
      </c>
      <c r="B802" s="50" t="s">
        <v>1757</v>
      </c>
      <c r="C802" s="51">
        <v>21</v>
      </c>
      <c r="D802" s="51" t="s">
        <v>34</v>
      </c>
      <c r="E802" s="43">
        <v>44208</v>
      </c>
      <c r="F802" s="44" t="s">
        <v>60</v>
      </c>
      <c r="G802" s="51">
        <v>308</v>
      </c>
      <c r="H802" s="43">
        <v>44209</v>
      </c>
      <c r="I802" s="43" t="s">
        <v>1752</v>
      </c>
      <c r="J802" s="43">
        <v>44209</v>
      </c>
      <c r="K802" s="42">
        <v>26.5</v>
      </c>
      <c r="L802" s="42">
        <v>26.9</v>
      </c>
      <c r="M802" s="48" t="s">
        <v>29</v>
      </c>
      <c r="N802" s="43" t="s">
        <v>1753</v>
      </c>
      <c r="O802" s="43">
        <v>44209</v>
      </c>
      <c r="P802" s="42" t="s">
        <v>36</v>
      </c>
      <c r="Q802" s="42">
        <v>27.4</v>
      </c>
      <c r="R802" s="46" t="s">
        <v>31</v>
      </c>
      <c r="S802" s="43">
        <v>44210</v>
      </c>
      <c r="T802" s="51">
        <f t="shared" si="32"/>
        <v>3</v>
      </c>
      <c r="U802" s="52" t="str">
        <f t="shared" si="33"/>
        <v>Não Detectável</v>
      </c>
    </row>
    <row r="803" spans="1:21" ht="25.5" customHeight="1" x14ac:dyDescent="0.2">
      <c r="A803" s="51">
        <v>802</v>
      </c>
      <c r="B803" s="50" t="s">
        <v>1758</v>
      </c>
      <c r="C803" s="51">
        <v>17</v>
      </c>
      <c r="D803" s="51" t="s">
        <v>25</v>
      </c>
      <c r="E803" s="43">
        <v>44208</v>
      </c>
      <c r="F803" s="44" t="s">
        <v>60</v>
      </c>
      <c r="G803" s="51">
        <v>308</v>
      </c>
      <c r="H803" s="43">
        <v>44209</v>
      </c>
      <c r="I803" s="43" t="s">
        <v>1752</v>
      </c>
      <c r="J803" s="43">
        <v>44209</v>
      </c>
      <c r="K803" s="42">
        <v>26.5</v>
      </c>
      <c r="L803" s="42">
        <v>26.9</v>
      </c>
      <c r="M803" s="48" t="s">
        <v>29</v>
      </c>
      <c r="N803" s="43" t="s">
        <v>1753</v>
      </c>
      <c r="O803" s="43">
        <v>44209</v>
      </c>
      <c r="P803" s="42">
        <v>29</v>
      </c>
      <c r="Q803" s="42">
        <v>25.1</v>
      </c>
      <c r="R803" s="46" t="s">
        <v>29</v>
      </c>
      <c r="S803" s="43">
        <v>44210</v>
      </c>
      <c r="T803" s="51">
        <f t="shared" si="32"/>
        <v>3</v>
      </c>
      <c r="U803" s="52" t="str">
        <f t="shared" si="33"/>
        <v>Detectável</v>
      </c>
    </row>
    <row r="804" spans="1:21" ht="25.5" customHeight="1" x14ac:dyDescent="0.2">
      <c r="A804" s="51">
        <v>803</v>
      </c>
      <c r="B804" s="50" t="s">
        <v>1759</v>
      </c>
      <c r="C804" s="51">
        <v>18</v>
      </c>
      <c r="D804" s="51" t="s">
        <v>34</v>
      </c>
      <c r="E804" s="43">
        <v>44208</v>
      </c>
      <c r="F804" s="44" t="s">
        <v>60</v>
      </c>
      <c r="G804" s="51">
        <v>309</v>
      </c>
      <c r="H804" s="43">
        <v>44209</v>
      </c>
      <c r="I804" s="43" t="s">
        <v>1752</v>
      </c>
      <c r="J804" s="43">
        <v>44209</v>
      </c>
      <c r="K804" s="42">
        <v>17.2</v>
      </c>
      <c r="L804" s="42">
        <v>26.8</v>
      </c>
      <c r="M804" s="48" t="s">
        <v>29</v>
      </c>
      <c r="N804" s="43" t="s">
        <v>1753</v>
      </c>
      <c r="O804" s="43">
        <v>44209</v>
      </c>
      <c r="P804" s="42">
        <v>33.200000000000003</v>
      </c>
      <c r="Q804" s="42">
        <v>28</v>
      </c>
      <c r="R804" s="46" t="s">
        <v>29</v>
      </c>
      <c r="S804" s="43">
        <v>44210</v>
      </c>
      <c r="T804" s="51">
        <f t="shared" si="32"/>
        <v>3</v>
      </c>
      <c r="U804" s="52" t="str">
        <f t="shared" si="33"/>
        <v>Detectável</v>
      </c>
    </row>
    <row r="805" spans="1:21" ht="25.5" customHeight="1" x14ac:dyDescent="0.2">
      <c r="A805" s="51">
        <v>804</v>
      </c>
      <c r="B805" s="50" t="s">
        <v>1760</v>
      </c>
      <c r="C805" s="51">
        <v>38</v>
      </c>
      <c r="D805" s="51" t="s">
        <v>34</v>
      </c>
      <c r="E805" s="43">
        <v>44208</v>
      </c>
      <c r="F805" s="44" t="s">
        <v>60</v>
      </c>
      <c r="G805" s="51">
        <v>309</v>
      </c>
      <c r="H805" s="43">
        <v>44209</v>
      </c>
      <c r="I805" s="43" t="s">
        <v>1752</v>
      </c>
      <c r="J805" s="43">
        <v>44209</v>
      </c>
      <c r="K805" s="42">
        <v>17.2</v>
      </c>
      <c r="L805" s="42">
        <v>26.8</v>
      </c>
      <c r="M805" s="48" t="s">
        <v>29</v>
      </c>
      <c r="N805" s="43" t="s">
        <v>1753</v>
      </c>
      <c r="O805" s="43">
        <v>44209</v>
      </c>
      <c r="P805" s="42">
        <v>23.9</v>
      </c>
      <c r="Q805" s="42">
        <v>26.7</v>
      </c>
      <c r="R805" s="46" t="s">
        <v>29</v>
      </c>
      <c r="S805" s="43">
        <v>44210</v>
      </c>
      <c r="T805" s="51">
        <f t="shared" si="32"/>
        <v>3</v>
      </c>
      <c r="U805" s="52" t="str">
        <f t="shared" si="33"/>
        <v>Detectável</v>
      </c>
    </row>
    <row r="806" spans="1:21" ht="25.5" customHeight="1" x14ac:dyDescent="0.2">
      <c r="A806" s="51">
        <v>805</v>
      </c>
      <c r="B806" s="50" t="s">
        <v>1761</v>
      </c>
      <c r="C806" s="51">
        <v>28</v>
      </c>
      <c r="D806" s="51" t="s">
        <v>25</v>
      </c>
      <c r="E806" s="43">
        <v>44208</v>
      </c>
      <c r="F806" s="44" t="s">
        <v>60</v>
      </c>
      <c r="G806" s="51">
        <v>309</v>
      </c>
      <c r="H806" s="43">
        <v>44209</v>
      </c>
      <c r="I806" s="43" t="s">
        <v>1752</v>
      </c>
      <c r="J806" s="43">
        <v>44209</v>
      </c>
      <c r="K806" s="42">
        <v>17.2</v>
      </c>
      <c r="L806" s="42">
        <v>26.8</v>
      </c>
      <c r="M806" s="48" t="s">
        <v>29</v>
      </c>
      <c r="N806" s="43" t="s">
        <v>1753</v>
      </c>
      <c r="O806" s="43">
        <v>44209</v>
      </c>
      <c r="P806" s="42">
        <v>20.6</v>
      </c>
      <c r="Q806" s="42">
        <v>29.4</v>
      </c>
      <c r="R806" s="46" t="s">
        <v>29</v>
      </c>
      <c r="S806" s="43">
        <v>44210</v>
      </c>
      <c r="T806" s="51">
        <f t="shared" si="32"/>
        <v>3</v>
      </c>
      <c r="U806" s="52" t="str">
        <f t="shared" si="33"/>
        <v>Detectável</v>
      </c>
    </row>
    <row r="807" spans="1:21" ht="25.5" customHeight="1" x14ac:dyDescent="0.2">
      <c r="A807" s="51">
        <v>806</v>
      </c>
      <c r="B807" s="50" t="s">
        <v>1762</v>
      </c>
      <c r="C807" s="51">
        <v>33</v>
      </c>
      <c r="D807" s="51" t="s">
        <v>34</v>
      </c>
      <c r="E807" s="43">
        <v>44208</v>
      </c>
      <c r="F807" s="44" t="s">
        <v>60</v>
      </c>
      <c r="G807" s="51">
        <v>310</v>
      </c>
      <c r="H807" s="43">
        <v>44209</v>
      </c>
      <c r="I807" s="43" t="s">
        <v>1752</v>
      </c>
      <c r="J807" s="43">
        <v>44209</v>
      </c>
      <c r="K807" s="42">
        <v>29.4</v>
      </c>
      <c r="L807" s="42">
        <v>29</v>
      </c>
      <c r="M807" s="48" t="s">
        <v>29</v>
      </c>
      <c r="N807" s="43" t="s">
        <v>1753</v>
      </c>
      <c r="O807" s="43">
        <v>44209</v>
      </c>
      <c r="P807" s="42" t="s">
        <v>36</v>
      </c>
      <c r="Q807" s="42">
        <v>32.1</v>
      </c>
      <c r="R807" s="46" t="s">
        <v>31</v>
      </c>
      <c r="S807" s="43">
        <v>44210</v>
      </c>
      <c r="T807" s="51">
        <f t="shared" si="32"/>
        <v>3</v>
      </c>
      <c r="U807" s="52" t="str">
        <f t="shared" si="33"/>
        <v>Não Detectável</v>
      </c>
    </row>
    <row r="808" spans="1:21" ht="25.5" customHeight="1" x14ac:dyDescent="0.2">
      <c r="A808" s="51">
        <v>807</v>
      </c>
      <c r="B808" s="50" t="s">
        <v>1763</v>
      </c>
      <c r="C808" s="51">
        <v>29</v>
      </c>
      <c r="D808" s="51" t="s">
        <v>34</v>
      </c>
      <c r="E808" s="43">
        <v>44208</v>
      </c>
      <c r="F808" s="44" t="s">
        <v>60</v>
      </c>
      <c r="G808" s="51">
        <v>310</v>
      </c>
      <c r="H808" s="43">
        <v>44209</v>
      </c>
      <c r="I808" s="43" t="s">
        <v>1752</v>
      </c>
      <c r="J808" s="43">
        <v>44209</v>
      </c>
      <c r="K808" s="42">
        <v>29.4</v>
      </c>
      <c r="L808" s="42">
        <v>29</v>
      </c>
      <c r="M808" s="48" t="s">
        <v>29</v>
      </c>
      <c r="N808" s="43" t="s">
        <v>1753</v>
      </c>
      <c r="O808" s="43">
        <v>44209</v>
      </c>
      <c r="P808" s="42" t="s">
        <v>36</v>
      </c>
      <c r="Q808" s="42">
        <v>29.5</v>
      </c>
      <c r="R808" s="46" t="s">
        <v>31</v>
      </c>
      <c r="S808" s="43">
        <v>44210</v>
      </c>
      <c r="T808" s="51">
        <f t="shared" si="32"/>
        <v>3</v>
      </c>
      <c r="U808" s="52" t="str">
        <f t="shared" si="33"/>
        <v>Não Detectável</v>
      </c>
    </row>
    <row r="809" spans="1:21" ht="25.5" customHeight="1" x14ac:dyDescent="0.2">
      <c r="A809" s="51">
        <v>808</v>
      </c>
      <c r="B809" s="50" t="s">
        <v>1764</v>
      </c>
      <c r="C809" s="51">
        <v>36</v>
      </c>
      <c r="D809" s="51" t="s">
        <v>34</v>
      </c>
      <c r="E809" s="43">
        <v>44208</v>
      </c>
      <c r="F809" s="44" t="s">
        <v>60</v>
      </c>
      <c r="G809" s="51">
        <v>310</v>
      </c>
      <c r="H809" s="43">
        <v>44209</v>
      </c>
      <c r="I809" s="43" t="s">
        <v>1752</v>
      </c>
      <c r="J809" s="43">
        <v>44209</v>
      </c>
      <c r="K809" s="42">
        <v>29.4</v>
      </c>
      <c r="L809" s="42">
        <v>29</v>
      </c>
      <c r="M809" s="48" t="s">
        <v>29</v>
      </c>
      <c r="N809" s="43" t="s">
        <v>1753</v>
      </c>
      <c r="O809" s="43">
        <v>44209</v>
      </c>
      <c r="P809" s="42">
        <v>34.1</v>
      </c>
      <c r="Q809" s="42">
        <v>30.6</v>
      </c>
      <c r="R809" s="46" t="s">
        <v>29</v>
      </c>
      <c r="S809" s="43">
        <v>44210</v>
      </c>
      <c r="T809" s="51">
        <f t="shared" si="32"/>
        <v>3</v>
      </c>
      <c r="U809" s="52" t="str">
        <f t="shared" si="33"/>
        <v>Detectável</v>
      </c>
    </row>
    <row r="810" spans="1:21" ht="25.5" customHeight="1" x14ac:dyDescent="0.2">
      <c r="A810" s="51">
        <v>809</v>
      </c>
      <c r="B810" s="50" t="s">
        <v>1765</v>
      </c>
      <c r="C810" s="51">
        <v>42</v>
      </c>
      <c r="D810" s="51" t="s">
        <v>25</v>
      </c>
      <c r="E810" s="43">
        <v>44209</v>
      </c>
      <c r="F810" s="44" t="s">
        <v>60</v>
      </c>
      <c r="G810" s="51">
        <v>311</v>
      </c>
      <c r="H810" s="43">
        <v>44210</v>
      </c>
      <c r="I810" s="43" t="s">
        <v>1766</v>
      </c>
      <c r="J810" s="43">
        <v>44210</v>
      </c>
      <c r="K810" s="42">
        <v>28</v>
      </c>
      <c r="L810" s="42">
        <v>28.2</v>
      </c>
      <c r="M810" s="48" t="s">
        <v>29</v>
      </c>
      <c r="N810" s="43" t="s">
        <v>1766</v>
      </c>
      <c r="O810" s="43">
        <v>44210</v>
      </c>
      <c r="P810" s="42" t="s">
        <v>36</v>
      </c>
      <c r="Q810" s="42">
        <v>27.5</v>
      </c>
      <c r="R810" s="46" t="s">
        <v>31</v>
      </c>
      <c r="S810" s="43">
        <v>44211</v>
      </c>
      <c r="T810" s="51">
        <f t="shared" si="32"/>
        <v>3</v>
      </c>
      <c r="U810" s="52" t="str">
        <f t="shared" si="33"/>
        <v>Não Detectável</v>
      </c>
    </row>
    <row r="811" spans="1:21" ht="25.5" customHeight="1" x14ac:dyDescent="0.2">
      <c r="A811" s="51">
        <v>810</v>
      </c>
      <c r="B811" s="50" t="s">
        <v>1767</v>
      </c>
      <c r="C811" s="51">
        <v>33</v>
      </c>
      <c r="D811" s="51" t="s">
        <v>34</v>
      </c>
      <c r="E811" s="43">
        <v>44209</v>
      </c>
      <c r="F811" s="44" t="s">
        <v>60</v>
      </c>
      <c r="G811" s="51">
        <v>311</v>
      </c>
      <c r="H811" s="43">
        <v>44210</v>
      </c>
      <c r="I811" s="43" t="s">
        <v>1766</v>
      </c>
      <c r="J811" s="43">
        <v>44210</v>
      </c>
      <c r="K811" s="42">
        <v>28</v>
      </c>
      <c r="L811" s="42">
        <v>28.2</v>
      </c>
      <c r="M811" s="48" t="s">
        <v>29</v>
      </c>
      <c r="N811" s="43" t="s">
        <v>1766</v>
      </c>
      <c r="O811" s="43">
        <v>44210</v>
      </c>
      <c r="P811" s="42" t="s">
        <v>36</v>
      </c>
      <c r="Q811" s="42">
        <v>29.2</v>
      </c>
      <c r="R811" s="46" t="s">
        <v>31</v>
      </c>
      <c r="S811" s="43">
        <v>44211</v>
      </c>
      <c r="T811" s="51">
        <f t="shared" si="32"/>
        <v>3</v>
      </c>
      <c r="U811" s="52" t="str">
        <f t="shared" si="33"/>
        <v>Não Detectável</v>
      </c>
    </row>
    <row r="812" spans="1:21" ht="25.5" customHeight="1" x14ac:dyDescent="0.2">
      <c r="A812" s="51">
        <v>811</v>
      </c>
      <c r="B812" s="50" t="s">
        <v>1768</v>
      </c>
      <c r="C812" s="51">
        <v>23</v>
      </c>
      <c r="D812" s="51" t="s">
        <v>34</v>
      </c>
      <c r="E812" s="43">
        <v>44209</v>
      </c>
      <c r="F812" s="44" t="s">
        <v>60</v>
      </c>
      <c r="G812" s="51">
        <v>311</v>
      </c>
      <c r="H812" s="43">
        <v>44210</v>
      </c>
      <c r="I812" s="43" t="s">
        <v>1766</v>
      </c>
      <c r="J812" s="43">
        <v>44210</v>
      </c>
      <c r="K812" s="42">
        <v>28</v>
      </c>
      <c r="L812" s="42">
        <v>28.2</v>
      </c>
      <c r="M812" s="48" t="s">
        <v>29</v>
      </c>
      <c r="N812" s="43" t="s">
        <v>1766</v>
      </c>
      <c r="O812" s="43">
        <v>44210</v>
      </c>
      <c r="P812" s="42">
        <v>26.2</v>
      </c>
      <c r="Q812" s="42">
        <v>28.3</v>
      </c>
      <c r="R812" s="46" t="s">
        <v>29</v>
      </c>
      <c r="S812" s="43">
        <v>44211</v>
      </c>
      <c r="T812" s="51">
        <f t="shared" si="32"/>
        <v>3</v>
      </c>
      <c r="U812" s="52" t="str">
        <f t="shared" si="33"/>
        <v>Detectável</v>
      </c>
    </row>
    <row r="813" spans="1:21" ht="25.5" customHeight="1" x14ac:dyDescent="0.2">
      <c r="A813" s="51">
        <v>812</v>
      </c>
      <c r="B813" s="50" t="s">
        <v>1769</v>
      </c>
      <c r="C813" s="51">
        <v>26</v>
      </c>
      <c r="D813" s="51" t="s">
        <v>34</v>
      </c>
      <c r="E813" s="43">
        <v>44209</v>
      </c>
      <c r="F813" s="44" t="s">
        <v>60</v>
      </c>
      <c r="G813" s="51">
        <v>312</v>
      </c>
      <c r="H813" s="43">
        <v>44210</v>
      </c>
      <c r="I813" s="43" t="s">
        <v>1766</v>
      </c>
      <c r="J813" s="43">
        <v>44210</v>
      </c>
      <c r="K813" s="42">
        <v>18.7</v>
      </c>
      <c r="L813" s="42">
        <v>28</v>
      </c>
      <c r="M813" s="48" t="s">
        <v>29</v>
      </c>
      <c r="N813" s="43" t="s">
        <v>1766</v>
      </c>
      <c r="O813" s="43">
        <v>44210</v>
      </c>
      <c r="P813" s="42" t="s">
        <v>36</v>
      </c>
      <c r="Q813" s="42">
        <v>28.9</v>
      </c>
      <c r="R813" s="46" t="s">
        <v>31</v>
      </c>
      <c r="S813" s="43">
        <v>44211</v>
      </c>
      <c r="T813" s="51">
        <f t="shared" si="32"/>
        <v>3</v>
      </c>
      <c r="U813" s="52" t="str">
        <f t="shared" si="33"/>
        <v>Não Detectável</v>
      </c>
    </row>
    <row r="814" spans="1:21" ht="25.5" customHeight="1" x14ac:dyDescent="0.2">
      <c r="A814" s="51">
        <v>813</v>
      </c>
      <c r="B814" s="50" t="s">
        <v>1770</v>
      </c>
      <c r="C814" s="51">
        <v>47</v>
      </c>
      <c r="D814" s="51" t="s">
        <v>25</v>
      </c>
      <c r="E814" s="43">
        <v>44209</v>
      </c>
      <c r="F814" s="44" t="s">
        <v>60</v>
      </c>
      <c r="G814" s="51">
        <v>312</v>
      </c>
      <c r="H814" s="43">
        <v>44210</v>
      </c>
      <c r="I814" s="43" t="s">
        <v>1766</v>
      </c>
      <c r="J814" s="43">
        <v>44210</v>
      </c>
      <c r="K814" s="42">
        <v>18.7</v>
      </c>
      <c r="L814" s="42">
        <v>28</v>
      </c>
      <c r="M814" s="48" t="s">
        <v>29</v>
      </c>
      <c r="N814" s="43" t="s">
        <v>1766</v>
      </c>
      <c r="O814" s="43">
        <v>44210</v>
      </c>
      <c r="P814" s="42" t="s">
        <v>36</v>
      </c>
      <c r="Q814" s="42">
        <v>28.2</v>
      </c>
      <c r="R814" s="46" t="s">
        <v>31</v>
      </c>
      <c r="S814" s="43">
        <v>44211</v>
      </c>
      <c r="T814" s="51">
        <f t="shared" si="32"/>
        <v>3</v>
      </c>
      <c r="U814" s="52" t="str">
        <f t="shared" si="33"/>
        <v>Não Detectável</v>
      </c>
    </row>
    <row r="815" spans="1:21" ht="25.5" customHeight="1" x14ac:dyDescent="0.2">
      <c r="A815" s="51">
        <v>814</v>
      </c>
      <c r="B815" s="50" t="s">
        <v>1771</v>
      </c>
      <c r="C815" s="51">
        <v>39</v>
      </c>
      <c r="D815" s="51" t="s">
        <v>34</v>
      </c>
      <c r="E815" s="43">
        <v>44209</v>
      </c>
      <c r="F815" s="44" t="s">
        <v>60</v>
      </c>
      <c r="G815" s="51">
        <v>312</v>
      </c>
      <c r="H815" s="43">
        <v>44210</v>
      </c>
      <c r="I815" s="43" t="s">
        <v>1766</v>
      </c>
      <c r="J815" s="43">
        <v>44210</v>
      </c>
      <c r="K815" s="42">
        <v>18.7</v>
      </c>
      <c r="L815" s="42">
        <v>28</v>
      </c>
      <c r="M815" s="48" t="s">
        <v>29</v>
      </c>
      <c r="N815" s="43" t="s">
        <v>1766</v>
      </c>
      <c r="O815" s="43">
        <v>44210</v>
      </c>
      <c r="P815" s="42">
        <v>18.7</v>
      </c>
      <c r="Q815" s="42">
        <v>28.1</v>
      </c>
      <c r="R815" s="46" t="s">
        <v>29</v>
      </c>
      <c r="S815" s="43">
        <v>44211</v>
      </c>
      <c r="T815" s="51">
        <f t="shared" si="32"/>
        <v>3</v>
      </c>
      <c r="U815" s="52" t="str">
        <f t="shared" si="33"/>
        <v>Detectável</v>
      </c>
    </row>
    <row r="816" spans="1:21" ht="25.5" customHeight="1" x14ac:dyDescent="0.2">
      <c r="A816" s="51">
        <v>815</v>
      </c>
      <c r="B816" s="50" t="s">
        <v>1772</v>
      </c>
      <c r="C816" s="51">
        <v>17</v>
      </c>
      <c r="D816" s="51" t="s">
        <v>34</v>
      </c>
      <c r="E816" s="43">
        <v>44209</v>
      </c>
      <c r="F816" s="44" t="s">
        <v>60</v>
      </c>
      <c r="G816" s="51">
        <v>313</v>
      </c>
      <c r="H816" s="43">
        <v>44210</v>
      </c>
      <c r="I816" s="43" t="s">
        <v>1766</v>
      </c>
      <c r="J816" s="43">
        <v>44210</v>
      </c>
      <c r="K816" s="42">
        <v>34.799999999999997</v>
      </c>
      <c r="L816" s="42">
        <v>27.5</v>
      </c>
      <c r="M816" s="48" t="s">
        <v>29</v>
      </c>
      <c r="N816" s="43" t="s">
        <v>1766</v>
      </c>
      <c r="O816" s="43">
        <v>44210</v>
      </c>
      <c r="P816" s="42" t="s">
        <v>36</v>
      </c>
      <c r="Q816" s="42">
        <v>29.2</v>
      </c>
      <c r="R816" s="46" t="s">
        <v>31</v>
      </c>
      <c r="S816" s="43">
        <v>44211</v>
      </c>
      <c r="T816" s="51">
        <f t="shared" si="32"/>
        <v>3</v>
      </c>
      <c r="U816" s="52" t="str">
        <f t="shared" si="33"/>
        <v>Não Detectável</v>
      </c>
    </row>
    <row r="817" spans="1:21" ht="25.5" customHeight="1" x14ac:dyDescent="0.2">
      <c r="A817" s="51">
        <v>816</v>
      </c>
      <c r="B817" s="50" t="s">
        <v>1773</v>
      </c>
      <c r="C817" s="51">
        <v>48</v>
      </c>
      <c r="D817" s="51" t="s">
        <v>25</v>
      </c>
      <c r="E817" s="43">
        <v>44209</v>
      </c>
      <c r="F817" s="44" t="s">
        <v>60</v>
      </c>
      <c r="G817" s="51">
        <v>313</v>
      </c>
      <c r="H817" s="43">
        <v>44210</v>
      </c>
      <c r="I817" s="43" t="s">
        <v>1766</v>
      </c>
      <c r="J817" s="43">
        <v>44210</v>
      </c>
      <c r="K817" s="42">
        <v>34.799999999999997</v>
      </c>
      <c r="L817" s="42">
        <v>27.5</v>
      </c>
      <c r="M817" s="48" t="s">
        <v>29</v>
      </c>
      <c r="N817" s="43" t="s">
        <v>1766</v>
      </c>
      <c r="O817" s="43">
        <v>44210</v>
      </c>
      <c r="P817" s="42" t="s">
        <v>36</v>
      </c>
      <c r="Q817" s="42">
        <v>27</v>
      </c>
      <c r="R817" s="46" t="s">
        <v>31</v>
      </c>
      <c r="S817" s="43">
        <v>44211</v>
      </c>
      <c r="T817" s="51">
        <f t="shared" si="32"/>
        <v>3</v>
      </c>
      <c r="U817" s="52" t="str">
        <f t="shared" si="33"/>
        <v>Não Detectável</v>
      </c>
    </row>
    <row r="818" spans="1:21" ht="25.5" customHeight="1" x14ac:dyDescent="0.2">
      <c r="A818" s="51">
        <v>817</v>
      </c>
      <c r="B818" s="50" t="s">
        <v>1774</v>
      </c>
      <c r="C818" s="51">
        <v>33</v>
      </c>
      <c r="D818" s="51" t="s">
        <v>34</v>
      </c>
      <c r="E818" s="43">
        <v>44209</v>
      </c>
      <c r="F818" s="44" t="s">
        <v>60</v>
      </c>
      <c r="G818" s="51">
        <v>313</v>
      </c>
      <c r="H818" s="43">
        <v>44210</v>
      </c>
      <c r="I818" s="43" t="s">
        <v>1766</v>
      </c>
      <c r="J818" s="43">
        <v>44210</v>
      </c>
      <c r="K818" s="42">
        <v>34.799999999999997</v>
      </c>
      <c r="L818" s="42">
        <v>27.5</v>
      </c>
      <c r="M818" s="48" t="s">
        <v>29</v>
      </c>
      <c r="N818" s="43" t="s">
        <v>1775</v>
      </c>
      <c r="O818" s="43">
        <v>44210</v>
      </c>
      <c r="P818" s="42">
        <v>34</v>
      </c>
      <c r="Q818" s="42">
        <v>30.5</v>
      </c>
      <c r="R818" s="46" t="s">
        <v>29</v>
      </c>
      <c r="S818" s="43">
        <v>44211</v>
      </c>
      <c r="T818" s="51">
        <f t="shared" si="32"/>
        <v>3</v>
      </c>
      <c r="U818" s="52" t="str">
        <f t="shared" si="33"/>
        <v>Detectável</v>
      </c>
    </row>
    <row r="819" spans="1:21" ht="25.5" customHeight="1" x14ac:dyDescent="0.2">
      <c r="A819" s="51">
        <v>818</v>
      </c>
      <c r="B819" s="50" t="s">
        <v>1776</v>
      </c>
      <c r="C819" s="51">
        <v>58</v>
      </c>
      <c r="D819" s="51" t="s">
        <v>25</v>
      </c>
      <c r="E819" s="43">
        <v>44209</v>
      </c>
      <c r="F819" s="44" t="s">
        <v>60</v>
      </c>
      <c r="G819" s="51">
        <v>314</v>
      </c>
      <c r="H819" s="43">
        <v>44210</v>
      </c>
      <c r="I819" s="43" t="s">
        <v>1766</v>
      </c>
      <c r="J819" s="43">
        <v>44210</v>
      </c>
      <c r="K819" s="42">
        <v>30.2</v>
      </c>
      <c r="L819" s="42">
        <v>28.6</v>
      </c>
      <c r="M819" s="48" t="s">
        <v>29</v>
      </c>
      <c r="N819" s="43" t="s">
        <v>1766</v>
      </c>
      <c r="O819" s="43">
        <v>44210</v>
      </c>
      <c r="P819" s="42" t="s">
        <v>36</v>
      </c>
      <c r="Q819" s="42">
        <v>30</v>
      </c>
      <c r="R819" s="46" t="s">
        <v>31</v>
      </c>
      <c r="S819" s="43">
        <v>44211</v>
      </c>
      <c r="T819" s="51">
        <f t="shared" si="32"/>
        <v>3</v>
      </c>
      <c r="U819" s="52" t="str">
        <f t="shared" si="33"/>
        <v>Não Detectável</v>
      </c>
    </row>
    <row r="820" spans="1:21" ht="25.5" customHeight="1" x14ac:dyDescent="0.2">
      <c r="A820" s="51">
        <v>819</v>
      </c>
      <c r="B820" s="50" t="s">
        <v>1777</v>
      </c>
      <c r="C820" s="51">
        <v>57</v>
      </c>
      <c r="D820" s="51" t="s">
        <v>25</v>
      </c>
      <c r="E820" s="43">
        <v>44209</v>
      </c>
      <c r="F820" s="44" t="s">
        <v>60</v>
      </c>
      <c r="G820" s="51">
        <v>314</v>
      </c>
      <c r="H820" s="43">
        <v>44210</v>
      </c>
      <c r="I820" s="43" t="s">
        <v>1766</v>
      </c>
      <c r="J820" s="43">
        <v>44210</v>
      </c>
      <c r="K820" s="42">
        <v>30.2</v>
      </c>
      <c r="L820" s="42">
        <v>28.6</v>
      </c>
      <c r="M820" s="48" t="s">
        <v>29</v>
      </c>
      <c r="N820" s="43" t="s">
        <v>1766</v>
      </c>
      <c r="O820" s="43">
        <v>44210</v>
      </c>
      <c r="P820" s="42">
        <v>29.8</v>
      </c>
      <c r="Q820" s="42">
        <v>28.2</v>
      </c>
      <c r="R820" s="46" t="s">
        <v>29</v>
      </c>
      <c r="S820" s="43">
        <v>44211</v>
      </c>
      <c r="T820" s="51">
        <f t="shared" si="32"/>
        <v>3</v>
      </c>
      <c r="U820" s="52" t="str">
        <f t="shared" si="33"/>
        <v>Detectável</v>
      </c>
    </row>
    <row r="821" spans="1:21" ht="25.5" customHeight="1" x14ac:dyDescent="0.2">
      <c r="A821" s="51">
        <v>820</v>
      </c>
      <c r="B821" s="50" t="s">
        <v>1778</v>
      </c>
      <c r="C821" s="51">
        <v>31</v>
      </c>
      <c r="D821" s="51" t="s">
        <v>34</v>
      </c>
      <c r="E821" s="43">
        <v>44209</v>
      </c>
      <c r="F821" s="44" t="s">
        <v>60</v>
      </c>
      <c r="G821" s="51">
        <v>314</v>
      </c>
      <c r="H821" s="43">
        <v>44210</v>
      </c>
      <c r="I821" s="43" t="s">
        <v>1766</v>
      </c>
      <c r="J821" s="43">
        <v>44210</v>
      </c>
      <c r="K821" s="42">
        <v>30.2</v>
      </c>
      <c r="L821" s="42">
        <v>28.6</v>
      </c>
      <c r="M821" s="48" t="s">
        <v>29</v>
      </c>
      <c r="N821" s="43" t="s">
        <v>1766</v>
      </c>
      <c r="O821" s="43">
        <v>44210</v>
      </c>
      <c r="P821" s="42">
        <v>31.4</v>
      </c>
      <c r="Q821" s="42">
        <v>29.1</v>
      </c>
      <c r="R821" s="46" t="s">
        <v>29</v>
      </c>
      <c r="S821" s="43">
        <v>44211</v>
      </c>
      <c r="T821" s="51">
        <f t="shared" ref="T821:T884" si="34">COUNTIF(G:G,G821)</f>
        <v>3</v>
      </c>
      <c r="U821" s="52" t="str">
        <f t="shared" ref="U821:U884" si="35">IF(M821="Não Detectável","Não Detectável",IF(R821="","",R821))</f>
        <v>Detectável</v>
      </c>
    </row>
    <row r="822" spans="1:21" ht="25.5" customHeight="1" x14ac:dyDescent="0.2">
      <c r="A822" s="51">
        <v>821</v>
      </c>
      <c r="B822" s="50" t="s">
        <v>1779</v>
      </c>
      <c r="C822" s="51">
        <v>24</v>
      </c>
      <c r="D822" s="51" t="s">
        <v>25</v>
      </c>
      <c r="E822" s="43">
        <v>44209</v>
      </c>
      <c r="F822" s="44" t="s">
        <v>60</v>
      </c>
      <c r="G822" s="51">
        <v>315</v>
      </c>
      <c r="H822" s="43">
        <v>44210</v>
      </c>
      <c r="I822" s="43" t="s">
        <v>1775</v>
      </c>
      <c r="J822" s="43">
        <v>44211</v>
      </c>
      <c r="K822" s="42">
        <v>17.8</v>
      </c>
      <c r="L822" s="42">
        <v>28.5</v>
      </c>
      <c r="M822" s="48" t="s">
        <v>29</v>
      </c>
      <c r="N822" s="43" t="s">
        <v>1780</v>
      </c>
      <c r="O822" s="43">
        <v>44214</v>
      </c>
      <c r="P822" s="42" t="s">
        <v>36</v>
      </c>
      <c r="Q822" s="42">
        <v>27.7</v>
      </c>
      <c r="R822" s="46" t="s">
        <v>31</v>
      </c>
      <c r="S822" s="43">
        <v>44214</v>
      </c>
      <c r="T822" s="51">
        <f t="shared" si="34"/>
        <v>3</v>
      </c>
      <c r="U822" s="52" t="str">
        <f t="shared" si="35"/>
        <v>Não Detectável</v>
      </c>
    </row>
    <row r="823" spans="1:21" ht="25.5" customHeight="1" x14ac:dyDescent="0.2">
      <c r="A823" s="51">
        <v>822</v>
      </c>
      <c r="B823" s="50" t="s">
        <v>1781</v>
      </c>
      <c r="C823" s="51">
        <v>39</v>
      </c>
      <c r="D823" s="51" t="s">
        <v>25</v>
      </c>
      <c r="E823" s="43" t="s">
        <v>1782</v>
      </c>
      <c r="F823" s="44" t="s">
        <v>60</v>
      </c>
      <c r="G823" s="51">
        <v>315</v>
      </c>
      <c r="H823" s="43">
        <v>44211</v>
      </c>
      <c r="I823" s="43" t="s">
        <v>1775</v>
      </c>
      <c r="J823" s="43">
        <v>44211</v>
      </c>
      <c r="K823" s="42">
        <v>17.8</v>
      </c>
      <c r="L823" s="42">
        <v>28.5</v>
      </c>
      <c r="M823" s="48" t="s">
        <v>29</v>
      </c>
      <c r="N823" s="43" t="s">
        <v>1780</v>
      </c>
      <c r="O823" s="43">
        <v>44214</v>
      </c>
      <c r="P823" s="42">
        <v>15.4</v>
      </c>
      <c r="Q823" s="42">
        <v>26.8</v>
      </c>
      <c r="R823" s="46" t="s">
        <v>29</v>
      </c>
      <c r="S823" s="43">
        <v>44214</v>
      </c>
      <c r="T823" s="51">
        <f t="shared" si="34"/>
        <v>3</v>
      </c>
      <c r="U823" s="52" t="str">
        <f t="shared" si="35"/>
        <v>Detectável</v>
      </c>
    </row>
    <row r="824" spans="1:21" ht="25.5" customHeight="1" x14ac:dyDescent="0.2">
      <c r="A824" s="51">
        <v>823</v>
      </c>
      <c r="B824" s="50" t="s">
        <v>1783</v>
      </c>
      <c r="C824" s="51">
        <v>22</v>
      </c>
      <c r="D824" s="51" t="s">
        <v>34</v>
      </c>
      <c r="E824" s="43" t="s">
        <v>1782</v>
      </c>
      <c r="F824" s="44" t="s">
        <v>60</v>
      </c>
      <c r="G824" s="51">
        <v>315</v>
      </c>
      <c r="H824" s="43">
        <v>44211</v>
      </c>
      <c r="I824" s="43" t="s">
        <v>1775</v>
      </c>
      <c r="J824" s="43">
        <v>44211</v>
      </c>
      <c r="K824" s="42">
        <v>17.8</v>
      </c>
      <c r="L824" s="42">
        <v>28.5</v>
      </c>
      <c r="M824" s="48" t="s">
        <v>29</v>
      </c>
      <c r="N824" s="43" t="s">
        <v>1780</v>
      </c>
      <c r="O824" s="43">
        <v>44214</v>
      </c>
      <c r="P824" s="42" t="s">
        <v>36</v>
      </c>
      <c r="Q824" s="42">
        <v>27.7</v>
      </c>
      <c r="R824" s="46" t="s">
        <v>31</v>
      </c>
      <c r="S824" s="43">
        <v>44214</v>
      </c>
      <c r="T824" s="51">
        <f t="shared" si="34"/>
        <v>3</v>
      </c>
      <c r="U824" s="52" t="str">
        <f t="shared" si="35"/>
        <v>Não Detectável</v>
      </c>
    </row>
    <row r="825" spans="1:21" ht="25.5" customHeight="1" x14ac:dyDescent="0.2">
      <c r="A825" s="51">
        <v>824</v>
      </c>
      <c r="B825" s="50" t="s">
        <v>1784</v>
      </c>
      <c r="C825" s="51">
        <v>30</v>
      </c>
      <c r="D825" s="51" t="s">
        <v>25</v>
      </c>
      <c r="E825" s="43" t="s">
        <v>1782</v>
      </c>
      <c r="F825" s="44" t="s">
        <v>60</v>
      </c>
      <c r="G825" s="51">
        <v>316</v>
      </c>
      <c r="H825" s="43">
        <v>44211</v>
      </c>
      <c r="I825" s="43" t="s">
        <v>1775</v>
      </c>
      <c r="J825" s="43">
        <v>44211</v>
      </c>
      <c r="K825" s="42" t="s">
        <v>36</v>
      </c>
      <c r="L825" s="42">
        <v>28.3</v>
      </c>
      <c r="M825" s="45" t="s">
        <v>31</v>
      </c>
      <c r="N825" s="42" t="s">
        <v>60</v>
      </c>
      <c r="O825" s="43" t="s">
        <v>60</v>
      </c>
      <c r="P825" s="42" t="s">
        <v>60</v>
      </c>
      <c r="Q825" s="42" t="s">
        <v>60</v>
      </c>
      <c r="R825" s="46" t="s">
        <v>60</v>
      </c>
      <c r="S825" s="43">
        <v>44211</v>
      </c>
      <c r="T825" s="51">
        <f t="shared" si="34"/>
        <v>3</v>
      </c>
      <c r="U825" s="52" t="str">
        <f t="shared" si="35"/>
        <v>Não Detectável</v>
      </c>
    </row>
    <row r="826" spans="1:21" ht="25.5" customHeight="1" x14ac:dyDescent="0.2">
      <c r="A826" s="51">
        <v>825</v>
      </c>
      <c r="B826" s="50" t="s">
        <v>1785</v>
      </c>
      <c r="C826" s="51">
        <v>21</v>
      </c>
      <c r="D826" s="51" t="s">
        <v>34</v>
      </c>
      <c r="E826" s="43" t="s">
        <v>1782</v>
      </c>
      <c r="F826" s="44" t="s">
        <v>60</v>
      </c>
      <c r="G826" s="51">
        <v>316</v>
      </c>
      <c r="H826" s="43">
        <v>44211</v>
      </c>
      <c r="I826" s="43" t="s">
        <v>1775</v>
      </c>
      <c r="J826" s="43">
        <v>44211</v>
      </c>
      <c r="K826" s="42" t="s">
        <v>36</v>
      </c>
      <c r="L826" s="42">
        <v>28.3</v>
      </c>
      <c r="M826" s="45" t="s">
        <v>31</v>
      </c>
      <c r="N826" s="42" t="s">
        <v>60</v>
      </c>
      <c r="O826" s="43" t="s">
        <v>60</v>
      </c>
      <c r="P826" s="42" t="s">
        <v>60</v>
      </c>
      <c r="Q826" s="42" t="s">
        <v>60</v>
      </c>
      <c r="R826" s="46" t="s">
        <v>60</v>
      </c>
      <c r="S826" s="43">
        <v>44211</v>
      </c>
      <c r="T826" s="51">
        <f t="shared" si="34"/>
        <v>3</v>
      </c>
      <c r="U826" s="52" t="str">
        <f t="shared" si="35"/>
        <v>Não Detectável</v>
      </c>
    </row>
    <row r="827" spans="1:21" ht="25.5" customHeight="1" x14ac:dyDescent="0.2">
      <c r="A827" s="51">
        <v>826</v>
      </c>
      <c r="B827" s="50" t="s">
        <v>1786</v>
      </c>
      <c r="C827" s="51">
        <v>29</v>
      </c>
      <c r="D827" s="51" t="s">
        <v>25</v>
      </c>
      <c r="E827" s="43" t="s">
        <v>1782</v>
      </c>
      <c r="F827" s="44" t="s">
        <v>60</v>
      </c>
      <c r="G827" s="51">
        <v>316</v>
      </c>
      <c r="H827" s="43">
        <v>44211</v>
      </c>
      <c r="I827" s="43" t="s">
        <v>1775</v>
      </c>
      <c r="J827" s="43">
        <v>44211</v>
      </c>
      <c r="K827" s="42" t="s">
        <v>36</v>
      </c>
      <c r="L827" s="42">
        <v>28.3</v>
      </c>
      <c r="M827" s="45" t="s">
        <v>31</v>
      </c>
      <c r="N827" s="42" t="s">
        <v>60</v>
      </c>
      <c r="O827" s="43" t="s">
        <v>60</v>
      </c>
      <c r="P827" s="42" t="s">
        <v>60</v>
      </c>
      <c r="Q827" s="42" t="s">
        <v>60</v>
      </c>
      <c r="R827" s="46" t="s">
        <v>60</v>
      </c>
      <c r="S827" s="43">
        <v>44211</v>
      </c>
      <c r="T827" s="51">
        <f t="shared" si="34"/>
        <v>3</v>
      </c>
      <c r="U827" s="52" t="str">
        <f t="shared" si="35"/>
        <v>Não Detectável</v>
      </c>
    </row>
    <row r="828" spans="1:21" ht="25.5" customHeight="1" x14ac:dyDescent="0.2">
      <c r="A828" s="51">
        <v>827</v>
      </c>
      <c r="B828" s="50" t="s">
        <v>1787</v>
      </c>
      <c r="C828" s="51">
        <v>56</v>
      </c>
      <c r="D828" s="51" t="s">
        <v>25</v>
      </c>
      <c r="E828" s="43" t="s">
        <v>1782</v>
      </c>
      <c r="F828" s="44" t="s">
        <v>60</v>
      </c>
      <c r="G828" s="51">
        <v>318</v>
      </c>
      <c r="H828" s="43">
        <v>44214</v>
      </c>
      <c r="I828" s="43" t="s">
        <v>1780</v>
      </c>
      <c r="J828" s="43">
        <v>44214</v>
      </c>
      <c r="K828" s="42">
        <v>15.03</v>
      </c>
      <c r="L828" s="42">
        <v>27.52</v>
      </c>
      <c r="M828" s="43" t="s">
        <v>29</v>
      </c>
      <c r="N828" s="42" t="s">
        <v>1788</v>
      </c>
      <c r="O828" s="43">
        <v>44214</v>
      </c>
      <c r="P828" s="42" t="s">
        <v>36</v>
      </c>
      <c r="Q828" s="42">
        <v>28.7</v>
      </c>
      <c r="R828" s="46" t="s">
        <v>31</v>
      </c>
      <c r="S828" s="43">
        <v>44215</v>
      </c>
      <c r="T828" s="51">
        <f t="shared" si="34"/>
        <v>3</v>
      </c>
      <c r="U828" s="52" t="str">
        <f t="shared" si="35"/>
        <v>Não Detectável</v>
      </c>
    </row>
    <row r="829" spans="1:21" ht="25.5" customHeight="1" x14ac:dyDescent="0.2">
      <c r="A829" s="51">
        <v>828</v>
      </c>
      <c r="B829" s="50" t="s">
        <v>1789</v>
      </c>
      <c r="C829" s="51">
        <v>35</v>
      </c>
      <c r="D829" s="51" t="s">
        <v>25</v>
      </c>
      <c r="E829" s="43" t="s">
        <v>1782</v>
      </c>
      <c r="F829" s="44" t="s">
        <v>60</v>
      </c>
      <c r="G829" s="51">
        <v>317</v>
      </c>
      <c r="H829" s="43">
        <v>44211</v>
      </c>
      <c r="I829" s="43" t="s">
        <v>1775</v>
      </c>
      <c r="J829" s="43">
        <v>44211</v>
      </c>
      <c r="K829" s="42">
        <v>24.5</v>
      </c>
      <c r="L829" s="42">
        <v>28</v>
      </c>
      <c r="M829" s="48" t="s">
        <v>29</v>
      </c>
      <c r="N829" s="42" t="s">
        <v>1780</v>
      </c>
      <c r="O829" s="43">
        <v>44214</v>
      </c>
      <c r="P829" s="42" t="s">
        <v>36</v>
      </c>
      <c r="Q829" s="42">
        <v>28.5</v>
      </c>
      <c r="R829" s="46" t="s">
        <v>31</v>
      </c>
      <c r="S829" s="43">
        <v>44214</v>
      </c>
      <c r="T829" s="51">
        <f t="shared" si="34"/>
        <v>3</v>
      </c>
      <c r="U829" s="52" t="str">
        <f t="shared" si="35"/>
        <v>Não Detectável</v>
      </c>
    </row>
    <row r="830" spans="1:21" ht="25.5" customHeight="1" x14ac:dyDescent="0.2">
      <c r="A830" s="51">
        <v>829</v>
      </c>
      <c r="B830" s="50" t="s">
        <v>1790</v>
      </c>
      <c r="C830" s="51">
        <v>37</v>
      </c>
      <c r="D830" s="51" t="s">
        <v>25</v>
      </c>
      <c r="E830" s="43" t="s">
        <v>1782</v>
      </c>
      <c r="F830" s="44" t="s">
        <v>60</v>
      </c>
      <c r="G830" s="51">
        <v>317</v>
      </c>
      <c r="H830" s="43">
        <v>44211</v>
      </c>
      <c r="I830" s="43" t="s">
        <v>1775</v>
      </c>
      <c r="J830" s="43">
        <v>44211</v>
      </c>
      <c r="K830" s="42">
        <v>24.5</v>
      </c>
      <c r="L830" s="42">
        <v>28</v>
      </c>
      <c r="M830" s="48" t="s">
        <v>29</v>
      </c>
      <c r="N830" s="42" t="s">
        <v>1780</v>
      </c>
      <c r="O830" s="43">
        <v>44214</v>
      </c>
      <c r="P830" s="42">
        <v>22.06</v>
      </c>
      <c r="Q830" s="42">
        <v>26.4</v>
      </c>
      <c r="R830" s="46" t="s">
        <v>29</v>
      </c>
      <c r="S830" s="43">
        <v>44214</v>
      </c>
      <c r="T830" s="51">
        <f t="shared" si="34"/>
        <v>3</v>
      </c>
      <c r="U830" s="52" t="str">
        <f t="shared" si="35"/>
        <v>Detectável</v>
      </c>
    </row>
    <row r="831" spans="1:21" ht="25.5" customHeight="1" x14ac:dyDescent="0.2">
      <c r="A831" s="51">
        <v>830</v>
      </c>
      <c r="B831" s="50" t="s">
        <v>1791</v>
      </c>
      <c r="C831" s="51">
        <v>25</v>
      </c>
      <c r="D831" s="51" t="s">
        <v>34</v>
      </c>
      <c r="E831" s="43" t="s">
        <v>1782</v>
      </c>
      <c r="F831" s="44" t="s">
        <v>60</v>
      </c>
      <c r="G831" s="51">
        <v>323</v>
      </c>
      <c r="H831" s="43">
        <v>44211</v>
      </c>
      <c r="I831" s="43" t="s">
        <v>1780</v>
      </c>
      <c r="J831" s="43">
        <v>44214</v>
      </c>
      <c r="K831" s="42" t="s">
        <v>36</v>
      </c>
      <c r="L831" s="42">
        <v>28.2</v>
      </c>
      <c r="M831" s="45" t="s">
        <v>31</v>
      </c>
      <c r="N831" s="42" t="s">
        <v>60</v>
      </c>
      <c r="O831" s="43" t="s">
        <v>60</v>
      </c>
      <c r="P831" s="42" t="s">
        <v>60</v>
      </c>
      <c r="Q831" s="42" t="s">
        <v>60</v>
      </c>
      <c r="R831" s="46" t="s">
        <v>60</v>
      </c>
      <c r="S831" s="43">
        <v>44214</v>
      </c>
      <c r="T831" s="51">
        <f t="shared" si="34"/>
        <v>3</v>
      </c>
      <c r="U831" s="52" t="str">
        <f t="shared" si="35"/>
        <v>Não Detectável</v>
      </c>
    </row>
    <row r="832" spans="1:21" ht="25.5" customHeight="1" x14ac:dyDescent="0.2">
      <c r="A832" s="51">
        <v>831</v>
      </c>
      <c r="B832" s="50" t="s">
        <v>1792</v>
      </c>
      <c r="C832" s="51">
        <v>32</v>
      </c>
      <c r="D832" s="51" t="s">
        <v>25</v>
      </c>
      <c r="E832" s="43" t="s">
        <v>1782</v>
      </c>
      <c r="F832" s="44" t="s">
        <v>60</v>
      </c>
      <c r="G832" s="51">
        <v>323</v>
      </c>
      <c r="H832" s="43">
        <v>44211</v>
      </c>
      <c r="I832" s="43" t="s">
        <v>1780</v>
      </c>
      <c r="J832" s="43">
        <v>44214</v>
      </c>
      <c r="K832" s="42" t="s">
        <v>36</v>
      </c>
      <c r="L832" s="42">
        <v>28.2</v>
      </c>
      <c r="M832" s="45" t="s">
        <v>31</v>
      </c>
      <c r="N832" s="42" t="s">
        <v>60</v>
      </c>
      <c r="O832" s="43" t="s">
        <v>60</v>
      </c>
      <c r="P832" s="42" t="s">
        <v>60</v>
      </c>
      <c r="Q832" s="42" t="s">
        <v>60</v>
      </c>
      <c r="R832" s="46" t="s">
        <v>60</v>
      </c>
      <c r="S832" s="43">
        <v>44214</v>
      </c>
      <c r="T832" s="51">
        <f t="shared" si="34"/>
        <v>3</v>
      </c>
      <c r="U832" s="52" t="str">
        <f t="shared" si="35"/>
        <v>Não Detectável</v>
      </c>
    </row>
    <row r="833" spans="1:21" ht="25.5" customHeight="1" x14ac:dyDescent="0.2">
      <c r="A833" s="51">
        <v>832</v>
      </c>
      <c r="B833" s="50" t="s">
        <v>1793</v>
      </c>
      <c r="C833" s="51">
        <v>50</v>
      </c>
      <c r="D833" s="51" t="s">
        <v>25</v>
      </c>
      <c r="E833" s="43" t="s">
        <v>1782</v>
      </c>
      <c r="F833" s="44" t="s">
        <v>60</v>
      </c>
      <c r="G833" s="51">
        <v>317</v>
      </c>
      <c r="H833" s="43">
        <v>44211</v>
      </c>
      <c r="I833" s="43" t="s">
        <v>1775</v>
      </c>
      <c r="J833" s="43">
        <v>44211</v>
      </c>
      <c r="K833" s="42">
        <v>24.5</v>
      </c>
      <c r="L833" s="42">
        <v>28</v>
      </c>
      <c r="M833" s="48" t="s">
        <v>29</v>
      </c>
      <c r="N833" s="42" t="s">
        <v>1780</v>
      </c>
      <c r="O833" s="43">
        <v>44214</v>
      </c>
      <c r="P833" s="42">
        <v>27.35</v>
      </c>
      <c r="Q833" s="42">
        <v>26.6</v>
      </c>
      <c r="R833" s="46" t="s">
        <v>29</v>
      </c>
      <c r="S833" s="43">
        <v>44214</v>
      </c>
      <c r="T833" s="51">
        <f t="shared" si="34"/>
        <v>3</v>
      </c>
      <c r="U833" s="52" t="str">
        <f t="shared" si="35"/>
        <v>Detectável</v>
      </c>
    </row>
    <row r="834" spans="1:21" ht="25.5" customHeight="1" x14ac:dyDescent="0.2">
      <c r="A834" s="51">
        <v>833</v>
      </c>
      <c r="B834" s="50" t="s">
        <v>1794</v>
      </c>
      <c r="C834" s="51">
        <v>20</v>
      </c>
      <c r="D834" s="51" t="s">
        <v>34</v>
      </c>
      <c r="E834" s="43" t="s">
        <v>1795</v>
      </c>
      <c r="F834" s="44" t="s">
        <v>60</v>
      </c>
      <c r="G834" s="51">
        <v>318</v>
      </c>
      <c r="H834" s="43">
        <v>44214</v>
      </c>
      <c r="I834" s="43" t="s">
        <v>1780</v>
      </c>
      <c r="J834" s="43">
        <v>44214</v>
      </c>
      <c r="K834" s="42">
        <v>15.3</v>
      </c>
      <c r="L834" s="42">
        <v>27.52</v>
      </c>
      <c r="M834" s="48" t="s">
        <v>29</v>
      </c>
      <c r="N834" s="42" t="s">
        <v>1788</v>
      </c>
      <c r="O834" s="43">
        <v>44214</v>
      </c>
      <c r="P834" s="42" t="s">
        <v>36</v>
      </c>
      <c r="Q834" s="42">
        <v>28.5</v>
      </c>
      <c r="R834" s="46" t="s">
        <v>31</v>
      </c>
      <c r="S834" s="43">
        <v>44215</v>
      </c>
      <c r="T834" s="51">
        <f t="shared" si="34"/>
        <v>3</v>
      </c>
      <c r="U834" s="52" t="str">
        <f t="shared" si="35"/>
        <v>Não Detectável</v>
      </c>
    </row>
    <row r="835" spans="1:21" ht="25.5" customHeight="1" x14ac:dyDescent="0.2">
      <c r="A835" s="51">
        <v>834</v>
      </c>
      <c r="B835" s="50" t="s">
        <v>1796</v>
      </c>
      <c r="C835" s="51">
        <v>89</v>
      </c>
      <c r="D835" s="51" t="s">
        <v>34</v>
      </c>
      <c r="E835" s="43" t="s">
        <v>1795</v>
      </c>
      <c r="F835" s="44" t="s">
        <v>60</v>
      </c>
      <c r="G835" s="51">
        <v>318</v>
      </c>
      <c r="H835" s="43">
        <v>44214</v>
      </c>
      <c r="I835" s="43" t="s">
        <v>1780</v>
      </c>
      <c r="J835" s="43">
        <v>44214</v>
      </c>
      <c r="K835" s="42">
        <v>15.3</v>
      </c>
      <c r="L835" s="42">
        <v>27.52</v>
      </c>
      <c r="M835" s="48" t="s">
        <v>29</v>
      </c>
      <c r="N835" s="42" t="s">
        <v>1788</v>
      </c>
      <c r="O835" s="43">
        <v>44214</v>
      </c>
      <c r="P835" s="42">
        <v>14.2</v>
      </c>
      <c r="Q835" s="42">
        <v>27.1</v>
      </c>
      <c r="R835" s="46" t="s">
        <v>29</v>
      </c>
      <c r="S835" s="43">
        <v>44215</v>
      </c>
      <c r="T835" s="51">
        <f t="shared" si="34"/>
        <v>3</v>
      </c>
      <c r="U835" s="52" t="str">
        <f t="shared" si="35"/>
        <v>Detectável</v>
      </c>
    </row>
    <row r="836" spans="1:21" ht="25.5" customHeight="1" x14ac:dyDescent="0.2">
      <c r="A836" s="51">
        <v>835</v>
      </c>
      <c r="B836" s="50" t="s">
        <v>1797</v>
      </c>
      <c r="C836" s="51">
        <v>40</v>
      </c>
      <c r="D836" s="51" t="s">
        <v>34</v>
      </c>
      <c r="E836" s="43" t="s">
        <v>1795</v>
      </c>
      <c r="F836" s="44" t="s">
        <v>60</v>
      </c>
      <c r="G836" s="51">
        <v>319</v>
      </c>
      <c r="H836" s="43">
        <v>44214</v>
      </c>
      <c r="I836" s="43" t="s">
        <v>1780</v>
      </c>
      <c r="J836" s="43">
        <v>44214</v>
      </c>
      <c r="K836" s="42">
        <v>34.200000000000003</v>
      </c>
      <c r="L836" s="42">
        <v>27.7</v>
      </c>
      <c r="M836" s="48" t="s">
        <v>29</v>
      </c>
      <c r="N836" s="42" t="s">
        <v>1788</v>
      </c>
      <c r="O836" s="43">
        <v>44214</v>
      </c>
      <c r="P836" s="42">
        <v>37.299999999999997</v>
      </c>
      <c r="Q836" s="42">
        <v>27.8</v>
      </c>
      <c r="R836" s="46" t="s">
        <v>31</v>
      </c>
      <c r="S836" s="43">
        <v>44215</v>
      </c>
      <c r="T836" s="51">
        <f t="shared" si="34"/>
        <v>3</v>
      </c>
      <c r="U836" s="52" t="str">
        <f t="shared" si="35"/>
        <v>Não Detectável</v>
      </c>
    </row>
    <row r="837" spans="1:21" ht="25.5" customHeight="1" x14ac:dyDescent="0.2">
      <c r="A837" s="51">
        <v>836</v>
      </c>
      <c r="B837" s="50" t="s">
        <v>1798</v>
      </c>
      <c r="C837" s="51">
        <v>33</v>
      </c>
      <c r="D837" s="51" t="s">
        <v>34</v>
      </c>
      <c r="E837" s="43" t="s">
        <v>1795</v>
      </c>
      <c r="F837" s="44" t="s">
        <v>60</v>
      </c>
      <c r="G837" s="51">
        <v>319</v>
      </c>
      <c r="H837" s="43">
        <v>44214</v>
      </c>
      <c r="I837" s="43" t="s">
        <v>1780</v>
      </c>
      <c r="J837" s="43">
        <v>44214</v>
      </c>
      <c r="K837" s="42">
        <v>34.200000000000003</v>
      </c>
      <c r="L837" s="42">
        <v>27.7</v>
      </c>
      <c r="M837" s="48" t="s">
        <v>29</v>
      </c>
      <c r="N837" s="42" t="s">
        <v>1788</v>
      </c>
      <c r="O837" s="43">
        <v>44214</v>
      </c>
      <c r="P837" s="42">
        <v>32.799999999999997</v>
      </c>
      <c r="Q837" s="42">
        <v>27.7</v>
      </c>
      <c r="R837" s="46" t="s">
        <v>29</v>
      </c>
      <c r="S837" s="43">
        <v>44215</v>
      </c>
      <c r="T837" s="51">
        <f t="shared" si="34"/>
        <v>3</v>
      </c>
      <c r="U837" s="52" t="str">
        <f t="shared" si="35"/>
        <v>Detectável</v>
      </c>
    </row>
    <row r="838" spans="1:21" ht="25.5" customHeight="1" x14ac:dyDescent="0.2">
      <c r="A838" s="51">
        <v>837</v>
      </c>
      <c r="B838" s="50" t="s">
        <v>1799</v>
      </c>
      <c r="C838" s="51">
        <v>38</v>
      </c>
      <c r="D838" s="51" t="s">
        <v>34</v>
      </c>
      <c r="E838" s="43" t="s">
        <v>1795</v>
      </c>
      <c r="F838" s="44" t="s">
        <v>60</v>
      </c>
      <c r="G838" s="51">
        <v>319</v>
      </c>
      <c r="H838" s="43">
        <v>44214</v>
      </c>
      <c r="I838" s="43" t="s">
        <v>1780</v>
      </c>
      <c r="J838" s="43">
        <v>44214</v>
      </c>
      <c r="K838" s="42">
        <v>34.200000000000003</v>
      </c>
      <c r="L838" s="42">
        <v>27.7</v>
      </c>
      <c r="M838" s="48" t="s">
        <v>29</v>
      </c>
      <c r="N838" s="42" t="s">
        <v>1788</v>
      </c>
      <c r="O838" s="43">
        <v>44214</v>
      </c>
      <c r="P838" s="42" t="s">
        <v>36</v>
      </c>
      <c r="Q838" s="42">
        <v>27</v>
      </c>
      <c r="R838" s="46" t="s">
        <v>31</v>
      </c>
      <c r="S838" s="43">
        <v>44215</v>
      </c>
      <c r="T838" s="51">
        <f t="shared" si="34"/>
        <v>3</v>
      </c>
      <c r="U838" s="52" t="str">
        <f t="shared" si="35"/>
        <v>Não Detectável</v>
      </c>
    </row>
    <row r="839" spans="1:21" ht="25.5" customHeight="1" x14ac:dyDescent="0.2">
      <c r="A839" s="51">
        <v>838</v>
      </c>
      <c r="B839" s="50" t="s">
        <v>1800</v>
      </c>
      <c r="C839" s="51">
        <v>83</v>
      </c>
      <c r="D839" s="51" t="s">
        <v>34</v>
      </c>
      <c r="E839" s="43" t="s">
        <v>1795</v>
      </c>
      <c r="F839" s="44" t="s">
        <v>60</v>
      </c>
      <c r="G839" s="51">
        <v>320</v>
      </c>
      <c r="H839" s="43">
        <v>44214</v>
      </c>
      <c r="I839" s="43" t="s">
        <v>1780</v>
      </c>
      <c r="J839" s="43">
        <v>44214</v>
      </c>
      <c r="K839" s="42">
        <v>20.6</v>
      </c>
      <c r="L839" s="42">
        <v>28.2</v>
      </c>
      <c r="M839" s="48" t="s">
        <v>29</v>
      </c>
      <c r="N839" s="42" t="s">
        <v>1788</v>
      </c>
      <c r="O839" s="43">
        <v>44214</v>
      </c>
      <c r="P839" s="42">
        <v>30.6</v>
      </c>
      <c r="Q839" s="42">
        <v>27.8</v>
      </c>
      <c r="R839" s="46" t="s">
        <v>29</v>
      </c>
      <c r="S839" s="43">
        <v>44215</v>
      </c>
      <c r="T839" s="51">
        <f t="shared" si="34"/>
        <v>3</v>
      </c>
      <c r="U839" s="52" t="str">
        <f t="shared" si="35"/>
        <v>Detectável</v>
      </c>
    </row>
    <row r="840" spans="1:21" ht="25.5" customHeight="1" x14ac:dyDescent="0.2">
      <c r="A840" s="51">
        <v>839</v>
      </c>
      <c r="B840" s="50" t="s">
        <v>1801</v>
      </c>
      <c r="C840" s="51">
        <v>60</v>
      </c>
      <c r="D840" s="51" t="s">
        <v>25</v>
      </c>
      <c r="E840" s="43" t="s">
        <v>1795</v>
      </c>
      <c r="F840" s="44" t="s">
        <v>60</v>
      </c>
      <c r="G840" s="51">
        <v>320</v>
      </c>
      <c r="H840" s="43">
        <v>44214</v>
      </c>
      <c r="I840" s="43" t="s">
        <v>1780</v>
      </c>
      <c r="J840" s="43">
        <v>44214</v>
      </c>
      <c r="K840" s="42">
        <v>20.6</v>
      </c>
      <c r="L840" s="42">
        <v>28.2</v>
      </c>
      <c r="M840" s="48" t="s">
        <v>29</v>
      </c>
      <c r="N840" s="42" t="s">
        <v>1788</v>
      </c>
      <c r="O840" s="43">
        <v>44214</v>
      </c>
      <c r="P840" s="42">
        <v>27.1</v>
      </c>
      <c r="Q840" s="42">
        <v>28.5</v>
      </c>
      <c r="R840" s="46" t="s">
        <v>29</v>
      </c>
      <c r="S840" s="43">
        <v>44215</v>
      </c>
      <c r="T840" s="51">
        <f t="shared" si="34"/>
        <v>3</v>
      </c>
      <c r="U840" s="52" t="str">
        <f t="shared" si="35"/>
        <v>Detectável</v>
      </c>
    </row>
    <row r="841" spans="1:21" ht="25.5" customHeight="1" x14ac:dyDescent="0.2">
      <c r="A841" s="51">
        <v>840</v>
      </c>
      <c r="B841" s="50" t="s">
        <v>1802</v>
      </c>
      <c r="C841" s="51">
        <v>44</v>
      </c>
      <c r="D841" s="51" t="s">
        <v>25</v>
      </c>
      <c r="E841" s="43" t="s">
        <v>1795</v>
      </c>
      <c r="F841" s="44" t="s">
        <v>60</v>
      </c>
      <c r="G841" s="51">
        <v>320</v>
      </c>
      <c r="H841" s="43">
        <v>44214</v>
      </c>
      <c r="I841" s="43" t="s">
        <v>1780</v>
      </c>
      <c r="J841" s="43">
        <v>44214</v>
      </c>
      <c r="K841" s="42">
        <v>20.6</v>
      </c>
      <c r="L841" s="42">
        <v>28.2</v>
      </c>
      <c r="M841" s="48" t="s">
        <v>29</v>
      </c>
      <c r="N841" s="42" t="s">
        <v>1788</v>
      </c>
      <c r="O841" s="43">
        <v>44214</v>
      </c>
      <c r="P841" s="42">
        <v>18.899999999999999</v>
      </c>
      <c r="Q841" s="42">
        <v>27.8</v>
      </c>
      <c r="R841" s="46" t="s">
        <v>29</v>
      </c>
      <c r="S841" s="43">
        <v>44215</v>
      </c>
      <c r="T841" s="51">
        <f t="shared" si="34"/>
        <v>3</v>
      </c>
      <c r="U841" s="52" t="str">
        <f t="shared" si="35"/>
        <v>Detectável</v>
      </c>
    </row>
    <row r="842" spans="1:21" ht="25.5" customHeight="1" x14ac:dyDescent="0.2">
      <c r="A842" s="51">
        <v>841</v>
      </c>
      <c r="B842" s="50" t="s">
        <v>1803</v>
      </c>
      <c r="C842" s="51">
        <v>42</v>
      </c>
      <c r="D842" s="51" t="s">
        <v>25</v>
      </c>
      <c r="E842" s="43" t="s">
        <v>1795</v>
      </c>
      <c r="F842" s="44" t="s">
        <v>60</v>
      </c>
      <c r="G842" s="51">
        <v>321</v>
      </c>
      <c r="H842" s="43">
        <v>44214</v>
      </c>
      <c r="I842" s="43" t="s">
        <v>1780</v>
      </c>
      <c r="J842" s="43">
        <v>44214</v>
      </c>
      <c r="K842" s="42">
        <v>18.68</v>
      </c>
      <c r="L842" s="42">
        <v>27.4</v>
      </c>
      <c r="M842" s="48" t="s">
        <v>29</v>
      </c>
      <c r="N842" s="42" t="s">
        <v>1788</v>
      </c>
      <c r="O842" s="43">
        <v>44214</v>
      </c>
      <c r="P842" s="42">
        <v>16.600000000000001</v>
      </c>
      <c r="Q842" s="42">
        <v>27</v>
      </c>
      <c r="R842" s="46" t="s">
        <v>29</v>
      </c>
      <c r="S842" s="43">
        <v>44215</v>
      </c>
      <c r="T842" s="51">
        <f t="shared" si="34"/>
        <v>3</v>
      </c>
      <c r="U842" s="52" t="str">
        <f t="shared" si="35"/>
        <v>Detectável</v>
      </c>
    </row>
    <row r="843" spans="1:21" ht="25.5" customHeight="1" x14ac:dyDescent="0.2">
      <c r="A843" s="51">
        <v>842</v>
      </c>
      <c r="B843" s="50" t="s">
        <v>1804</v>
      </c>
      <c r="C843" s="51">
        <v>49</v>
      </c>
      <c r="D843" s="51" t="s">
        <v>25</v>
      </c>
      <c r="E843" s="43" t="s">
        <v>1795</v>
      </c>
      <c r="F843" s="44" t="s">
        <v>60</v>
      </c>
      <c r="G843" s="51">
        <v>321</v>
      </c>
      <c r="H843" s="43">
        <v>44214</v>
      </c>
      <c r="I843" s="43" t="s">
        <v>1780</v>
      </c>
      <c r="J843" s="43">
        <v>44214</v>
      </c>
      <c r="K843" s="42">
        <v>18.68</v>
      </c>
      <c r="L843" s="42">
        <v>27.4</v>
      </c>
      <c r="M843" s="48" t="s">
        <v>29</v>
      </c>
      <c r="N843" s="42" t="s">
        <v>1788</v>
      </c>
      <c r="O843" s="43">
        <v>44214</v>
      </c>
      <c r="P843" s="42">
        <v>26.2</v>
      </c>
      <c r="Q843" s="42">
        <v>26.8</v>
      </c>
      <c r="R843" s="46" t="s">
        <v>29</v>
      </c>
      <c r="S843" s="43">
        <v>44215</v>
      </c>
      <c r="T843" s="51">
        <f t="shared" si="34"/>
        <v>3</v>
      </c>
      <c r="U843" s="52" t="str">
        <f t="shared" si="35"/>
        <v>Detectável</v>
      </c>
    </row>
    <row r="844" spans="1:21" ht="25.5" customHeight="1" x14ac:dyDescent="0.2">
      <c r="A844" s="51">
        <v>843</v>
      </c>
      <c r="B844" s="50" t="s">
        <v>1805</v>
      </c>
      <c r="C844" s="51">
        <v>59</v>
      </c>
      <c r="D844" s="51" t="s">
        <v>25</v>
      </c>
      <c r="E844" s="43" t="s">
        <v>1795</v>
      </c>
      <c r="F844" s="44" t="s">
        <v>60</v>
      </c>
      <c r="G844" s="51">
        <v>321</v>
      </c>
      <c r="H844" s="43">
        <v>44214</v>
      </c>
      <c r="I844" s="43" t="s">
        <v>1780</v>
      </c>
      <c r="J844" s="43">
        <v>44214</v>
      </c>
      <c r="K844" s="42">
        <v>18.68</v>
      </c>
      <c r="L844" s="42">
        <v>27.4</v>
      </c>
      <c r="M844" s="48" t="s">
        <v>29</v>
      </c>
      <c r="N844" s="42" t="s">
        <v>1788</v>
      </c>
      <c r="O844" s="43">
        <v>44214</v>
      </c>
      <c r="P844" s="42" t="s">
        <v>36</v>
      </c>
      <c r="Q844" s="42">
        <v>28.7</v>
      </c>
      <c r="R844" s="46" t="s">
        <v>31</v>
      </c>
      <c r="S844" s="43">
        <v>44215</v>
      </c>
      <c r="T844" s="51">
        <f t="shared" si="34"/>
        <v>3</v>
      </c>
      <c r="U844" s="52" t="str">
        <f t="shared" si="35"/>
        <v>Não Detectável</v>
      </c>
    </row>
    <row r="845" spans="1:21" ht="25.5" customHeight="1" x14ac:dyDescent="0.2">
      <c r="A845" s="51">
        <v>844</v>
      </c>
      <c r="B845" s="50" t="s">
        <v>1806</v>
      </c>
      <c r="C845" s="51" t="s">
        <v>25</v>
      </c>
      <c r="D845" s="51">
        <v>41</v>
      </c>
      <c r="E845" s="43" t="s">
        <v>1795</v>
      </c>
      <c r="F845" s="44" t="s">
        <v>60</v>
      </c>
      <c r="G845" s="51">
        <v>322</v>
      </c>
      <c r="H845" s="43">
        <v>44214</v>
      </c>
      <c r="I845" s="43" t="s">
        <v>1780</v>
      </c>
      <c r="J845" s="43">
        <v>44214</v>
      </c>
      <c r="K845" s="42">
        <v>18.600000000000001</v>
      </c>
      <c r="L845" s="42">
        <v>27.3</v>
      </c>
      <c r="M845" s="48" t="s">
        <v>29</v>
      </c>
      <c r="N845" s="42" t="s">
        <v>1788</v>
      </c>
      <c r="O845" s="43">
        <v>44214</v>
      </c>
      <c r="P845" s="42">
        <v>35.700000000000003</v>
      </c>
      <c r="Q845" s="42">
        <v>26.6</v>
      </c>
      <c r="R845" s="46" t="s">
        <v>29</v>
      </c>
      <c r="S845" s="43">
        <v>44215</v>
      </c>
      <c r="T845" s="51">
        <f t="shared" si="34"/>
        <v>3</v>
      </c>
      <c r="U845" s="52" t="str">
        <f t="shared" si="35"/>
        <v>Detectável</v>
      </c>
    </row>
    <row r="846" spans="1:21" ht="25.5" customHeight="1" x14ac:dyDescent="0.2">
      <c r="A846" s="51">
        <v>845</v>
      </c>
      <c r="B846" s="50" t="s">
        <v>1807</v>
      </c>
      <c r="C846" s="51">
        <v>22</v>
      </c>
      <c r="D846" s="51" t="s">
        <v>34</v>
      </c>
      <c r="E846" s="43" t="s">
        <v>1795</v>
      </c>
      <c r="F846" s="44" t="s">
        <v>60</v>
      </c>
      <c r="G846" s="51">
        <v>322</v>
      </c>
      <c r="H846" s="43">
        <v>44214</v>
      </c>
      <c r="I846" s="43" t="s">
        <v>1780</v>
      </c>
      <c r="J846" s="43">
        <v>44214</v>
      </c>
      <c r="K846" s="42">
        <v>18.600000000000001</v>
      </c>
      <c r="L846" s="42">
        <v>27.3</v>
      </c>
      <c r="M846" s="48" t="s">
        <v>29</v>
      </c>
      <c r="N846" s="42" t="s">
        <v>1788</v>
      </c>
      <c r="O846" s="43">
        <v>44214</v>
      </c>
      <c r="P846" s="42">
        <v>16.5</v>
      </c>
      <c r="Q846" s="42">
        <v>27.4</v>
      </c>
      <c r="R846" s="46" t="s">
        <v>29</v>
      </c>
      <c r="S846" s="43">
        <v>44215</v>
      </c>
      <c r="T846" s="51">
        <f t="shared" si="34"/>
        <v>3</v>
      </c>
      <c r="U846" s="52" t="str">
        <f t="shared" si="35"/>
        <v>Detectável</v>
      </c>
    </row>
    <row r="847" spans="1:21" ht="25.5" customHeight="1" x14ac:dyDescent="0.2">
      <c r="A847" s="51">
        <v>846</v>
      </c>
      <c r="B847" s="50" t="s">
        <v>1808</v>
      </c>
      <c r="C847" s="51">
        <v>19</v>
      </c>
      <c r="D847" s="51" t="s">
        <v>25</v>
      </c>
      <c r="E847" s="43" t="s">
        <v>1795</v>
      </c>
      <c r="F847" s="44" t="s">
        <v>60</v>
      </c>
      <c r="G847" s="51">
        <v>322</v>
      </c>
      <c r="H847" s="43">
        <v>44214</v>
      </c>
      <c r="I847" s="43" t="s">
        <v>1780</v>
      </c>
      <c r="J847" s="43">
        <v>44214</v>
      </c>
      <c r="K847" s="42">
        <v>18.600000000000001</v>
      </c>
      <c r="L847" s="42">
        <v>27.3</v>
      </c>
      <c r="M847" s="48" t="s">
        <v>29</v>
      </c>
      <c r="N847" s="42" t="s">
        <v>1788</v>
      </c>
      <c r="O847" s="43">
        <v>44214</v>
      </c>
      <c r="P847" s="42" t="s">
        <v>36</v>
      </c>
      <c r="Q847" s="42">
        <v>27.8</v>
      </c>
      <c r="R847" s="46" t="s">
        <v>31</v>
      </c>
      <c r="S847" s="43">
        <v>44215</v>
      </c>
      <c r="T847" s="51">
        <f t="shared" si="34"/>
        <v>3</v>
      </c>
      <c r="U847" s="52" t="str">
        <f t="shared" si="35"/>
        <v>Não Detectável</v>
      </c>
    </row>
    <row r="848" spans="1:21" ht="25.5" customHeight="1" x14ac:dyDescent="0.2">
      <c r="A848" s="51">
        <v>847</v>
      </c>
      <c r="B848" s="50" t="s">
        <v>1809</v>
      </c>
      <c r="C848" s="51">
        <v>44</v>
      </c>
      <c r="D848" s="51" t="s">
        <v>34</v>
      </c>
      <c r="E848" s="43" t="s">
        <v>1795</v>
      </c>
      <c r="F848" s="44" t="s">
        <v>60</v>
      </c>
      <c r="G848" s="51">
        <v>323</v>
      </c>
      <c r="H848" s="43">
        <v>44214</v>
      </c>
      <c r="I848" s="43" t="s">
        <v>1780</v>
      </c>
      <c r="J848" s="43">
        <v>44214</v>
      </c>
      <c r="K848" s="42" t="s">
        <v>36</v>
      </c>
      <c r="L848" s="42">
        <v>28.2</v>
      </c>
      <c r="M848" s="45" t="s">
        <v>31</v>
      </c>
      <c r="N848" s="42" t="s">
        <v>60</v>
      </c>
      <c r="O848" s="42" t="s">
        <v>60</v>
      </c>
      <c r="P848" s="42" t="s">
        <v>60</v>
      </c>
      <c r="Q848" s="42" t="s">
        <v>60</v>
      </c>
      <c r="R848" s="46" t="s">
        <v>60</v>
      </c>
      <c r="S848" s="43">
        <v>44214</v>
      </c>
      <c r="T848" s="51">
        <f t="shared" si="34"/>
        <v>3</v>
      </c>
      <c r="U848" s="52" t="str">
        <f t="shared" si="35"/>
        <v>Não Detectável</v>
      </c>
    </row>
    <row r="849" spans="1:21" ht="25.5" customHeight="1" x14ac:dyDescent="0.2">
      <c r="A849" s="51">
        <v>848</v>
      </c>
      <c r="B849" s="50" t="s">
        <v>1810</v>
      </c>
      <c r="C849" s="51">
        <v>45</v>
      </c>
      <c r="D849" s="51" t="s">
        <v>25</v>
      </c>
      <c r="E849" s="43" t="s">
        <v>1811</v>
      </c>
      <c r="F849" s="44" t="s">
        <v>60</v>
      </c>
      <c r="G849" s="51">
        <v>324</v>
      </c>
      <c r="H849" s="43">
        <v>44215</v>
      </c>
      <c r="I849" s="43" t="s">
        <v>1812</v>
      </c>
      <c r="J849" s="43">
        <v>44215</v>
      </c>
      <c r="K849" s="42" t="s">
        <v>36</v>
      </c>
      <c r="L849" s="42">
        <v>28.3</v>
      </c>
      <c r="M849" s="45" t="s">
        <v>31</v>
      </c>
      <c r="N849" s="42" t="s">
        <v>60</v>
      </c>
      <c r="O849" s="42" t="s">
        <v>60</v>
      </c>
      <c r="P849" s="42" t="s">
        <v>60</v>
      </c>
      <c r="Q849" s="42" t="s">
        <v>60</v>
      </c>
      <c r="R849" s="46" t="s">
        <v>60</v>
      </c>
      <c r="S849" s="43">
        <v>44215</v>
      </c>
      <c r="T849" s="51">
        <f t="shared" si="34"/>
        <v>3</v>
      </c>
      <c r="U849" s="52" t="str">
        <f t="shared" si="35"/>
        <v>Não Detectável</v>
      </c>
    </row>
    <row r="850" spans="1:21" ht="25.5" customHeight="1" x14ac:dyDescent="0.2">
      <c r="A850" s="51">
        <v>849</v>
      </c>
      <c r="B850" s="50" t="s">
        <v>1813</v>
      </c>
      <c r="C850" s="51">
        <v>31</v>
      </c>
      <c r="D850" s="51" t="s">
        <v>25</v>
      </c>
      <c r="E850" s="43" t="s">
        <v>1811</v>
      </c>
      <c r="F850" s="44" t="s">
        <v>60</v>
      </c>
      <c r="G850" s="51">
        <v>324</v>
      </c>
      <c r="H850" s="43">
        <v>44215</v>
      </c>
      <c r="I850" s="43" t="s">
        <v>1812</v>
      </c>
      <c r="J850" s="43">
        <v>44215</v>
      </c>
      <c r="K850" s="42" t="s">
        <v>36</v>
      </c>
      <c r="L850" s="42">
        <v>28.3</v>
      </c>
      <c r="M850" s="45" t="s">
        <v>31</v>
      </c>
      <c r="N850" s="42" t="s">
        <v>60</v>
      </c>
      <c r="O850" s="42" t="s">
        <v>60</v>
      </c>
      <c r="P850" s="42" t="s">
        <v>60</v>
      </c>
      <c r="Q850" s="42" t="s">
        <v>60</v>
      </c>
      <c r="R850" s="46" t="s">
        <v>60</v>
      </c>
      <c r="S850" s="43">
        <v>44215</v>
      </c>
      <c r="T850" s="51">
        <f t="shared" si="34"/>
        <v>3</v>
      </c>
      <c r="U850" s="52" t="str">
        <f t="shared" si="35"/>
        <v>Não Detectável</v>
      </c>
    </row>
    <row r="851" spans="1:21" ht="25.5" customHeight="1" x14ac:dyDescent="0.2">
      <c r="A851" s="51">
        <v>850</v>
      </c>
      <c r="B851" s="50" t="s">
        <v>1814</v>
      </c>
      <c r="C851" s="51">
        <v>26</v>
      </c>
      <c r="D851" s="51" t="s">
        <v>34</v>
      </c>
      <c r="E851" s="43" t="s">
        <v>1811</v>
      </c>
      <c r="F851" s="44" t="s">
        <v>60</v>
      </c>
      <c r="G851" s="51">
        <v>324</v>
      </c>
      <c r="H851" s="43">
        <v>44215</v>
      </c>
      <c r="I851" s="43" t="s">
        <v>1812</v>
      </c>
      <c r="J851" s="43">
        <v>44215</v>
      </c>
      <c r="K851" s="42" t="s">
        <v>36</v>
      </c>
      <c r="L851" s="42">
        <v>28.3</v>
      </c>
      <c r="M851" s="45" t="s">
        <v>31</v>
      </c>
      <c r="N851" s="42" t="s">
        <v>60</v>
      </c>
      <c r="O851" s="42" t="s">
        <v>60</v>
      </c>
      <c r="P851" s="42" t="s">
        <v>60</v>
      </c>
      <c r="Q851" s="42" t="s">
        <v>60</v>
      </c>
      <c r="R851" s="46" t="s">
        <v>60</v>
      </c>
      <c r="S851" s="43">
        <v>44215</v>
      </c>
      <c r="T851" s="51">
        <f t="shared" si="34"/>
        <v>3</v>
      </c>
      <c r="U851" s="52" t="str">
        <f t="shared" si="35"/>
        <v>Não Detectável</v>
      </c>
    </row>
    <row r="852" spans="1:21" ht="25.5" customHeight="1" x14ac:dyDescent="0.2">
      <c r="A852" s="51">
        <v>851</v>
      </c>
      <c r="B852" s="50" t="s">
        <v>1815</v>
      </c>
      <c r="C852" s="51">
        <v>44</v>
      </c>
      <c r="D852" s="51" t="s">
        <v>25</v>
      </c>
      <c r="E852" s="43" t="s">
        <v>1811</v>
      </c>
      <c r="F852" s="44" t="s">
        <v>60</v>
      </c>
      <c r="G852" s="51">
        <v>325</v>
      </c>
      <c r="H852" s="43">
        <v>44215</v>
      </c>
      <c r="I852" s="43" t="s">
        <v>1812</v>
      </c>
      <c r="J852" s="43">
        <v>44215</v>
      </c>
      <c r="K852" s="42">
        <v>17.8</v>
      </c>
      <c r="L852" s="42">
        <v>28.1</v>
      </c>
      <c r="M852" s="48" t="s">
        <v>29</v>
      </c>
      <c r="N852" s="42" t="s">
        <v>1816</v>
      </c>
      <c r="O852" s="43">
        <v>44216</v>
      </c>
      <c r="P852" s="42">
        <v>18.3</v>
      </c>
      <c r="Q852" s="42">
        <v>28.2</v>
      </c>
      <c r="R852" s="46" t="s">
        <v>29</v>
      </c>
      <c r="S852" s="43">
        <v>44216</v>
      </c>
      <c r="T852" s="51">
        <f t="shared" si="34"/>
        <v>3</v>
      </c>
      <c r="U852" s="52" t="str">
        <f t="shared" si="35"/>
        <v>Detectável</v>
      </c>
    </row>
    <row r="853" spans="1:21" ht="25.5" customHeight="1" x14ac:dyDescent="0.2">
      <c r="A853" s="51">
        <v>852</v>
      </c>
      <c r="B853" s="50" t="s">
        <v>1817</v>
      </c>
      <c r="C853" s="51">
        <v>32</v>
      </c>
      <c r="D853" s="51" t="s">
        <v>34</v>
      </c>
      <c r="E853" s="43" t="s">
        <v>1811</v>
      </c>
      <c r="F853" s="44" t="s">
        <v>60</v>
      </c>
      <c r="G853" s="51">
        <v>325</v>
      </c>
      <c r="H853" s="43">
        <v>44215</v>
      </c>
      <c r="I853" s="43" t="s">
        <v>1812</v>
      </c>
      <c r="J853" s="43">
        <v>44215</v>
      </c>
      <c r="K853" s="42">
        <v>17.8</v>
      </c>
      <c r="L853" s="42">
        <v>28.1</v>
      </c>
      <c r="M853" s="48" t="s">
        <v>29</v>
      </c>
      <c r="N853" s="42" t="s">
        <v>1816</v>
      </c>
      <c r="O853" s="43">
        <v>44216</v>
      </c>
      <c r="P853" s="42" t="s">
        <v>36</v>
      </c>
      <c r="Q853" s="42">
        <v>27.1</v>
      </c>
      <c r="R853" s="46" t="s">
        <v>31</v>
      </c>
      <c r="S853" s="43">
        <v>44216</v>
      </c>
      <c r="T853" s="51">
        <f t="shared" si="34"/>
        <v>3</v>
      </c>
      <c r="U853" s="52" t="str">
        <f t="shared" si="35"/>
        <v>Não Detectável</v>
      </c>
    </row>
    <row r="854" spans="1:21" ht="25.5" customHeight="1" x14ac:dyDescent="0.2">
      <c r="A854" s="51">
        <v>853</v>
      </c>
      <c r="B854" s="50" t="s">
        <v>1818</v>
      </c>
      <c r="C854" s="51">
        <v>22</v>
      </c>
      <c r="D854" s="51" t="s">
        <v>25</v>
      </c>
      <c r="E854" s="43" t="s">
        <v>1811</v>
      </c>
      <c r="F854" s="44" t="s">
        <v>60</v>
      </c>
      <c r="G854" s="51">
        <v>325</v>
      </c>
      <c r="H854" s="43">
        <v>44215</v>
      </c>
      <c r="I854" s="43" t="s">
        <v>1812</v>
      </c>
      <c r="J854" s="43">
        <v>44215</v>
      </c>
      <c r="K854" s="42">
        <v>17.8</v>
      </c>
      <c r="L854" s="42">
        <v>28.1</v>
      </c>
      <c r="M854" s="48" t="s">
        <v>29</v>
      </c>
      <c r="N854" s="42" t="s">
        <v>1816</v>
      </c>
      <c r="O854" s="43">
        <v>44216</v>
      </c>
      <c r="P854" s="42">
        <v>21.4</v>
      </c>
      <c r="Q854" s="42">
        <v>29.3</v>
      </c>
      <c r="R854" s="46" t="s">
        <v>29</v>
      </c>
      <c r="S854" s="43">
        <v>44216</v>
      </c>
      <c r="T854" s="51">
        <f t="shared" si="34"/>
        <v>3</v>
      </c>
      <c r="U854" s="52" t="str">
        <f t="shared" si="35"/>
        <v>Detectável</v>
      </c>
    </row>
    <row r="855" spans="1:21" ht="25.5" customHeight="1" x14ac:dyDescent="0.2">
      <c r="A855" s="51">
        <v>854</v>
      </c>
      <c r="B855" s="50" t="s">
        <v>1819</v>
      </c>
      <c r="C855" s="51">
        <v>31</v>
      </c>
      <c r="D855" s="51" t="s">
        <v>34</v>
      </c>
      <c r="E855" s="43" t="s">
        <v>1811</v>
      </c>
      <c r="F855" s="44" t="s">
        <v>60</v>
      </c>
      <c r="G855" s="51">
        <v>326</v>
      </c>
      <c r="H855" s="43">
        <v>44215</v>
      </c>
      <c r="I855" s="43" t="s">
        <v>1812</v>
      </c>
      <c r="J855" s="43">
        <v>44215</v>
      </c>
      <c r="K855" s="42" t="s">
        <v>36</v>
      </c>
      <c r="L855" s="42">
        <v>28.9</v>
      </c>
      <c r="M855" s="45" t="s">
        <v>31</v>
      </c>
      <c r="N855" s="42" t="s">
        <v>60</v>
      </c>
      <c r="O855" s="42" t="s">
        <v>60</v>
      </c>
      <c r="P855" s="42" t="s">
        <v>60</v>
      </c>
      <c r="Q855" s="42" t="s">
        <v>60</v>
      </c>
      <c r="R855" s="46" t="s">
        <v>60</v>
      </c>
      <c r="S855" s="43">
        <v>44215</v>
      </c>
      <c r="T855" s="51">
        <f t="shared" si="34"/>
        <v>3</v>
      </c>
      <c r="U855" s="52" t="str">
        <f t="shared" si="35"/>
        <v>Não Detectável</v>
      </c>
    </row>
    <row r="856" spans="1:21" ht="25.5" customHeight="1" x14ac:dyDescent="0.2">
      <c r="A856" s="51">
        <v>855</v>
      </c>
      <c r="B856" s="50" t="s">
        <v>1820</v>
      </c>
      <c r="C856" s="51">
        <v>32</v>
      </c>
      <c r="D856" s="51" t="s">
        <v>25</v>
      </c>
      <c r="E856" s="43" t="s">
        <v>1811</v>
      </c>
      <c r="F856" s="44" t="s">
        <v>60</v>
      </c>
      <c r="G856" s="51">
        <v>326</v>
      </c>
      <c r="H856" s="43">
        <v>44215</v>
      </c>
      <c r="I856" s="43" t="s">
        <v>1812</v>
      </c>
      <c r="J856" s="43">
        <v>44215</v>
      </c>
      <c r="K856" s="42" t="s">
        <v>36</v>
      </c>
      <c r="L856" s="42">
        <v>28.9</v>
      </c>
      <c r="M856" s="45" t="s">
        <v>31</v>
      </c>
      <c r="N856" s="42" t="s">
        <v>60</v>
      </c>
      <c r="O856" s="42" t="s">
        <v>60</v>
      </c>
      <c r="P856" s="42" t="s">
        <v>60</v>
      </c>
      <c r="Q856" s="42" t="s">
        <v>60</v>
      </c>
      <c r="R856" s="46" t="s">
        <v>60</v>
      </c>
      <c r="S856" s="43">
        <v>44215</v>
      </c>
      <c r="T856" s="51">
        <f t="shared" si="34"/>
        <v>3</v>
      </c>
      <c r="U856" s="52" t="str">
        <f t="shared" si="35"/>
        <v>Não Detectável</v>
      </c>
    </row>
    <row r="857" spans="1:21" ht="25.5" customHeight="1" x14ac:dyDescent="0.2">
      <c r="A857" s="51">
        <v>856</v>
      </c>
      <c r="B857" s="50" t="s">
        <v>1821</v>
      </c>
      <c r="C857" s="51">
        <v>54</v>
      </c>
      <c r="D857" s="51" t="s">
        <v>34</v>
      </c>
      <c r="E857" s="43" t="s">
        <v>1811</v>
      </c>
      <c r="F857" s="44" t="s">
        <v>60</v>
      </c>
      <c r="G857" s="51">
        <v>326</v>
      </c>
      <c r="H857" s="43">
        <v>44215</v>
      </c>
      <c r="I857" s="43" t="s">
        <v>1812</v>
      </c>
      <c r="J857" s="43">
        <v>44215</v>
      </c>
      <c r="K857" s="42" t="s">
        <v>36</v>
      </c>
      <c r="L857" s="42">
        <v>28.9</v>
      </c>
      <c r="M857" s="45" t="s">
        <v>31</v>
      </c>
      <c r="N857" s="42" t="s">
        <v>60</v>
      </c>
      <c r="O857" s="42" t="s">
        <v>60</v>
      </c>
      <c r="P857" s="42" t="s">
        <v>60</v>
      </c>
      <c r="Q857" s="42" t="s">
        <v>60</v>
      </c>
      <c r="R857" s="46" t="s">
        <v>60</v>
      </c>
      <c r="S857" s="43">
        <v>44215</v>
      </c>
      <c r="T857" s="51">
        <f t="shared" si="34"/>
        <v>3</v>
      </c>
      <c r="U857" s="52" t="str">
        <f t="shared" si="35"/>
        <v>Não Detectável</v>
      </c>
    </row>
    <row r="858" spans="1:21" ht="25.5" customHeight="1" x14ac:dyDescent="0.2">
      <c r="A858" s="51">
        <v>857</v>
      </c>
      <c r="B858" s="50" t="s">
        <v>1822</v>
      </c>
      <c r="C858" s="51">
        <v>49</v>
      </c>
      <c r="D858" s="51" t="s">
        <v>25</v>
      </c>
      <c r="E858" s="43" t="s">
        <v>1811</v>
      </c>
      <c r="F858" s="44" t="s">
        <v>60</v>
      </c>
      <c r="G858" s="51">
        <v>327</v>
      </c>
      <c r="H858" s="43">
        <v>44215</v>
      </c>
      <c r="I858" s="42" t="s">
        <v>1816</v>
      </c>
      <c r="J858" s="43">
        <v>44216</v>
      </c>
      <c r="K858" s="42">
        <v>29.7</v>
      </c>
      <c r="L858" s="42">
        <v>26.8</v>
      </c>
      <c r="M858" s="48" t="s">
        <v>29</v>
      </c>
      <c r="N858" s="42" t="s">
        <v>1823</v>
      </c>
      <c r="O858" s="43">
        <v>44216</v>
      </c>
      <c r="P858" s="42">
        <v>33.299999999999997</v>
      </c>
      <c r="Q858" s="42">
        <v>26.6</v>
      </c>
      <c r="R858" s="46" t="s">
        <v>29</v>
      </c>
      <c r="S858" s="43">
        <v>44217</v>
      </c>
      <c r="T858" s="51">
        <f t="shared" si="34"/>
        <v>3</v>
      </c>
      <c r="U858" s="52" t="str">
        <f t="shared" si="35"/>
        <v>Detectável</v>
      </c>
    </row>
    <row r="859" spans="1:21" ht="25.5" customHeight="1" x14ac:dyDescent="0.2">
      <c r="A859" s="51">
        <v>858</v>
      </c>
      <c r="B859" s="50" t="s">
        <v>1824</v>
      </c>
      <c r="C859" s="51">
        <v>27</v>
      </c>
      <c r="D859" s="51" t="s">
        <v>34</v>
      </c>
      <c r="E859" s="43" t="s">
        <v>1811</v>
      </c>
      <c r="F859" s="44" t="s">
        <v>60</v>
      </c>
      <c r="G859" s="51">
        <v>327</v>
      </c>
      <c r="H859" s="43">
        <v>44215</v>
      </c>
      <c r="I859" s="42" t="s">
        <v>1816</v>
      </c>
      <c r="J859" s="43">
        <v>44216</v>
      </c>
      <c r="K859" s="42">
        <v>29.7</v>
      </c>
      <c r="L859" s="42">
        <v>26.8</v>
      </c>
      <c r="M859" s="48" t="s">
        <v>29</v>
      </c>
      <c r="N859" s="42" t="s">
        <v>1823</v>
      </c>
      <c r="O859" s="43">
        <v>44216</v>
      </c>
      <c r="P859" s="42">
        <v>37</v>
      </c>
      <c r="Q859" s="42">
        <v>28</v>
      </c>
      <c r="R859" s="46" t="s">
        <v>201</v>
      </c>
      <c r="S859" s="43">
        <v>44217</v>
      </c>
      <c r="T859" s="51">
        <f t="shared" si="34"/>
        <v>3</v>
      </c>
      <c r="U859" s="52" t="str">
        <f t="shared" si="35"/>
        <v>Inconclusivo</v>
      </c>
    </row>
    <row r="860" spans="1:21" ht="25.5" customHeight="1" x14ac:dyDescent="0.2">
      <c r="A860" s="51">
        <v>859</v>
      </c>
      <c r="B860" s="50" t="s">
        <v>1825</v>
      </c>
      <c r="C860" s="51">
        <v>25</v>
      </c>
      <c r="D860" s="51" t="s">
        <v>25</v>
      </c>
      <c r="E860" s="43">
        <v>44215</v>
      </c>
      <c r="F860" s="44" t="s">
        <v>60</v>
      </c>
      <c r="G860" s="51">
        <v>327</v>
      </c>
      <c r="H860" s="43">
        <v>44216</v>
      </c>
      <c r="I860" s="42" t="s">
        <v>1816</v>
      </c>
      <c r="J860" s="43">
        <v>44216</v>
      </c>
      <c r="K860" s="42">
        <v>29.7</v>
      </c>
      <c r="L860" s="42">
        <v>26.8</v>
      </c>
      <c r="M860" s="48" t="s">
        <v>29</v>
      </c>
      <c r="N860" s="42" t="s">
        <v>1823</v>
      </c>
      <c r="O860" s="43">
        <v>44216</v>
      </c>
      <c r="P860" s="42">
        <v>32.1</v>
      </c>
      <c r="Q860" s="42">
        <v>27.2</v>
      </c>
      <c r="R860" s="46" t="s">
        <v>29</v>
      </c>
      <c r="S860" s="43">
        <v>44217</v>
      </c>
      <c r="T860" s="51">
        <f t="shared" si="34"/>
        <v>3</v>
      </c>
      <c r="U860" s="52" t="str">
        <f t="shared" si="35"/>
        <v>Detectável</v>
      </c>
    </row>
    <row r="861" spans="1:21" ht="25.5" customHeight="1" x14ac:dyDescent="0.2">
      <c r="A861" s="51">
        <v>860</v>
      </c>
      <c r="B861" s="50" t="s">
        <v>1826</v>
      </c>
      <c r="C861" s="51">
        <v>25</v>
      </c>
      <c r="D861" s="51" t="s">
        <v>25</v>
      </c>
      <c r="E861" s="43">
        <v>44215</v>
      </c>
      <c r="F861" s="44" t="s">
        <v>60</v>
      </c>
      <c r="G861" s="51">
        <v>328</v>
      </c>
      <c r="H861" s="43">
        <v>44216</v>
      </c>
      <c r="I861" s="42" t="s">
        <v>1816</v>
      </c>
      <c r="J861" s="43">
        <v>44216</v>
      </c>
      <c r="K861" s="42">
        <v>15.1</v>
      </c>
      <c r="L861" s="42">
        <v>28.5</v>
      </c>
      <c r="M861" s="48" t="s">
        <v>29</v>
      </c>
      <c r="N861" s="42" t="s">
        <v>1823</v>
      </c>
      <c r="O861" s="43">
        <v>44216</v>
      </c>
      <c r="P861" s="42">
        <v>14</v>
      </c>
      <c r="Q861" s="42">
        <v>26.9</v>
      </c>
      <c r="R861" s="46" t="s">
        <v>29</v>
      </c>
      <c r="S861" s="43">
        <v>44217</v>
      </c>
      <c r="T861" s="51">
        <f t="shared" si="34"/>
        <v>3</v>
      </c>
      <c r="U861" s="52" t="str">
        <f t="shared" si="35"/>
        <v>Detectável</v>
      </c>
    </row>
    <row r="862" spans="1:21" ht="25.5" customHeight="1" x14ac:dyDescent="0.2">
      <c r="A862" s="51">
        <v>861</v>
      </c>
      <c r="B862" s="50" t="s">
        <v>1827</v>
      </c>
      <c r="C862" s="51">
        <v>39</v>
      </c>
      <c r="D862" s="51" t="s">
        <v>25</v>
      </c>
      <c r="E862" s="43">
        <v>44215</v>
      </c>
      <c r="F862" s="44" t="s">
        <v>60</v>
      </c>
      <c r="G862" s="51">
        <v>328</v>
      </c>
      <c r="H862" s="43">
        <v>44216</v>
      </c>
      <c r="I862" s="42" t="s">
        <v>1816</v>
      </c>
      <c r="J862" s="43">
        <v>44216</v>
      </c>
      <c r="K862" s="42">
        <v>15.1</v>
      </c>
      <c r="L862" s="42">
        <v>28.5</v>
      </c>
      <c r="M862" s="48" t="s">
        <v>29</v>
      </c>
      <c r="N862" s="42" t="s">
        <v>1823</v>
      </c>
      <c r="O862" s="43">
        <v>44216</v>
      </c>
      <c r="P862" s="42">
        <v>16.100000000000001</v>
      </c>
      <c r="Q862" s="42">
        <v>28.7</v>
      </c>
      <c r="R862" s="46" t="s">
        <v>29</v>
      </c>
      <c r="S862" s="43">
        <v>44217</v>
      </c>
      <c r="T862" s="51">
        <f t="shared" si="34"/>
        <v>3</v>
      </c>
      <c r="U862" s="52" t="str">
        <f t="shared" si="35"/>
        <v>Detectável</v>
      </c>
    </row>
    <row r="863" spans="1:21" ht="25.5" customHeight="1" x14ac:dyDescent="0.2">
      <c r="A863" s="51">
        <v>862</v>
      </c>
      <c r="B863" s="50" t="s">
        <v>1828</v>
      </c>
      <c r="C863" s="51">
        <v>30</v>
      </c>
      <c r="D863" s="51" t="s">
        <v>25</v>
      </c>
      <c r="E863" s="43">
        <v>44215</v>
      </c>
      <c r="F863" s="44" t="s">
        <v>60</v>
      </c>
      <c r="G863" s="51">
        <v>328</v>
      </c>
      <c r="H863" s="43">
        <v>44216</v>
      </c>
      <c r="I863" s="42" t="s">
        <v>1816</v>
      </c>
      <c r="J863" s="43">
        <v>44216</v>
      </c>
      <c r="K863" s="42">
        <v>15.1</v>
      </c>
      <c r="L863" s="42">
        <v>28.5</v>
      </c>
      <c r="M863" s="48" t="s">
        <v>29</v>
      </c>
      <c r="N863" s="42" t="s">
        <v>1823</v>
      </c>
      <c r="O863" s="43">
        <v>44216</v>
      </c>
      <c r="P863" s="42">
        <v>19.899999999999999</v>
      </c>
      <c r="Q863" s="42">
        <v>29.5</v>
      </c>
      <c r="R863" s="46" t="s">
        <v>29</v>
      </c>
      <c r="S863" s="43">
        <v>44217</v>
      </c>
      <c r="T863" s="51">
        <f t="shared" si="34"/>
        <v>3</v>
      </c>
      <c r="U863" s="52" t="str">
        <f t="shared" si="35"/>
        <v>Detectável</v>
      </c>
    </row>
    <row r="864" spans="1:21" ht="25.5" customHeight="1" x14ac:dyDescent="0.2">
      <c r="A864" s="51">
        <v>863</v>
      </c>
      <c r="B864" s="50" t="s">
        <v>1829</v>
      </c>
      <c r="C864" s="51">
        <v>56</v>
      </c>
      <c r="D864" s="51" t="s">
        <v>34</v>
      </c>
      <c r="E864" s="43">
        <v>44215</v>
      </c>
      <c r="F864" s="44" t="s">
        <v>60</v>
      </c>
      <c r="G864" s="51">
        <v>329</v>
      </c>
      <c r="H864" s="43">
        <v>44216</v>
      </c>
      <c r="I864" s="42" t="s">
        <v>1816</v>
      </c>
      <c r="J864" s="43">
        <v>44216</v>
      </c>
      <c r="K864" s="42">
        <v>23.8</v>
      </c>
      <c r="L864" s="42">
        <v>28.8</v>
      </c>
      <c r="M864" s="48" t="s">
        <v>29</v>
      </c>
      <c r="N864" s="42" t="s">
        <v>1823</v>
      </c>
      <c r="O864" s="43">
        <v>44216</v>
      </c>
      <c r="P864" s="42" t="s">
        <v>36</v>
      </c>
      <c r="Q864" s="42">
        <v>28.3</v>
      </c>
      <c r="R864" s="46" t="s">
        <v>31</v>
      </c>
      <c r="S864" s="43">
        <v>44217</v>
      </c>
      <c r="T864" s="51">
        <f t="shared" si="34"/>
        <v>3</v>
      </c>
      <c r="U864" s="52" t="str">
        <f t="shared" si="35"/>
        <v>Não Detectável</v>
      </c>
    </row>
    <row r="865" spans="1:21" ht="25.5" customHeight="1" x14ac:dyDescent="0.2">
      <c r="A865" s="51">
        <v>864</v>
      </c>
      <c r="B865" s="50" t="s">
        <v>1830</v>
      </c>
      <c r="C865" s="51">
        <v>28</v>
      </c>
      <c r="D865" s="51" t="s">
        <v>25</v>
      </c>
      <c r="E865" s="43">
        <v>44215</v>
      </c>
      <c r="F865" s="44" t="s">
        <v>60</v>
      </c>
      <c r="G865" s="51">
        <v>329</v>
      </c>
      <c r="H865" s="43">
        <v>44216</v>
      </c>
      <c r="I865" s="42" t="s">
        <v>1816</v>
      </c>
      <c r="J865" s="43">
        <v>44216</v>
      </c>
      <c r="K865" s="42">
        <v>23.8</v>
      </c>
      <c r="L865" s="42">
        <v>28.8</v>
      </c>
      <c r="M865" s="48" t="s">
        <v>29</v>
      </c>
      <c r="N865" s="42" t="s">
        <v>1823</v>
      </c>
      <c r="O865" s="43">
        <v>44216</v>
      </c>
      <c r="P865" s="42">
        <v>22.6</v>
      </c>
      <c r="Q865" s="42">
        <v>29.1</v>
      </c>
      <c r="R865" s="46" t="s">
        <v>29</v>
      </c>
      <c r="S865" s="43">
        <v>44217</v>
      </c>
      <c r="T865" s="51">
        <f t="shared" si="34"/>
        <v>3</v>
      </c>
      <c r="U865" s="52" t="str">
        <f t="shared" si="35"/>
        <v>Detectável</v>
      </c>
    </row>
    <row r="866" spans="1:21" ht="25.5" customHeight="1" x14ac:dyDescent="0.2">
      <c r="A866" s="51">
        <v>865</v>
      </c>
      <c r="B866" s="50" t="s">
        <v>1831</v>
      </c>
      <c r="C866" s="51">
        <v>36</v>
      </c>
      <c r="D866" s="51" t="s">
        <v>34</v>
      </c>
      <c r="E866" s="43">
        <v>44215</v>
      </c>
      <c r="F866" s="44" t="s">
        <v>60</v>
      </c>
      <c r="G866" s="51">
        <v>329</v>
      </c>
      <c r="H866" s="43">
        <v>44216</v>
      </c>
      <c r="I866" s="42" t="s">
        <v>1816</v>
      </c>
      <c r="J866" s="43">
        <v>44216</v>
      </c>
      <c r="K866" s="42">
        <v>23.8</v>
      </c>
      <c r="L866" s="42">
        <v>28.8</v>
      </c>
      <c r="M866" s="48" t="s">
        <v>29</v>
      </c>
      <c r="N866" s="42" t="s">
        <v>1823</v>
      </c>
      <c r="O866" s="43">
        <v>44216</v>
      </c>
      <c r="P866" s="42" t="s">
        <v>36</v>
      </c>
      <c r="Q866" s="42">
        <v>26.9</v>
      </c>
      <c r="R866" s="46" t="s">
        <v>31</v>
      </c>
      <c r="S866" s="43">
        <v>44217</v>
      </c>
      <c r="T866" s="51">
        <f t="shared" si="34"/>
        <v>3</v>
      </c>
      <c r="U866" s="52" t="str">
        <f t="shared" si="35"/>
        <v>Não Detectável</v>
      </c>
    </row>
    <row r="867" spans="1:21" ht="25.5" customHeight="1" x14ac:dyDescent="0.2">
      <c r="A867" s="51">
        <v>866</v>
      </c>
      <c r="B867" s="50" t="s">
        <v>1832</v>
      </c>
      <c r="C867" s="51">
        <v>34</v>
      </c>
      <c r="D867" s="51" t="s">
        <v>25</v>
      </c>
      <c r="E867" s="43">
        <v>44215</v>
      </c>
      <c r="F867" s="44" t="s">
        <v>60</v>
      </c>
      <c r="G867" s="51">
        <v>330</v>
      </c>
      <c r="H867" s="43">
        <v>44216</v>
      </c>
      <c r="I867" s="42" t="s">
        <v>1816</v>
      </c>
      <c r="J867" s="43">
        <v>44216</v>
      </c>
      <c r="K867" s="42">
        <v>23.7</v>
      </c>
      <c r="L867" s="42">
        <v>27.6</v>
      </c>
      <c r="M867" s="48" t="s">
        <v>29</v>
      </c>
      <c r="N867" s="42" t="s">
        <v>1823</v>
      </c>
      <c r="O867" s="43">
        <v>44216</v>
      </c>
      <c r="P867" s="42" t="s">
        <v>36</v>
      </c>
      <c r="Q867" s="42">
        <v>26.3</v>
      </c>
      <c r="R867" s="46" t="s">
        <v>31</v>
      </c>
      <c r="S867" s="43">
        <v>44217</v>
      </c>
      <c r="T867" s="51">
        <f t="shared" si="34"/>
        <v>3</v>
      </c>
      <c r="U867" s="52" t="str">
        <f t="shared" si="35"/>
        <v>Não Detectável</v>
      </c>
    </row>
    <row r="868" spans="1:21" ht="25.5" customHeight="1" x14ac:dyDescent="0.2">
      <c r="A868" s="51">
        <v>867</v>
      </c>
      <c r="B868" s="50" t="s">
        <v>1833</v>
      </c>
      <c r="C868" s="51">
        <v>26</v>
      </c>
      <c r="D868" s="51" t="s">
        <v>25</v>
      </c>
      <c r="E868" s="43">
        <v>44215</v>
      </c>
      <c r="F868" s="44" t="s">
        <v>60</v>
      </c>
      <c r="G868" s="51">
        <v>330</v>
      </c>
      <c r="H868" s="43">
        <v>44216</v>
      </c>
      <c r="I868" s="42" t="s">
        <v>1816</v>
      </c>
      <c r="J868" s="43">
        <v>44216</v>
      </c>
      <c r="K868" s="42">
        <v>23.7</v>
      </c>
      <c r="L868" s="42">
        <v>27.6</v>
      </c>
      <c r="M868" s="48" t="s">
        <v>29</v>
      </c>
      <c r="N868" s="42" t="s">
        <v>1823</v>
      </c>
      <c r="O868" s="43">
        <v>44216</v>
      </c>
      <c r="P868" s="42">
        <v>22</v>
      </c>
      <c r="Q868" s="42">
        <v>26.5</v>
      </c>
      <c r="R868" s="46" t="s">
        <v>29</v>
      </c>
      <c r="S868" s="43">
        <v>44217</v>
      </c>
      <c r="T868" s="51">
        <f t="shared" si="34"/>
        <v>3</v>
      </c>
      <c r="U868" s="52" t="str">
        <f t="shared" si="35"/>
        <v>Detectável</v>
      </c>
    </row>
    <row r="869" spans="1:21" ht="25.5" customHeight="1" x14ac:dyDescent="0.2">
      <c r="A869" s="51">
        <v>868</v>
      </c>
      <c r="B869" s="50" t="s">
        <v>1834</v>
      </c>
      <c r="C869" s="51">
        <v>22</v>
      </c>
      <c r="D869" s="51" t="s">
        <v>34</v>
      </c>
      <c r="E869" s="43">
        <v>44215</v>
      </c>
      <c r="F869" s="44" t="s">
        <v>60</v>
      </c>
      <c r="G869" s="51">
        <v>330</v>
      </c>
      <c r="H869" s="43">
        <v>44216</v>
      </c>
      <c r="I869" s="42" t="s">
        <v>1816</v>
      </c>
      <c r="J869" s="43">
        <v>44216</v>
      </c>
      <c r="K869" s="42">
        <v>23.7</v>
      </c>
      <c r="L869" s="42">
        <v>27.6</v>
      </c>
      <c r="M869" s="48" t="s">
        <v>29</v>
      </c>
      <c r="N869" s="42" t="s">
        <v>1823</v>
      </c>
      <c r="O869" s="43">
        <v>44216</v>
      </c>
      <c r="P869" s="42" t="s">
        <v>36</v>
      </c>
      <c r="Q869" s="42">
        <v>28.5</v>
      </c>
      <c r="R869" s="46" t="s">
        <v>31</v>
      </c>
      <c r="S869" s="43">
        <v>44217</v>
      </c>
      <c r="T869" s="51">
        <f t="shared" si="34"/>
        <v>3</v>
      </c>
      <c r="U869" s="52" t="str">
        <f t="shared" si="35"/>
        <v>Não Detectável</v>
      </c>
    </row>
    <row r="870" spans="1:21" ht="25.5" customHeight="1" x14ac:dyDescent="0.2">
      <c r="A870" s="51">
        <v>869</v>
      </c>
      <c r="B870" s="50" t="s">
        <v>1835</v>
      </c>
      <c r="C870" s="51">
        <v>25</v>
      </c>
      <c r="D870" s="51" t="s">
        <v>34</v>
      </c>
      <c r="E870" s="43">
        <v>44215</v>
      </c>
      <c r="F870" s="44" t="s">
        <v>60</v>
      </c>
      <c r="G870" s="51">
        <v>331</v>
      </c>
      <c r="H870" s="43">
        <v>44216</v>
      </c>
      <c r="I870" s="42" t="s">
        <v>1816</v>
      </c>
      <c r="J870" s="43">
        <v>44216</v>
      </c>
      <c r="K870" s="42" t="s">
        <v>36</v>
      </c>
      <c r="L870" s="42">
        <v>28.4</v>
      </c>
      <c r="M870" s="45" t="s">
        <v>31</v>
      </c>
      <c r="N870" s="42" t="s">
        <v>60</v>
      </c>
      <c r="O870" s="43" t="s">
        <v>60</v>
      </c>
      <c r="P870" s="42" t="s">
        <v>60</v>
      </c>
      <c r="Q870" s="42" t="s">
        <v>60</v>
      </c>
      <c r="R870" s="46" t="s">
        <v>60</v>
      </c>
      <c r="S870" s="43">
        <v>44216</v>
      </c>
      <c r="T870" s="51">
        <f t="shared" si="34"/>
        <v>3</v>
      </c>
      <c r="U870" s="52" t="str">
        <f t="shared" si="35"/>
        <v>Não Detectável</v>
      </c>
    </row>
    <row r="871" spans="1:21" ht="25.5" customHeight="1" x14ac:dyDescent="0.2">
      <c r="A871" s="51">
        <v>870</v>
      </c>
      <c r="B871" s="50" t="s">
        <v>1836</v>
      </c>
      <c r="C871" s="51">
        <v>27</v>
      </c>
      <c r="D871" s="51" t="s">
        <v>25</v>
      </c>
      <c r="E871" s="43">
        <v>44215</v>
      </c>
      <c r="F871" s="44" t="s">
        <v>60</v>
      </c>
      <c r="G871" s="51">
        <v>331</v>
      </c>
      <c r="H871" s="43">
        <v>44216</v>
      </c>
      <c r="I871" s="42" t="s">
        <v>1816</v>
      </c>
      <c r="J871" s="43">
        <v>44216</v>
      </c>
      <c r="K871" s="42" t="s">
        <v>36</v>
      </c>
      <c r="L871" s="42">
        <v>28.4</v>
      </c>
      <c r="M871" s="45" t="s">
        <v>31</v>
      </c>
      <c r="N871" s="42" t="s">
        <v>60</v>
      </c>
      <c r="O871" s="43" t="s">
        <v>60</v>
      </c>
      <c r="P871" s="42" t="s">
        <v>60</v>
      </c>
      <c r="Q871" s="42" t="s">
        <v>60</v>
      </c>
      <c r="R871" s="46" t="s">
        <v>60</v>
      </c>
      <c r="S871" s="43">
        <v>44216</v>
      </c>
      <c r="T871" s="51">
        <f t="shared" si="34"/>
        <v>3</v>
      </c>
      <c r="U871" s="52" t="str">
        <f t="shared" si="35"/>
        <v>Não Detectável</v>
      </c>
    </row>
    <row r="872" spans="1:21" ht="25.5" customHeight="1" x14ac:dyDescent="0.2">
      <c r="A872" s="51">
        <v>871</v>
      </c>
      <c r="B872" s="50" t="s">
        <v>1837</v>
      </c>
      <c r="C872" s="51">
        <v>40</v>
      </c>
      <c r="D872" s="51" t="s">
        <v>25</v>
      </c>
      <c r="E872" s="43">
        <v>44215</v>
      </c>
      <c r="F872" s="44" t="s">
        <v>60</v>
      </c>
      <c r="G872" s="51">
        <v>331</v>
      </c>
      <c r="H872" s="43">
        <v>44216</v>
      </c>
      <c r="I872" s="42" t="s">
        <v>1816</v>
      </c>
      <c r="J872" s="43">
        <v>44216</v>
      </c>
      <c r="K872" s="42" t="s">
        <v>36</v>
      </c>
      <c r="L872" s="42">
        <v>28.4</v>
      </c>
      <c r="M872" s="45" t="s">
        <v>31</v>
      </c>
      <c r="N872" s="42" t="s">
        <v>60</v>
      </c>
      <c r="O872" s="43" t="s">
        <v>60</v>
      </c>
      <c r="P872" s="42" t="s">
        <v>60</v>
      </c>
      <c r="Q872" s="42" t="s">
        <v>60</v>
      </c>
      <c r="R872" s="46" t="s">
        <v>60</v>
      </c>
      <c r="S872" s="43">
        <v>44216</v>
      </c>
      <c r="T872" s="51">
        <f t="shared" si="34"/>
        <v>3</v>
      </c>
      <c r="U872" s="52" t="str">
        <f t="shared" si="35"/>
        <v>Não Detectável</v>
      </c>
    </row>
    <row r="873" spans="1:21" ht="25.5" customHeight="1" x14ac:dyDescent="0.2">
      <c r="A873" s="51">
        <v>872</v>
      </c>
      <c r="B873" s="50" t="s">
        <v>1838</v>
      </c>
      <c r="C873" s="51">
        <v>42</v>
      </c>
      <c r="D873" s="51" t="s">
        <v>34</v>
      </c>
      <c r="E873" s="43">
        <v>44215</v>
      </c>
      <c r="F873" s="44" t="s">
        <v>60</v>
      </c>
      <c r="G873" s="51">
        <v>332</v>
      </c>
      <c r="H873" s="43">
        <v>44216</v>
      </c>
      <c r="I873" s="42" t="s">
        <v>1839</v>
      </c>
      <c r="J873" s="43">
        <v>44217</v>
      </c>
      <c r="K873" s="42">
        <v>36.200000000000003</v>
      </c>
      <c r="L873" s="42">
        <v>28.3</v>
      </c>
      <c r="M873" s="48" t="s">
        <v>29</v>
      </c>
      <c r="N873" s="42" t="s">
        <v>1840</v>
      </c>
      <c r="O873" s="43">
        <v>44217</v>
      </c>
      <c r="P873" s="42">
        <v>36.1</v>
      </c>
      <c r="Q873" s="42">
        <v>28.9</v>
      </c>
      <c r="R873" s="46" t="s">
        <v>29</v>
      </c>
      <c r="S873" s="43">
        <v>44218</v>
      </c>
      <c r="T873" s="51">
        <f t="shared" si="34"/>
        <v>3</v>
      </c>
      <c r="U873" s="52" t="str">
        <f t="shared" si="35"/>
        <v>Detectável</v>
      </c>
    </row>
    <row r="874" spans="1:21" ht="25.5" customHeight="1" x14ac:dyDescent="0.2">
      <c r="A874" s="51">
        <v>873</v>
      </c>
      <c r="B874" s="50" t="s">
        <v>1841</v>
      </c>
      <c r="C874" s="51">
        <v>30</v>
      </c>
      <c r="D874" s="51" t="s">
        <v>25</v>
      </c>
      <c r="E874" s="43">
        <v>44215</v>
      </c>
      <c r="F874" s="44" t="s">
        <v>60</v>
      </c>
      <c r="G874" s="51">
        <v>332</v>
      </c>
      <c r="H874" s="43">
        <v>44216</v>
      </c>
      <c r="I874" s="42" t="s">
        <v>1839</v>
      </c>
      <c r="J874" s="43">
        <v>44217</v>
      </c>
      <c r="K874" s="42">
        <v>36.200000000000003</v>
      </c>
      <c r="L874" s="42">
        <v>28.3</v>
      </c>
      <c r="M874" s="48" t="s">
        <v>29</v>
      </c>
      <c r="N874" s="42" t="s">
        <v>1840</v>
      </c>
      <c r="O874" s="43">
        <v>44217</v>
      </c>
      <c r="P874" s="42" t="s">
        <v>36</v>
      </c>
      <c r="Q874" s="42">
        <v>29.6</v>
      </c>
      <c r="R874" s="46" t="s">
        <v>31</v>
      </c>
      <c r="S874" s="43">
        <v>44218</v>
      </c>
      <c r="T874" s="51">
        <f t="shared" si="34"/>
        <v>3</v>
      </c>
      <c r="U874" s="52" t="str">
        <f t="shared" si="35"/>
        <v>Não Detectável</v>
      </c>
    </row>
    <row r="875" spans="1:21" ht="25.5" customHeight="1" x14ac:dyDescent="0.2">
      <c r="A875" s="51">
        <v>874</v>
      </c>
      <c r="B875" s="50" t="s">
        <v>1842</v>
      </c>
      <c r="C875" s="51">
        <v>30</v>
      </c>
      <c r="D875" s="51" t="s">
        <v>34</v>
      </c>
      <c r="E875" s="43" t="s">
        <v>1843</v>
      </c>
      <c r="F875" s="44" t="s">
        <v>60</v>
      </c>
      <c r="G875" s="51">
        <v>332</v>
      </c>
      <c r="H875" s="43">
        <v>44217</v>
      </c>
      <c r="I875" s="42" t="s">
        <v>1839</v>
      </c>
      <c r="J875" s="43">
        <v>44217</v>
      </c>
      <c r="K875" s="42">
        <v>36.200000000000003</v>
      </c>
      <c r="L875" s="42">
        <v>28.3</v>
      </c>
      <c r="M875" s="48" t="s">
        <v>29</v>
      </c>
      <c r="N875" s="42" t="s">
        <v>1840</v>
      </c>
      <c r="O875" s="43">
        <v>44217</v>
      </c>
      <c r="P875" s="42" t="s">
        <v>36</v>
      </c>
      <c r="Q875" s="42">
        <v>27.4</v>
      </c>
      <c r="R875" s="46" t="s">
        <v>31</v>
      </c>
      <c r="S875" s="43">
        <v>44218</v>
      </c>
      <c r="T875" s="51">
        <f t="shared" si="34"/>
        <v>3</v>
      </c>
      <c r="U875" s="52" t="str">
        <f t="shared" si="35"/>
        <v>Não Detectável</v>
      </c>
    </row>
    <row r="876" spans="1:21" ht="25.5" customHeight="1" x14ac:dyDescent="0.2">
      <c r="A876" s="51">
        <v>875</v>
      </c>
      <c r="B876" s="50" t="s">
        <v>1844</v>
      </c>
      <c r="C876" s="51">
        <v>35</v>
      </c>
      <c r="D876" s="51" t="s">
        <v>34</v>
      </c>
      <c r="E876" s="43" t="s">
        <v>1843</v>
      </c>
      <c r="F876" s="44" t="s">
        <v>60</v>
      </c>
      <c r="G876" s="51">
        <v>333</v>
      </c>
      <c r="H876" s="43">
        <v>44217</v>
      </c>
      <c r="I876" s="42" t="s">
        <v>1839</v>
      </c>
      <c r="J876" s="43">
        <v>44217</v>
      </c>
      <c r="K876" s="42">
        <v>15.5</v>
      </c>
      <c r="L876" s="42">
        <v>25.1</v>
      </c>
      <c r="M876" s="48" t="s">
        <v>29</v>
      </c>
      <c r="N876" s="42" t="s">
        <v>1840</v>
      </c>
      <c r="O876" s="43">
        <v>44217</v>
      </c>
      <c r="P876" s="42">
        <v>14.6</v>
      </c>
      <c r="Q876" s="42">
        <v>26</v>
      </c>
      <c r="R876" s="46" t="s">
        <v>29</v>
      </c>
      <c r="S876" s="43">
        <v>44218</v>
      </c>
      <c r="T876" s="51">
        <f t="shared" si="34"/>
        <v>3</v>
      </c>
      <c r="U876" s="52" t="str">
        <f t="shared" si="35"/>
        <v>Detectável</v>
      </c>
    </row>
    <row r="877" spans="1:21" ht="25.5" customHeight="1" x14ac:dyDescent="0.2">
      <c r="A877" s="51">
        <v>876</v>
      </c>
      <c r="B877" s="50" t="s">
        <v>1845</v>
      </c>
      <c r="C877" s="51">
        <v>54</v>
      </c>
      <c r="D877" s="51" t="s">
        <v>25</v>
      </c>
      <c r="E877" s="43" t="s">
        <v>1843</v>
      </c>
      <c r="F877" s="44" t="s">
        <v>60</v>
      </c>
      <c r="G877" s="51">
        <v>333</v>
      </c>
      <c r="H877" s="43">
        <v>44217</v>
      </c>
      <c r="I877" s="42" t="s">
        <v>1839</v>
      </c>
      <c r="J877" s="43">
        <v>44217</v>
      </c>
      <c r="K877" s="42">
        <v>15.5</v>
      </c>
      <c r="L877" s="42">
        <v>25.1</v>
      </c>
      <c r="M877" s="48" t="s">
        <v>29</v>
      </c>
      <c r="N877" s="42" t="s">
        <v>1840</v>
      </c>
      <c r="O877" s="43">
        <v>44217</v>
      </c>
      <c r="P877" s="42">
        <v>37.4</v>
      </c>
      <c r="Q877" s="42">
        <v>26.4</v>
      </c>
      <c r="R877" s="46" t="s">
        <v>201</v>
      </c>
      <c r="S877" s="43">
        <v>44218</v>
      </c>
      <c r="T877" s="51">
        <f t="shared" si="34"/>
        <v>3</v>
      </c>
      <c r="U877" s="52" t="str">
        <f t="shared" si="35"/>
        <v>Inconclusivo</v>
      </c>
    </row>
    <row r="878" spans="1:21" ht="25.5" customHeight="1" x14ac:dyDescent="0.2">
      <c r="A878" s="51">
        <v>877</v>
      </c>
      <c r="B878" s="50" t="s">
        <v>1846</v>
      </c>
      <c r="C878" s="51">
        <v>48</v>
      </c>
      <c r="D878" s="51" t="s">
        <v>25</v>
      </c>
      <c r="E878" s="43" t="s">
        <v>1843</v>
      </c>
      <c r="F878" s="44" t="s">
        <v>60</v>
      </c>
      <c r="G878" s="51">
        <v>333</v>
      </c>
      <c r="H878" s="43">
        <v>44217</v>
      </c>
      <c r="I878" s="42" t="s">
        <v>1839</v>
      </c>
      <c r="J878" s="43">
        <v>44217</v>
      </c>
      <c r="K878" s="42">
        <v>15.5</v>
      </c>
      <c r="L878" s="42">
        <v>25.1</v>
      </c>
      <c r="M878" s="48" t="s">
        <v>29</v>
      </c>
      <c r="N878" s="42" t="s">
        <v>1840</v>
      </c>
      <c r="O878" s="43">
        <v>44217</v>
      </c>
      <c r="P878" s="42" t="s">
        <v>36</v>
      </c>
      <c r="Q878" s="42">
        <v>28</v>
      </c>
      <c r="R878" s="46" t="s">
        <v>31</v>
      </c>
      <c r="S878" s="43">
        <v>44218</v>
      </c>
      <c r="T878" s="51">
        <f t="shared" si="34"/>
        <v>3</v>
      </c>
      <c r="U878" s="52" t="str">
        <f t="shared" si="35"/>
        <v>Não Detectável</v>
      </c>
    </row>
    <row r="879" spans="1:21" ht="25.5" customHeight="1" x14ac:dyDescent="0.2">
      <c r="A879" s="51">
        <v>878</v>
      </c>
      <c r="B879" s="50" t="s">
        <v>1847</v>
      </c>
      <c r="C879" s="51">
        <v>51</v>
      </c>
      <c r="D879" s="51" t="s">
        <v>25</v>
      </c>
      <c r="E879" s="43" t="s">
        <v>1843</v>
      </c>
      <c r="F879" s="44" t="s">
        <v>60</v>
      </c>
      <c r="G879" s="51">
        <v>334</v>
      </c>
      <c r="H879" s="43">
        <v>44217</v>
      </c>
      <c r="I879" s="42" t="s">
        <v>1839</v>
      </c>
      <c r="J879" s="43">
        <v>44217</v>
      </c>
      <c r="K879" s="42">
        <v>22.3</v>
      </c>
      <c r="L879" s="42">
        <v>28.2</v>
      </c>
      <c r="M879" s="48" t="s">
        <v>29</v>
      </c>
      <c r="N879" s="42" t="s">
        <v>1840</v>
      </c>
      <c r="O879" s="43">
        <v>44217</v>
      </c>
      <c r="P879" s="42">
        <v>36.700000000000003</v>
      </c>
      <c r="Q879" s="42">
        <v>27.9</v>
      </c>
      <c r="R879" s="46" t="s">
        <v>201</v>
      </c>
      <c r="S879" s="43">
        <v>44218</v>
      </c>
      <c r="T879" s="51">
        <f t="shared" si="34"/>
        <v>3</v>
      </c>
      <c r="U879" s="52" t="str">
        <f t="shared" si="35"/>
        <v>Inconclusivo</v>
      </c>
    </row>
    <row r="880" spans="1:21" ht="25.5" customHeight="1" x14ac:dyDescent="0.2">
      <c r="A880" s="51">
        <v>879</v>
      </c>
      <c r="B880" s="50" t="s">
        <v>1848</v>
      </c>
      <c r="C880" s="51">
        <v>54</v>
      </c>
      <c r="D880" s="51" t="s">
        <v>34</v>
      </c>
      <c r="E880" s="43" t="s">
        <v>1843</v>
      </c>
      <c r="F880" s="44" t="s">
        <v>60</v>
      </c>
      <c r="G880" s="51">
        <v>334</v>
      </c>
      <c r="H880" s="43">
        <v>44217</v>
      </c>
      <c r="I880" s="42" t="s">
        <v>1839</v>
      </c>
      <c r="J880" s="43">
        <v>44217</v>
      </c>
      <c r="K880" s="42">
        <v>22.3</v>
      </c>
      <c r="L880" s="42">
        <v>28.2</v>
      </c>
      <c r="M880" s="48" t="s">
        <v>29</v>
      </c>
      <c r="N880" s="42" t="s">
        <v>1840</v>
      </c>
      <c r="O880" s="43">
        <v>44217</v>
      </c>
      <c r="P880" s="42" t="s">
        <v>36</v>
      </c>
      <c r="Q880" s="42">
        <v>27</v>
      </c>
      <c r="R880" s="46" t="s">
        <v>31</v>
      </c>
      <c r="S880" s="43">
        <v>44218</v>
      </c>
      <c r="T880" s="51">
        <f t="shared" si="34"/>
        <v>3</v>
      </c>
      <c r="U880" s="52" t="str">
        <f t="shared" si="35"/>
        <v>Não Detectável</v>
      </c>
    </row>
    <row r="881" spans="1:21" ht="25.5" customHeight="1" x14ac:dyDescent="0.2">
      <c r="A881" s="51">
        <v>880</v>
      </c>
      <c r="B881" s="50" t="s">
        <v>1849</v>
      </c>
      <c r="C881" s="51">
        <v>65</v>
      </c>
      <c r="D881" s="51" t="s">
        <v>34</v>
      </c>
      <c r="E881" s="43" t="s">
        <v>1843</v>
      </c>
      <c r="F881" s="44" t="s">
        <v>60</v>
      </c>
      <c r="G881" s="51">
        <v>334</v>
      </c>
      <c r="H881" s="43">
        <v>44217</v>
      </c>
      <c r="I881" s="42" t="s">
        <v>1839</v>
      </c>
      <c r="J881" s="43">
        <v>44217</v>
      </c>
      <c r="K881" s="42">
        <v>22.3</v>
      </c>
      <c r="L881" s="42">
        <v>28.2</v>
      </c>
      <c r="M881" s="48" t="s">
        <v>29</v>
      </c>
      <c r="N881" s="42" t="s">
        <v>1840</v>
      </c>
      <c r="O881" s="43">
        <v>44217</v>
      </c>
      <c r="P881" s="42">
        <v>19.399999999999999</v>
      </c>
      <c r="Q881" s="42">
        <v>27.1</v>
      </c>
      <c r="R881" s="46" t="s">
        <v>29</v>
      </c>
      <c r="S881" s="43">
        <v>44218</v>
      </c>
      <c r="T881" s="51">
        <f t="shared" si="34"/>
        <v>3</v>
      </c>
      <c r="U881" s="52" t="str">
        <f t="shared" si="35"/>
        <v>Detectável</v>
      </c>
    </row>
    <row r="882" spans="1:21" ht="25.5" customHeight="1" x14ac:dyDescent="0.2">
      <c r="A882" s="51">
        <v>881</v>
      </c>
      <c r="B882" s="50" t="s">
        <v>1850</v>
      </c>
      <c r="C882" s="51">
        <v>46</v>
      </c>
      <c r="D882" s="51" t="s">
        <v>34</v>
      </c>
      <c r="E882" s="43" t="s">
        <v>1843</v>
      </c>
      <c r="F882" s="44" t="s">
        <v>60</v>
      </c>
      <c r="G882" s="51">
        <v>335</v>
      </c>
      <c r="H882" s="43">
        <v>44217</v>
      </c>
      <c r="I882" s="42" t="s">
        <v>1839</v>
      </c>
      <c r="J882" s="43">
        <v>44217</v>
      </c>
      <c r="K882" s="42" t="s">
        <v>36</v>
      </c>
      <c r="L882" s="42">
        <v>26.4</v>
      </c>
      <c r="M882" s="45" t="s">
        <v>31</v>
      </c>
      <c r="N882" s="42" t="s">
        <v>60</v>
      </c>
      <c r="O882" s="43" t="s">
        <v>60</v>
      </c>
      <c r="P882" s="42" t="s">
        <v>60</v>
      </c>
      <c r="Q882" s="42" t="s">
        <v>60</v>
      </c>
      <c r="R882" s="46" t="s">
        <v>60</v>
      </c>
      <c r="S882" s="43">
        <v>44217</v>
      </c>
      <c r="T882" s="51">
        <f t="shared" si="34"/>
        <v>3</v>
      </c>
      <c r="U882" s="52" t="str">
        <f t="shared" si="35"/>
        <v>Não Detectável</v>
      </c>
    </row>
    <row r="883" spans="1:21" ht="25.5" customHeight="1" x14ac:dyDescent="0.2">
      <c r="A883" s="51">
        <v>882</v>
      </c>
      <c r="B883" s="50" t="s">
        <v>1851</v>
      </c>
      <c r="C883" s="51">
        <v>26</v>
      </c>
      <c r="D883" s="51" t="s">
        <v>25</v>
      </c>
      <c r="E883" s="43" t="s">
        <v>1843</v>
      </c>
      <c r="F883" s="44" t="s">
        <v>60</v>
      </c>
      <c r="G883" s="51">
        <v>335</v>
      </c>
      <c r="H883" s="43">
        <v>44217</v>
      </c>
      <c r="I883" s="42" t="s">
        <v>1839</v>
      </c>
      <c r="J883" s="43">
        <v>44217</v>
      </c>
      <c r="K883" s="42" t="s">
        <v>36</v>
      </c>
      <c r="L883" s="42">
        <v>26.4</v>
      </c>
      <c r="M883" s="45" t="s">
        <v>31</v>
      </c>
      <c r="N883" s="42" t="s">
        <v>60</v>
      </c>
      <c r="O883" s="43" t="s">
        <v>60</v>
      </c>
      <c r="P883" s="42" t="s">
        <v>60</v>
      </c>
      <c r="Q883" s="42" t="s">
        <v>60</v>
      </c>
      <c r="R883" s="46" t="s">
        <v>60</v>
      </c>
      <c r="S883" s="43">
        <v>44217</v>
      </c>
      <c r="T883" s="51">
        <f t="shared" si="34"/>
        <v>3</v>
      </c>
      <c r="U883" s="52" t="str">
        <f t="shared" si="35"/>
        <v>Não Detectável</v>
      </c>
    </row>
    <row r="884" spans="1:21" ht="25.5" customHeight="1" x14ac:dyDescent="0.2">
      <c r="A884" s="51">
        <v>883</v>
      </c>
      <c r="B884" s="50" t="s">
        <v>1852</v>
      </c>
      <c r="C884" s="51">
        <v>31</v>
      </c>
      <c r="D884" s="51" t="s">
        <v>34</v>
      </c>
      <c r="E884" s="43" t="s">
        <v>1843</v>
      </c>
      <c r="F884" s="44" t="s">
        <v>60</v>
      </c>
      <c r="G884" s="51">
        <v>335</v>
      </c>
      <c r="H884" s="43">
        <v>44217</v>
      </c>
      <c r="I884" s="42" t="s">
        <v>1839</v>
      </c>
      <c r="J884" s="43">
        <v>44217</v>
      </c>
      <c r="K884" s="42" t="s">
        <v>36</v>
      </c>
      <c r="L884" s="42">
        <v>26.4</v>
      </c>
      <c r="M884" s="45" t="s">
        <v>31</v>
      </c>
      <c r="N884" s="42" t="s">
        <v>60</v>
      </c>
      <c r="O884" s="43" t="s">
        <v>60</v>
      </c>
      <c r="P884" s="42" t="s">
        <v>60</v>
      </c>
      <c r="Q884" s="42" t="s">
        <v>60</v>
      </c>
      <c r="R884" s="46" t="s">
        <v>60</v>
      </c>
      <c r="S884" s="43">
        <v>44217</v>
      </c>
      <c r="T884" s="51">
        <f t="shared" si="34"/>
        <v>3</v>
      </c>
      <c r="U884" s="52" t="str">
        <f t="shared" si="35"/>
        <v>Não Detectável</v>
      </c>
    </row>
    <row r="885" spans="1:21" ht="25.5" customHeight="1" x14ac:dyDescent="0.2">
      <c r="A885" s="51">
        <v>884</v>
      </c>
      <c r="B885" s="50" t="s">
        <v>1853</v>
      </c>
      <c r="C885" s="51">
        <v>31</v>
      </c>
      <c r="D885" s="51" t="s">
        <v>34</v>
      </c>
      <c r="E885" s="43" t="s">
        <v>1843</v>
      </c>
      <c r="F885" s="44" t="s">
        <v>60</v>
      </c>
      <c r="G885" s="51">
        <v>336</v>
      </c>
      <c r="H885" s="43">
        <v>44217</v>
      </c>
      <c r="I885" s="42" t="s">
        <v>1839</v>
      </c>
      <c r="J885" s="43">
        <v>44217</v>
      </c>
      <c r="K885" s="42" t="s">
        <v>36</v>
      </c>
      <c r="L885" s="42">
        <v>26.9</v>
      </c>
      <c r="M885" s="45" t="s">
        <v>31</v>
      </c>
      <c r="N885" s="42" t="s">
        <v>60</v>
      </c>
      <c r="O885" s="43" t="s">
        <v>60</v>
      </c>
      <c r="P885" s="42" t="s">
        <v>60</v>
      </c>
      <c r="Q885" s="42" t="s">
        <v>60</v>
      </c>
      <c r="R885" s="46" t="s">
        <v>60</v>
      </c>
      <c r="S885" s="43">
        <v>44217</v>
      </c>
      <c r="T885" s="51">
        <f t="shared" ref="T885:T948" si="36">COUNTIF(G:G,G885)</f>
        <v>3</v>
      </c>
      <c r="U885" s="52" t="str">
        <f t="shared" ref="U885:U941" si="37">IF(M885="Não Detectável","Não Detectável",IF(R885="","",R885))</f>
        <v>Não Detectável</v>
      </c>
    </row>
    <row r="886" spans="1:21" ht="25.5" customHeight="1" x14ac:dyDescent="0.2">
      <c r="A886" s="51">
        <v>885</v>
      </c>
      <c r="B886" s="50" t="s">
        <v>1854</v>
      </c>
      <c r="C886" s="51">
        <v>56</v>
      </c>
      <c r="D886" s="51" t="s">
        <v>25</v>
      </c>
      <c r="E886" s="43" t="s">
        <v>1843</v>
      </c>
      <c r="F886" s="44" t="s">
        <v>60</v>
      </c>
      <c r="G886" s="51">
        <v>336</v>
      </c>
      <c r="H886" s="43">
        <v>44217</v>
      </c>
      <c r="I886" s="42" t="s">
        <v>1839</v>
      </c>
      <c r="J886" s="43">
        <v>44217</v>
      </c>
      <c r="K886" s="42" t="s">
        <v>36</v>
      </c>
      <c r="L886" s="42">
        <v>26.9</v>
      </c>
      <c r="M886" s="45" t="s">
        <v>31</v>
      </c>
      <c r="N886" s="42" t="s">
        <v>60</v>
      </c>
      <c r="O886" s="43" t="s">
        <v>60</v>
      </c>
      <c r="P886" s="42" t="s">
        <v>60</v>
      </c>
      <c r="Q886" s="42" t="s">
        <v>60</v>
      </c>
      <c r="R886" s="46" t="s">
        <v>60</v>
      </c>
      <c r="S886" s="43">
        <v>44217</v>
      </c>
      <c r="T886" s="51">
        <f t="shared" si="36"/>
        <v>3</v>
      </c>
      <c r="U886" s="52" t="str">
        <f t="shared" si="37"/>
        <v>Não Detectável</v>
      </c>
    </row>
    <row r="887" spans="1:21" ht="25.5" customHeight="1" x14ac:dyDescent="0.2">
      <c r="A887" s="51">
        <v>886</v>
      </c>
      <c r="B887" s="50" t="s">
        <v>1855</v>
      </c>
      <c r="C887" s="51">
        <v>22</v>
      </c>
      <c r="D887" s="51" t="s">
        <v>25</v>
      </c>
      <c r="E887" s="43" t="s">
        <v>1843</v>
      </c>
      <c r="F887" s="44" t="s">
        <v>60</v>
      </c>
      <c r="G887" s="51">
        <v>336</v>
      </c>
      <c r="H887" s="43">
        <v>44217</v>
      </c>
      <c r="I887" s="42" t="s">
        <v>1839</v>
      </c>
      <c r="J887" s="43">
        <v>44217</v>
      </c>
      <c r="K887" s="42" t="s">
        <v>36</v>
      </c>
      <c r="L887" s="42">
        <v>26.9</v>
      </c>
      <c r="M887" s="45" t="s">
        <v>31</v>
      </c>
      <c r="N887" s="42" t="s">
        <v>60</v>
      </c>
      <c r="O887" s="43" t="s">
        <v>60</v>
      </c>
      <c r="P887" s="42" t="s">
        <v>60</v>
      </c>
      <c r="Q887" s="42" t="s">
        <v>60</v>
      </c>
      <c r="R887" s="46" t="s">
        <v>60</v>
      </c>
      <c r="S887" s="43">
        <v>44217</v>
      </c>
      <c r="T887" s="51">
        <f t="shared" si="36"/>
        <v>3</v>
      </c>
      <c r="U887" s="52" t="str">
        <f t="shared" si="37"/>
        <v>Não Detectável</v>
      </c>
    </row>
    <row r="888" spans="1:21" ht="25.5" customHeight="1" x14ac:dyDescent="0.2">
      <c r="A888" s="51">
        <v>887</v>
      </c>
      <c r="B888" s="50" t="s">
        <v>1856</v>
      </c>
      <c r="C888" s="51">
        <v>23</v>
      </c>
      <c r="D888" s="51" t="s">
        <v>34</v>
      </c>
      <c r="E888" s="43" t="s">
        <v>1843</v>
      </c>
      <c r="F888" s="44" t="s">
        <v>60</v>
      </c>
      <c r="G888" s="51">
        <v>337</v>
      </c>
      <c r="H888" s="43">
        <v>44217</v>
      </c>
      <c r="I888" s="42" t="s">
        <v>1839</v>
      </c>
      <c r="J888" s="43">
        <v>44217</v>
      </c>
      <c r="K888" s="42" t="s">
        <v>36</v>
      </c>
      <c r="L888" s="42">
        <v>26.9</v>
      </c>
      <c r="M888" s="45" t="s">
        <v>31</v>
      </c>
      <c r="N888" s="42" t="s">
        <v>60</v>
      </c>
      <c r="O888" s="43" t="s">
        <v>60</v>
      </c>
      <c r="P888" s="42" t="s">
        <v>60</v>
      </c>
      <c r="Q888" s="42" t="s">
        <v>60</v>
      </c>
      <c r="R888" s="46" t="s">
        <v>60</v>
      </c>
      <c r="S888" s="43">
        <v>44217</v>
      </c>
      <c r="T888" s="51">
        <f t="shared" si="36"/>
        <v>3</v>
      </c>
      <c r="U888" s="52" t="str">
        <f t="shared" si="37"/>
        <v>Não Detectável</v>
      </c>
    </row>
    <row r="889" spans="1:21" ht="25.5" customHeight="1" x14ac:dyDescent="0.2">
      <c r="A889" s="51">
        <v>888</v>
      </c>
      <c r="B889" s="50" t="s">
        <v>1857</v>
      </c>
      <c r="C889" s="51">
        <v>28</v>
      </c>
      <c r="D889" s="51" t="s">
        <v>25</v>
      </c>
      <c r="E889" s="43" t="s">
        <v>1843</v>
      </c>
      <c r="F889" s="44" t="s">
        <v>60</v>
      </c>
      <c r="G889" s="51">
        <v>337</v>
      </c>
      <c r="H889" s="43">
        <v>44217</v>
      </c>
      <c r="I889" s="42" t="s">
        <v>1839</v>
      </c>
      <c r="J889" s="43">
        <v>44217</v>
      </c>
      <c r="K889" s="42" t="s">
        <v>36</v>
      </c>
      <c r="L889" s="42">
        <v>26.9</v>
      </c>
      <c r="M889" s="45" t="s">
        <v>31</v>
      </c>
      <c r="N889" s="42" t="s">
        <v>60</v>
      </c>
      <c r="O889" s="43" t="s">
        <v>60</v>
      </c>
      <c r="P889" s="42" t="s">
        <v>60</v>
      </c>
      <c r="Q889" s="42" t="s">
        <v>60</v>
      </c>
      <c r="R889" s="46" t="s">
        <v>60</v>
      </c>
      <c r="S889" s="43">
        <v>44217</v>
      </c>
      <c r="T889" s="51">
        <f t="shared" si="36"/>
        <v>3</v>
      </c>
      <c r="U889" s="52" t="str">
        <f t="shared" si="37"/>
        <v>Não Detectável</v>
      </c>
    </row>
    <row r="890" spans="1:21" ht="25.5" customHeight="1" x14ac:dyDescent="0.2">
      <c r="A890" s="51">
        <v>889</v>
      </c>
      <c r="B890" s="50" t="s">
        <v>1858</v>
      </c>
      <c r="C890" s="51">
        <v>23</v>
      </c>
      <c r="D890" s="51" t="s">
        <v>25</v>
      </c>
      <c r="E890" s="43" t="s">
        <v>1843</v>
      </c>
      <c r="F890" s="44" t="s">
        <v>60</v>
      </c>
      <c r="G890" s="51">
        <v>337</v>
      </c>
      <c r="H890" s="43">
        <v>44217</v>
      </c>
      <c r="I890" s="42" t="s">
        <v>1839</v>
      </c>
      <c r="J890" s="43">
        <v>44217</v>
      </c>
      <c r="K890" s="42" t="s">
        <v>36</v>
      </c>
      <c r="L890" s="42">
        <v>26.9</v>
      </c>
      <c r="M890" s="45" t="s">
        <v>31</v>
      </c>
      <c r="N890" s="42" t="s">
        <v>60</v>
      </c>
      <c r="O890" s="43" t="s">
        <v>60</v>
      </c>
      <c r="P890" s="42" t="s">
        <v>60</v>
      </c>
      <c r="Q890" s="42" t="s">
        <v>60</v>
      </c>
      <c r="R890" s="46" t="s">
        <v>60</v>
      </c>
      <c r="S890" s="43">
        <v>44217</v>
      </c>
      <c r="T890" s="51">
        <f t="shared" si="36"/>
        <v>3</v>
      </c>
      <c r="U890" s="52" t="str">
        <f t="shared" si="37"/>
        <v>Não Detectável</v>
      </c>
    </row>
    <row r="891" spans="1:21" ht="25.5" customHeight="1" x14ac:dyDescent="0.2">
      <c r="A891" s="51">
        <v>890</v>
      </c>
      <c r="B891" s="50" t="s">
        <v>1859</v>
      </c>
      <c r="C891" s="51">
        <v>36</v>
      </c>
      <c r="D891" s="51" t="s">
        <v>34</v>
      </c>
      <c r="E891" s="43" t="s">
        <v>1843</v>
      </c>
      <c r="F891" s="44" t="s">
        <v>60</v>
      </c>
      <c r="G891" s="51">
        <v>338</v>
      </c>
      <c r="H891" s="43">
        <v>44217</v>
      </c>
      <c r="I891" s="42" t="s">
        <v>1839</v>
      </c>
      <c r="J891" s="43">
        <v>44217</v>
      </c>
      <c r="K891" s="42">
        <v>26.7</v>
      </c>
      <c r="L891" s="42">
        <v>27.4</v>
      </c>
      <c r="M891" s="48" t="s">
        <v>29</v>
      </c>
      <c r="N891" s="42" t="s">
        <v>1840</v>
      </c>
      <c r="O891" s="43">
        <v>44217</v>
      </c>
      <c r="P891" s="42" t="s">
        <v>36</v>
      </c>
      <c r="Q891" s="42">
        <v>27.1</v>
      </c>
      <c r="R891" s="46" t="s">
        <v>31</v>
      </c>
      <c r="S891" s="43">
        <v>44218</v>
      </c>
      <c r="T891" s="51">
        <f t="shared" si="36"/>
        <v>3</v>
      </c>
      <c r="U891" s="52" t="str">
        <f t="shared" si="37"/>
        <v>Não Detectável</v>
      </c>
    </row>
    <row r="892" spans="1:21" ht="25.5" customHeight="1" x14ac:dyDescent="0.2">
      <c r="A892" s="51">
        <v>891</v>
      </c>
      <c r="B892" s="50" t="s">
        <v>1860</v>
      </c>
      <c r="C892" s="51">
        <v>39</v>
      </c>
      <c r="D892" s="51" t="s">
        <v>25</v>
      </c>
      <c r="E892" s="43" t="s">
        <v>1843</v>
      </c>
      <c r="F892" s="44" t="s">
        <v>60</v>
      </c>
      <c r="G892" s="51">
        <v>338</v>
      </c>
      <c r="H892" s="43">
        <v>44217</v>
      </c>
      <c r="I892" s="42" t="s">
        <v>1839</v>
      </c>
      <c r="J892" s="43">
        <v>44217</v>
      </c>
      <c r="K892" s="42">
        <v>26.7</v>
      </c>
      <c r="L892" s="42">
        <v>27.4</v>
      </c>
      <c r="M892" s="48" t="s">
        <v>29</v>
      </c>
      <c r="N892" s="42" t="s">
        <v>1840</v>
      </c>
      <c r="O892" s="43">
        <v>44217</v>
      </c>
      <c r="P892" s="42" t="s">
        <v>36</v>
      </c>
      <c r="Q892" s="42">
        <v>29.3</v>
      </c>
      <c r="R892" s="46" t="s">
        <v>31</v>
      </c>
      <c r="S892" s="43">
        <v>44218</v>
      </c>
      <c r="T892" s="51">
        <f t="shared" si="36"/>
        <v>3</v>
      </c>
      <c r="U892" s="52" t="str">
        <f t="shared" si="37"/>
        <v>Não Detectável</v>
      </c>
    </row>
    <row r="893" spans="1:21" ht="25.5" customHeight="1" x14ac:dyDescent="0.2">
      <c r="A893" s="51">
        <v>892</v>
      </c>
      <c r="B893" s="50" t="s">
        <v>1861</v>
      </c>
      <c r="C893" s="51">
        <v>31</v>
      </c>
      <c r="D893" s="51" t="s">
        <v>34</v>
      </c>
      <c r="E893" s="43" t="s">
        <v>1843</v>
      </c>
      <c r="F893" s="44" t="s">
        <v>60</v>
      </c>
      <c r="G893" s="51">
        <v>338</v>
      </c>
      <c r="H893" s="43">
        <v>44217</v>
      </c>
      <c r="I893" s="42" t="s">
        <v>1839</v>
      </c>
      <c r="J893" s="43">
        <v>44217</v>
      </c>
      <c r="K893" s="42">
        <v>26.7</v>
      </c>
      <c r="L893" s="42">
        <v>27.4</v>
      </c>
      <c r="M893" s="48" t="s">
        <v>29</v>
      </c>
      <c r="N893" s="42" t="s">
        <v>1840</v>
      </c>
      <c r="O893" s="43">
        <v>44217</v>
      </c>
      <c r="P893" s="42">
        <v>25.5</v>
      </c>
      <c r="Q893" s="42">
        <v>26.6</v>
      </c>
      <c r="R893" s="46" t="s">
        <v>29</v>
      </c>
      <c r="S893" s="43">
        <v>44218</v>
      </c>
      <c r="T893" s="51">
        <f t="shared" si="36"/>
        <v>3</v>
      </c>
      <c r="U893" s="52" t="str">
        <f t="shared" si="37"/>
        <v>Detectável</v>
      </c>
    </row>
    <row r="894" spans="1:21" ht="25.5" customHeight="1" x14ac:dyDescent="0.2">
      <c r="A894" s="51">
        <v>893</v>
      </c>
      <c r="B894" s="50" t="s">
        <v>1862</v>
      </c>
      <c r="C894" s="51">
        <v>28</v>
      </c>
      <c r="D894" s="51" t="s">
        <v>34</v>
      </c>
      <c r="E894" s="43">
        <v>44217</v>
      </c>
      <c r="F894" s="44" t="s">
        <v>60</v>
      </c>
      <c r="G894" s="51">
        <v>339</v>
      </c>
      <c r="H894" s="43">
        <v>44218</v>
      </c>
      <c r="I894" s="42" t="s">
        <v>1863</v>
      </c>
      <c r="J894" s="43">
        <v>44218</v>
      </c>
      <c r="K894" s="42">
        <v>27.9</v>
      </c>
      <c r="L894" s="42">
        <v>28.4</v>
      </c>
      <c r="M894" s="48" t="s">
        <v>29</v>
      </c>
      <c r="N894" s="42" t="s">
        <v>1864</v>
      </c>
      <c r="O894" s="43">
        <v>44221</v>
      </c>
      <c r="P894" s="42">
        <v>37.700000000000003</v>
      </c>
      <c r="Q894" s="42">
        <v>29.5</v>
      </c>
      <c r="R894" s="46" t="s">
        <v>201</v>
      </c>
      <c r="S894" s="43">
        <v>44221</v>
      </c>
      <c r="T894" s="51">
        <f t="shared" si="36"/>
        <v>3</v>
      </c>
      <c r="U894" s="52" t="str">
        <f t="shared" si="37"/>
        <v>Inconclusivo</v>
      </c>
    </row>
    <row r="895" spans="1:21" ht="25.5" customHeight="1" x14ac:dyDescent="0.2">
      <c r="A895" s="51">
        <v>894</v>
      </c>
      <c r="B895" s="50" t="s">
        <v>1865</v>
      </c>
      <c r="C895" s="51">
        <v>49</v>
      </c>
      <c r="D895" s="51" t="s">
        <v>34</v>
      </c>
      <c r="E895" s="43">
        <v>44217</v>
      </c>
      <c r="F895" s="44" t="s">
        <v>60</v>
      </c>
      <c r="G895" s="51">
        <v>339</v>
      </c>
      <c r="H895" s="43">
        <v>44218</v>
      </c>
      <c r="I895" s="42" t="s">
        <v>1863</v>
      </c>
      <c r="J895" s="43">
        <v>44218</v>
      </c>
      <c r="K895" s="42">
        <v>27.9</v>
      </c>
      <c r="L895" s="42">
        <v>28.4</v>
      </c>
      <c r="M895" s="48" t="s">
        <v>29</v>
      </c>
      <c r="N895" s="42" t="s">
        <v>1864</v>
      </c>
      <c r="O895" s="43">
        <v>44221</v>
      </c>
      <c r="P895" s="42">
        <v>26.5</v>
      </c>
      <c r="Q895" s="42">
        <v>29.4</v>
      </c>
      <c r="R895" s="46" t="s">
        <v>29</v>
      </c>
      <c r="S895" s="43">
        <v>44221</v>
      </c>
      <c r="T895" s="51">
        <f t="shared" si="36"/>
        <v>3</v>
      </c>
      <c r="U895" s="52" t="str">
        <f t="shared" si="37"/>
        <v>Detectável</v>
      </c>
    </row>
    <row r="896" spans="1:21" ht="25.5" customHeight="1" x14ac:dyDescent="0.2">
      <c r="A896" s="51">
        <v>895</v>
      </c>
      <c r="B896" s="50" t="s">
        <v>1866</v>
      </c>
      <c r="C896" s="51">
        <v>26</v>
      </c>
      <c r="D896" s="51" t="s">
        <v>25</v>
      </c>
      <c r="E896" s="43">
        <v>44217</v>
      </c>
      <c r="F896" s="44" t="s">
        <v>60</v>
      </c>
      <c r="G896" s="51">
        <v>339</v>
      </c>
      <c r="H896" s="43">
        <v>44218</v>
      </c>
      <c r="I896" s="42" t="s">
        <v>1863</v>
      </c>
      <c r="J896" s="43">
        <v>44218</v>
      </c>
      <c r="K896" s="42">
        <v>27.9</v>
      </c>
      <c r="L896" s="42">
        <v>28.4</v>
      </c>
      <c r="M896" s="48" t="s">
        <v>29</v>
      </c>
      <c r="N896" s="42" t="s">
        <v>1864</v>
      </c>
      <c r="O896" s="43">
        <v>44221</v>
      </c>
      <c r="P896" s="42" t="s">
        <v>36</v>
      </c>
      <c r="Q896" s="42">
        <v>28</v>
      </c>
      <c r="R896" s="46" t="s">
        <v>31</v>
      </c>
      <c r="S896" s="43">
        <v>44221</v>
      </c>
      <c r="T896" s="51">
        <f t="shared" si="36"/>
        <v>3</v>
      </c>
      <c r="U896" s="52" t="str">
        <f t="shared" si="37"/>
        <v>Não Detectável</v>
      </c>
    </row>
    <row r="897" spans="1:21" ht="25.5" customHeight="1" x14ac:dyDescent="0.2">
      <c r="A897" s="51">
        <v>896</v>
      </c>
      <c r="B897" s="50" t="s">
        <v>1867</v>
      </c>
      <c r="C897" s="51">
        <v>52</v>
      </c>
      <c r="D897" s="51" t="s">
        <v>34</v>
      </c>
      <c r="E897" s="43">
        <v>44217</v>
      </c>
      <c r="F897" s="44" t="s">
        <v>60</v>
      </c>
      <c r="G897" s="51">
        <v>340</v>
      </c>
      <c r="H897" s="43">
        <v>44218</v>
      </c>
      <c r="I897" s="42" t="s">
        <v>1863</v>
      </c>
      <c r="J897" s="43">
        <v>44218</v>
      </c>
      <c r="K897" s="42">
        <v>18</v>
      </c>
      <c r="L897" s="42">
        <v>27.9</v>
      </c>
      <c r="M897" s="48" t="s">
        <v>29</v>
      </c>
      <c r="N897" s="42" t="s">
        <v>1864</v>
      </c>
      <c r="O897" s="43">
        <v>44221</v>
      </c>
      <c r="P897" s="42" t="s">
        <v>36</v>
      </c>
      <c r="Q897" s="42">
        <v>27.3</v>
      </c>
      <c r="R897" s="46" t="s">
        <v>31</v>
      </c>
      <c r="S897" s="43">
        <v>44221</v>
      </c>
      <c r="T897" s="51">
        <f t="shared" si="36"/>
        <v>3</v>
      </c>
      <c r="U897" s="52" t="str">
        <f t="shared" si="37"/>
        <v>Não Detectável</v>
      </c>
    </row>
    <row r="898" spans="1:21" ht="25.5" customHeight="1" x14ac:dyDescent="0.2">
      <c r="A898" s="51">
        <v>897</v>
      </c>
      <c r="B898" s="50" t="s">
        <v>1868</v>
      </c>
      <c r="C898" s="51">
        <v>30</v>
      </c>
      <c r="D898" s="51" t="s">
        <v>25</v>
      </c>
      <c r="E898" s="43">
        <v>44217</v>
      </c>
      <c r="F898" s="44" t="s">
        <v>60</v>
      </c>
      <c r="G898" s="51">
        <v>340</v>
      </c>
      <c r="H898" s="43">
        <v>44218</v>
      </c>
      <c r="I898" s="42" t="s">
        <v>1863</v>
      </c>
      <c r="J898" s="43">
        <v>44218</v>
      </c>
      <c r="K898" s="42">
        <v>18</v>
      </c>
      <c r="L898" s="42">
        <v>27.9</v>
      </c>
      <c r="M898" s="48" t="s">
        <v>29</v>
      </c>
      <c r="N898" s="42" t="s">
        <v>1864</v>
      </c>
      <c r="O898" s="43">
        <v>44221</v>
      </c>
      <c r="P898" s="42">
        <v>17.100000000000001</v>
      </c>
      <c r="Q898" s="42">
        <v>28.6</v>
      </c>
      <c r="R898" s="46" t="s">
        <v>29</v>
      </c>
      <c r="S898" s="43">
        <v>44221</v>
      </c>
      <c r="T898" s="51">
        <f t="shared" si="36"/>
        <v>3</v>
      </c>
      <c r="U898" s="52" t="str">
        <f t="shared" si="37"/>
        <v>Detectável</v>
      </c>
    </row>
    <row r="899" spans="1:21" ht="25.5" customHeight="1" x14ac:dyDescent="0.2">
      <c r="A899" s="51">
        <v>898</v>
      </c>
      <c r="B899" s="50" t="s">
        <v>1869</v>
      </c>
      <c r="C899" s="51">
        <v>39</v>
      </c>
      <c r="D899" s="51" t="s">
        <v>25</v>
      </c>
      <c r="E899" s="43">
        <v>44217</v>
      </c>
      <c r="F899" s="44" t="s">
        <v>60</v>
      </c>
      <c r="G899" s="51">
        <v>340</v>
      </c>
      <c r="H899" s="43">
        <v>44218</v>
      </c>
      <c r="I899" s="42" t="s">
        <v>1863</v>
      </c>
      <c r="J899" s="43">
        <v>44218</v>
      </c>
      <c r="K899" s="42">
        <v>18</v>
      </c>
      <c r="L899" s="42">
        <v>27.9</v>
      </c>
      <c r="M899" s="48" t="s">
        <v>29</v>
      </c>
      <c r="N899" s="42" t="s">
        <v>1864</v>
      </c>
      <c r="O899" s="43">
        <v>44221</v>
      </c>
      <c r="P899" s="42" t="s">
        <v>36</v>
      </c>
      <c r="Q899" s="42">
        <v>29</v>
      </c>
      <c r="R899" s="46" t="s">
        <v>31</v>
      </c>
      <c r="S899" s="43">
        <v>44221</v>
      </c>
      <c r="T899" s="51">
        <f t="shared" si="36"/>
        <v>3</v>
      </c>
      <c r="U899" s="52" t="str">
        <f t="shared" si="37"/>
        <v>Não Detectável</v>
      </c>
    </row>
    <row r="900" spans="1:21" ht="25.5" customHeight="1" x14ac:dyDescent="0.2">
      <c r="A900" s="51">
        <v>899</v>
      </c>
      <c r="B900" s="50" t="s">
        <v>1870</v>
      </c>
      <c r="C900" s="51">
        <v>22</v>
      </c>
      <c r="D900" s="51" t="s">
        <v>25</v>
      </c>
      <c r="E900" s="43">
        <v>44217</v>
      </c>
      <c r="F900" s="44" t="s">
        <v>60</v>
      </c>
      <c r="G900" s="51">
        <v>341</v>
      </c>
      <c r="H900" s="43">
        <v>44218</v>
      </c>
      <c r="I900" s="42" t="s">
        <v>1863</v>
      </c>
      <c r="J900" s="43">
        <v>44218</v>
      </c>
      <c r="K900" s="42" t="s">
        <v>36</v>
      </c>
      <c r="L900" s="42">
        <v>27.2</v>
      </c>
      <c r="M900" s="45" t="s">
        <v>31</v>
      </c>
      <c r="N900" s="42" t="s">
        <v>60</v>
      </c>
      <c r="O900" s="43" t="s">
        <v>60</v>
      </c>
      <c r="P900" s="42" t="s">
        <v>60</v>
      </c>
      <c r="Q900" s="42" t="s">
        <v>60</v>
      </c>
      <c r="R900" s="46" t="s">
        <v>60</v>
      </c>
      <c r="S900" s="43">
        <v>44218</v>
      </c>
      <c r="T900" s="51">
        <f t="shared" si="36"/>
        <v>3</v>
      </c>
      <c r="U900" s="52" t="str">
        <f t="shared" si="37"/>
        <v>Não Detectável</v>
      </c>
    </row>
    <row r="901" spans="1:21" ht="25.5" customHeight="1" x14ac:dyDescent="0.2">
      <c r="A901" s="51">
        <v>900</v>
      </c>
      <c r="B901" s="50" t="s">
        <v>1871</v>
      </c>
      <c r="C901" s="51">
        <v>47</v>
      </c>
      <c r="D901" s="51" t="s">
        <v>25</v>
      </c>
      <c r="E901" s="43">
        <v>44217</v>
      </c>
      <c r="F901" s="44" t="s">
        <v>60</v>
      </c>
      <c r="G901" s="51">
        <v>341</v>
      </c>
      <c r="H901" s="43">
        <v>44218</v>
      </c>
      <c r="I901" s="42" t="s">
        <v>1863</v>
      </c>
      <c r="J901" s="43">
        <v>44218</v>
      </c>
      <c r="K901" s="42" t="s">
        <v>36</v>
      </c>
      <c r="L901" s="42">
        <v>27.2</v>
      </c>
      <c r="M901" s="45" t="s">
        <v>31</v>
      </c>
      <c r="N901" s="42" t="s">
        <v>60</v>
      </c>
      <c r="O901" s="43" t="s">
        <v>60</v>
      </c>
      <c r="P901" s="42" t="s">
        <v>60</v>
      </c>
      <c r="Q901" s="42" t="s">
        <v>60</v>
      </c>
      <c r="R901" s="46" t="s">
        <v>60</v>
      </c>
      <c r="S901" s="43">
        <v>44218</v>
      </c>
      <c r="T901" s="51">
        <f t="shared" si="36"/>
        <v>3</v>
      </c>
      <c r="U901" s="52" t="str">
        <f t="shared" si="37"/>
        <v>Não Detectável</v>
      </c>
    </row>
    <row r="902" spans="1:21" ht="25.5" customHeight="1" x14ac:dyDescent="0.2">
      <c r="A902" s="51">
        <v>901</v>
      </c>
      <c r="B902" s="50" t="s">
        <v>1872</v>
      </c>
      <c r="C902" s="51">
        <v>50</v>
      </c>
      <c r="D902" s="51" t="s">
        <v>25</v>
      </c>
      <c r="E902" s="43">
        <v>44217</v>
      </c>
      <c r="F902" s="44" t="s">
        <v>60</v>
      </c>
      <c r="G902" s="51">
        <v>341</v>
      </c>
      <c r="H902" s="43">
        <v>44218</v>
      </c>
      <c r="I902" s="42" t="s">
        <v>1863</v>
      </c>
      <c r="J902" s="43">
        <v>44218</v>
      </c>
      <c r="K902" s="42" t="s">
        <v>36</v>
      </c>
      <c r="L902" s="42">
        <v>27.2</v>
      </c>
      <c r="M902" s="45" t="s">
        <v>31</v>
      </c>
      <c r="N902" s="42" t="s">
        <v>60</v>
      </c>
      <c r="O902" s="43" t="s">
        <v>60</v>
      </c>
      <c r="P902" s="42" t="s">
        <v>60</v>
      </c>
      <c r="Q902" s="42" t="s">
        <v>60</v>
      </c>
      <c r="R902" s="46" t="s">
        <v>60</v>
      </c>
      <c r="S902" s="43">
        <v>44218</v>
      </c>
      <c r="T902" s="51">
        <f t="shared" si="36"/>
        <v>3</v>
      </c>
      <c r="U902" s="52" t="str">
        <f t="shared" si="37"/>
        <v>Não Detectável</v>
      </c>
    </row>
    <row r="903" spans="1:21" ht="25.5" customHeight="1" x14ac:dyDescent="0.2">
      <c r="A903" s="51">
        <v>902</v>
      </c>
      <c r="B903" s="50" t="s">
        <v>1873</v>
      </c>
      <c r="C903" s="51">
        <v>62</v>
      </c>
      <c r="D903" s="51" t="s">
        <v>34</v>
      </c>
      <c r="E903" s="43">
        <v>44217</v>
      </c>
      <c r="F903" s="44" t="s">
        <v>60</v>
      </c>
      <c r="G903" s="51">
        <v>342</v>
      </c>
      <c r="H903" s="43">
        <v>44218</v>
      </c>
      <c r="I903" s="42" t="s">
        <v>1863</v>
      </c>
      <c r="J903" s="43">
        <v>44218</v>
      </c>
      <c r="K903" s="42">
        <v>28.7</v>
      </c>
      <c r="L903" s="42">
        <v>27.3</v>
      </c>
      <c r="M903" s="48" t="s">
        <v>29</v>
      </c>
      <c r="N903" s="42" t="s">
        <v>1864</v>
      </c>
      <c r="O903" s="43">
        <v>44221</v>
      </c>
      <c r="P903" s="42">
        <v>27.4</v>
      </c>
      <c r="Q903" s="42">
        <v>27.6</v>
      </c>
      <c r="R903" s="46" t="s">
        <v>29</v>
      </c>
      <c r="S903" s="43">
        <v>44221</v>
      </c>
      <c r="T903" s="51">
        <f t="shared" si="36"/>
        <v>3</v>
      </c>
      <c r="U903" s="52" t="str">
        <f t="shared" si="37"/>
        <v>Detectável</v>
      </c>
    </row>
    <row r="904" spans="1:21" ht="25.5" customHeight="1" x14ac:dyDescent="0.2">
      <c r="A904" s="51">
        <v>903</v>
      </c>
      <c r="B904" s="50" t="s">
        <v>1874</v>
      </c>
      <c r="C904" s="51">
        <v>18</v>
      </c>
      <c r="D904" s="51" t="s">
        <v>25</v>
      </c>
      <c r="E904" s="43">
        <v>44217</v>
      </c>
      <c r="F904" s="44" t="s">
        <v>60</v>
      </c>
      <c r="G904" s="51">
        <v>342</v>
      </c>
      <c r="H904" s="43">
        <v>44218</v>
      </c>
      <c r="I904" s="42" t="s">
        <v>1863</v>
      </c>
      <c r="J904" s="43">
        <v>44218</v>
      </c>
      <c r="K904" s="42">
        <v>28.7</v>
      </c>
      <c r="L904" s="42">
        <v>27.3</v>
      </c>
      <c r="M904" s="48" t="s">
        <v>29</v>
      </c>
      <c r="N904" s="42" t="s">
        <v>1864</v>
      </c>
      <c r="O904" s="43">
        <v>44221</v>
      </c>
      <c r="P904" s="42" t="s">
        <v>36</v>
      </c>
      <c r="Q904" s="42">
        <v>28.6</v>
      </c>
      <c r="R904" s="46" t="s">
        <v>31</v>
      </c>
      <c r="S904" s="43">
        <v>44221</v>
      </c>
      <c r="T904" s="51">
        <f t="shared" si="36"/>
        <v>3</v>
      </c>
      <c r="U904" s="52" t="str">
        <f t="shared" si="37"/>
        <v>Não Detectável</v>
      </c>
    </row>
    <row r="905" spans="1:21" ht="25.5" customHeight="1" x14ac:dyDescent="0.2">
      <c r="A905" s="51">
        <v>904</v>
      </c>
      <c r="B905" s="50" t="s">
        <v>1875</v>
      </c>
      <c r="C905" s="51">
        <v>70</v>
      </c>
      <c r="D905" s="51" t="s">
        <v>34</v>
      </c>
      <c r="E905" s="43">
        <v>44217</v>
      </c>
      <c r="F905" s="44" t="s">
        <v>60</v>
      </c>
      <c r="G905" s="51">
        <v>342</v>
      </c>
      <c r="H905" s="43">
        <v>44218</v>
      </c>
      <c r="I905" s="42" t="s">
        <v>1863</v>
      </c>
      <c r="J905" s="43">
        <v>44218</v>
      </c>
      <c r="K905" s="42">
        <v>28.7</v>
      </c>
      <c r="L905" s="42">
        <v>27.3</v>
      </c>
      <c r="M905" s="48" t="s">
        <v>29</v>
      </c>
      <c r="N905" s="42" t="s">
        <v>1864</v>
      </c>
      <c r="O905" s="43">
        <v>44221</v>
      </c>
      <c r="P905" s="42" t="s">
        <v>36</v>
      </c>
      <c r="Q905" s="42">
        <v>27.9</v>
      </c>
      <c r="R905" s="46" t="s">
        <v>31</v>
      </c>
      <c r="S905" s="43">
        <v>44221</v>
      </c>
      <c r="T905" s="51">
        <f t="shared" si="36"/>
        <v>3</v>
      </c>
      <c r="U905" s="52" t="str">
        <f t="shared" si="37"/>
        <v>Não Detectável</v>
      </c>
    </row>
    <row r="906" spans="1:21" ht="25.5" customHeight="1" x14ac:dyDescent="0.2">
      <c r="A906" s="51">
        <v>905</v>
      </c>
      <c r="B906" s="50" t="s">
        <v>1876</v>
      </c>
      <c r="C906" s="51">
        <v>20</v>
      </c>
      <c r="D906" s="51" t="s">
        <v>25</v>
      </c>
      <c r="E906" s="43">
        <v>44217</v>
      </c>
      <c r="F906" s="44" t="s">
        <v>60</v>
      </c>
      <c r="G906" s="51">
        <v>343</v>
      </c>
      <c r="H906" s="43">
        <v>44218</v>
      </c>
      <c r="I906" s="42" t="s">
        <v>1864</v>
      </c>
      <c r="J906" s="43">
        <v>44221</v>
      </c>
      <c r="K906" s="42">
        <v>18.399999999999999</v>
      </c>
      <c r="L906" s="42">
        <v>27.4</v>
      </c>
      <c r="M906" s="48" t="s">
        <v>29</v>
      </c>
      <c r="N906" s="42" t="s">
        <v>1877</v>
      </c>
      <c r="O906" s="43">
        <v>44222</v>
      </c>
      <c r="P906" s="42">
        <v>22.4</v>
      </c>
      <c r="Q906" s="42">
        <v>27.7</v>
      </c>
      <c r="R906" s="46" t="s">
        <v>29</v>
      </c>
      <c r="S906" s="43">
        <v>44222</v>
      </c>
      <c r="T906" s="51">
        <f t="shared" si="36"/>
        <v>3</v>
      </c>
      <c r="U906" s="52" t="str">
        <f t="shared" si="37"/>
        <v>Detectável</v>
      </c>
    </row>
    <row r="907" spans="1:21" ht="25.5" customHeight="1" x14ac:dyDescent="0.2">
      <c r="A907" s="51">
        <v>906</v>
      </c>
      <c r="B907" s="50" t="s">
        <v>1878</v>
      </c>
      <c r="C907" s="51">
        <v>33</v>
      </c>
      <c r="D907" s="51" t="s">
        <v>34</v>
      </c>
      <c r="E907" s="43">
        <v>44217</v>
      </c>
      <c r="F907" s="44" t="s">
        <v>60</v>
      </c>
      <c r="G907" s="51">
        <v>343</v>
      </c>
      <c r="H907" s="43">
        <v>44218</v>
      </c>
      <c r="I907" s="42" t="s">
        <v>1864</v>
      </c>
      <c r="J907" s="43">
        <v>44221</v>
      </c>
      <c r="K907" s="42">
        <v>18.399999999999999</v>
      </c>
      <c r="L907" s="42">
        <v>27.4</v>
      </c>
      <c r="M907" s="48" t="s">
        <v>29</v>
      </c>
      <c r="N907" s="42" t="s">
        <v>1877</v>
      </c>
      <c r="O907" s="43">
        <v>44222</v>
      </c>
      <c r="P907" s="42" t="s">
        <v>36</v>
      </c>
      <c r="Q907" s="42">
        <v>29</v>
      </c>
      <c r="R907" s="46" t="s">
        <v>31</v>
      </c>
      <c r="S907" s="43">
        <v>44222</v>
      </c>
      <c r="T907" s="51">
        <f t="shared" si="36"/>
        <v>3</v>
      </c>
      <c r="U907" s="52" t="str">
        <f t="shared" si="37"/>
        <v>Não Detectável</v>
      </c>
    </row>
    <row r="908" spans="1:21" ht="25.5" customHeight="1" x14ac:dyDescent="0.2">
      <c r="A908" s="51">
        <v>907</v>
      </c>
      <c r="B908" s="50" t="s">
        <v>1879</v>
      </c>
      <c r="C908" s="51">
        <v>30</v>
      </c>
      <c r="D908" s="51" t="s">
        <v>25</v>
      </c>
      <c r="E908" s="43" t="s">
        <v>1880</v>
      </c>
      <c r="F908" s="44" t="s">
        <v>60</v>
      </c>
      <c r="G908" s="51">
        <v>343</v>
      </c>
      <c r="H908" s="43">
        <v>44221</v>
      </c>
      <c r="I908" s="42" t="s">
        <v>1864</v>
      </c>
      <c r="J908" s="43">
        <v>44221</v>
      </c>
      <c r="K908" s="42">
        <v>18.399999999999999</v>
      </c>
      <c r="L908" s="42">
        <v>27.4</v>
      </c>
      <c r="M908" s="48" t="s">
        <v>29</v>
      </c>
      <c r="N908" s="42" t="s">
        <v>1877</v>
      </c>
      <c r="O908" s="43">
        <v>44222</v>
      </c>
      <c r="P908" s="42" t="s">
        <v>36</v>
      </c>
      <c r="Q908" s="42">
        <v>26.9</v>
      </c>
      <c r="R908" s="46" t="s">
        <v>31</v>
      </c>
      <c r="S908" s="43">
        <v>44222</v>
      </c>
      <c r="T908" s="51">
        <f t="shared" si="36"/>
        <v>3</v>
      </c>
      <c r="U908" s="52" t="str">
        <f t="shared" si="37"/>
        <v>Não Detectável</v>
      </c>
    </row>
    <row r="909" spans="1:21" ht="25.5" customHeight="1" x14ac:dyDescent="0.2">
      <c r="A909" s="51">
        <v>908</v>
      </c>
      <c r="B909" s="50" t="s">
        <v>1881</v>
      </c>
      <c r="C909" s="51">
        <v>43</v>
      </c>
      <c r="D909" s="51" t="s">
        <v>25</v>
      </c>
      <c r="E909" s="43" t="s">
        <v>1880</v>
      </c>
      <c r="F909" s="44" t="s">
        <v>60</v>
      </c>
      <c r="G909" s="51">
        <v>344</v>
      </c>
      <c r="H909" s="43">
        <v>44221</v>
      </c>
      <c r="I909" s="42" t="s">
        <v>1864</v>
      </c>
      <c r="J909" s="43">
        <v>44221</v>
      </c>
      <c r="K909" s="42">
        <v>26.2</v>
      </c>
      <c r="L909" s="42">
        <v>27.7</v>
      </c>
      <c r="M909" s="48" t="s">
        <v>29</v>
      </c>
      <c r="N909" s="42" t="s">
        <v>1877</v>
      </c>
      <c r="O909" s="43">
        <v>44222</v>
      </c>
      <c r="P909" s="42" t="s">
        <v>36</v>
      </c>
      <c r="Q909" s="42">
        <v>28</v>
      </c>
      <c r="R909" s="46" t="s">
        <v>31</v>
      </c>
      <c r="S909" s="43">
        <v>44222</v>
      </c>
      <c r="T909" s="51">
        <f t="shared" si="36"/>
        <v>3</v>
      </c>
      <c r="U909" s="52" t="str">
        <f t="shared" si="37"/>
        <v>Não Detectável</v>
      </c>
    </row>
    <row r="910" spans="1:21" ht="25.5" customHeight="1" x14ac:dyDescent="0.2">
      <c r="A910" s="51">
        <v>909</v>
      </c>
      <c r="B910" s="50" t="s">
        <v>1882</v>
      </c>
      <c r="C910" s="51">
        <v>25</v>
      </c>
      <c r="D910" s="51" t="s">
        <v>34</v>
      </c>
      <c r="E910" s="43" t="s">
        <v>1880</v>
      </c>
      <c r="F910" s="44" t="s">
        <v>60</v>
      </c>
      <c r="G910" s="51">
        <v>344</v>
      </c>
      <c r="H910" s="43">
        <v>44221</v>
      </c>
      <c r="I910" s="42" t="s">
        <v>1864</v>
      </c>
      <c r="J910" s="43">
        <v>44221</v>
      </c>
      <c r="K910" s="42">
        <v>26.2</v>
      </c>
      <c r="L910" s="42">
        <v>27.7</v>
      </c>
      <c r="M910" s="48" t="s">
        <v>29</v>
      </c>
      <c r="N910" s="42" t="s">
        <v>1877</v>
      </c>
      <c r="O910" s="43">
        <v>44222</v>
      </c>
      <c r="P910" s="42" t="s">
        <v>36</v>
      </c>
      <c r="Q910" s="42">
        <v>26.6</v>
      </c>
      <c r="R910" s="46" t="s">
        <v>31</v>
      </c>
      <c r="S910" s="43">
        <v>44222</v>
      </c>
      <c r="T910" s="51">
        <f t="shared" si="36"/>
        <v>3</v>
      </c>
      <c r="U910" s="52" t="str">
        <f t="shared" si="37"/>
        <v>Não Detectável</v>
      </c>
    </row>
    <row r="911" spans="1:21" ht="25.5" customHeight="1" x14ac:dyDescent="0.2">
      <c r="A911" s="51">
        <v>910</v>
      </c>
      <c r="B911" s="50" t="s">
        <v>1883</v>
      </c>
      <c r="C911" s="51">
        <v>28</v>
      </c>
      <c r="D911" s="51" t="s">
        <v>34</v>
      </c>
      <c r="E911" s="43" t="s">
        <v>1880</v>
      </c>
      <c r="F911" s="44" t="s">
        <v>60</v>
      </c>
      <c r="G911" s="51">
        <v>344</v>
      </c>
      <c r="H911" s="43">
        <v>44221</v>
      </c>
      <c r="I911" s="42" t="s">
        <v>1864</v>
      </c>
      <c r="J911" s="43">
        <v>44221</v>
      </c>
      <c r="K911" s="42">
        <v>26.2</v>
      </c>
      <c r="L911" s="42">
        <v>27.7</v>
      </c>
      <c r="M911" s="48" t="s">
        <v>29</v>
      </c>
      <c r="N911" s="42" t="s">
        <v>1877</v>
      </c>
      <c r="O911" s="43">
        <v>44222</v>
      </c>
      <c r="P911" s="42">
        <v>22.6</v>
      </c>
      <c r="Q911" s="42">
        <v>26.8</v>
      </c>
      <c r="R911" s="46" t="s">
        <v>29</v>
      </c>
      <c r="S911" s="43">
        <v>44222</v>
      </c>
      <c r="T911" s="51">
        <f t="shared" si="36"/>
        <v>3</v>
      </c>
      <c r="U911" s="52" t="str">
        <f t="shared" si="37"/>
        <v>Detectável</v>
      </c>
    </row>
    <row r="912" spans="1:21" ht="25.5" customHeight="1" x14ac:dyDescent="0.2">
      <c r="A912" s="51">
        <v>911</v>
      </c>
      <c r="B912" s="50" t="s">
        <v>1884</v>
      </c>
      <c r="C912" s="51">
        <v>46</v>
      </c>
      <c r="D912" s="51" t="s">
        <v>34</v>
      </c>
      <c r="E912" s="43" t="s">
        <v>1880</v>
      </c>
      <c r="F912" s="44" t="s">
        <v>60</v>
      </c>
      <c r="G912" s="51">
        <v>345</v>
      </c>
      <c r="H912" s="43">
        <v>44221</v>
      </c>
      <c r="I912" s="42" t="s">
        <v>1864</v>
      </c>
      <c r="J912" s="43">
        <v>44221</v>
      </c>
      <c r="K912" s="42">
        <v>26.5</v>
      </c>
      <c r="L912" s="42">
        <v>18.399999999999999</v>
      </c>
      <c r="M912" s="48" t="s">
        <v>29</v>
      </c>
      <c r="N912" s="42" t="s">
        <v>1877</v>
      </c>
      <c r="O912" s="43">
        <v>44222</v>
      </c>
      <c r="P912" s="42" t="s">
        <v>36</v>
      </c>
      <c r="Q912" s="42">
        <v>25.9</v>
      </c>
      <c r="R912" s="46" t="s">
        <v>31</v>
      </c>
      <c r="S912" s="43">
        <v>44222</v>
      </c>
      <c r="T912" s="51">
        <f t="shared" si="36"/>
        <v>3</v>
      </c>
      <c r="U912" s="52" t="str">
        <f t="shared" si="37"/>
        <v>Não Detectável</v>
      </c>
    </row>
    <row r="913" spans="1:21" ht="25.5" customHeight="1" x14ac:dyDescent="0.2">
      <c r="A913" s="51">
        <v>912</v>
      </c>
      <c r="B913" s="50" t="s">
        <v>1885</v>
      </c>
      <c r="C913" s="51">
        <v>35</v>
      </c>
      <c r="D913" s="51" t="s">
        <v>34</v>
      </c>
      <c r="E913" s="43" t="s">
        <v>1880</v>
      </c>
      <c r="F913" s="44" t="s">
        <v>60</v>
      </c>
      <c r="G913" s="51">
        <v>345</v>
      </c>
      <c r="H913" s="43">
        <v>44221</v>
      </c>
      <c r="I913" s="42" t="s">
        <v>1864</v>
      </c>
      <c r="J913" s="43">
        <v>44221</v>
      </c>
      <c r="K913" s="42">
        <v>26.5</v>
      </c>
      <c r="L913" s="42">
        <v>18.399999999999999</v>
      </c>
      <c r="M913" s="48" t="s">
        <v>29</v>
      </c>
      <c r="N913" s="42" t="s">
        <v>1877</v>
      </c>
      <c r="O913" s="43">
        <v>44222</v>
      </c>
      <c r="P913" s="42">
        <v>17.7</v>
      </c>
      <c r="Q913" s="42">
        <v>26.9</v>
      </c>
      <c r="R913" s="46" t="s">
        <v>29</v>
      </c>
      <c r="S913" s="43">
        <v>44222</v>
      </c>
      <c r="T913" s="51">
        <f t="shared" si="36"/>
        <v>3</v>
      </c>
      <c r="U913" s="52" t="str">
        <f t="shared" si="37"/>
        <v>Detectável</v>
      </c>
    </row>
    <row r="914" spans="1:21" ht="25.5" customHeight="1" x14ac:dyDescent="0.2">
      <c r="A914" s="51">
        <v>913</v>
      </c>
      <c r="B914" s="50" t="s">
        <v>1886</v>
      </c>
      <c r="C914" s="51">
        <v>20</v>
      </c>
      <c r="D914" s="51" t="s">
        <v>34</v>
      </c>
      <c r="E914" s="43" t="s">
        <v>1880</v>
      </c>
      <c r="F914" s="44" t="s">
        <v>60</v>
      </c>
      <c r="G914" s="51">
        <v>345</v>
      </c>
      <c r="H914" s="43">
        <v>44221</v>
      </c>
      <c r="I914" s="42" t="s">
        <v>1864</v>
      </c>
      <c r="J914" s="43">
        <v>44221</v>
      </c>
      <c r="K914" s="42">
        <v>26.5</v>
      </c>
      <c r="L914" s="42">
        <v>18.399999999999999</v>
      </c>
      <c r="M914" s="48" t="s">
        <v>29</v>
      </c>
      <c r="N914" s="42" t="s">
        <v>1877</v>
      </c>
      <c r="O914" s="43">
        <v>44222</v>
      </c>
      <c r="P914" s="42">
        <v>25.6</v>
      </c>
      <c r="Q914" s="42">
        <v>28.9</v>
      </c>
      <c r="R914" s="46" t="s">
        <v>29</v>
      </c>
      <c r="S914" s="43">
        <v>44222</v>
      </c>
      <c r="T914" s="51">
        <f t="shared" si="36"/>
        <v>3</v>
      </c>
      <c r="U914" s="52" t="str">
        <f t="shared" si="37"/>
        <v>Detectável</v>
      </c>
    </row>
    <row r="915" spans="1:21" ht="25.5" customHeight="1" x14ac:dyDescent="0.2">
      <c r="A915" s="51">
        <v>914</v>
      </c>
      <c r="B915" s="50" t="s">
        <v>1887</v>
      </c>
      <c r="C915" s="51">
        <v>51</v>
      </c>
      <c r="D915" s="51" t="s">
        <v>34</v>
      </c>
      <c r="E915" s="43" t="s">
        <v>1880</v>
      </c>
      <c r="F915" s="44" t="s">
        <v>60</v>
      </c>
      <c r="G915" s="51">
        <v>346</v>
      </c>
      <c r="H915" s="43">
        <v>44221</v>
      </c>
      <c r="I915" s="42" t="s">
        <v>1864</v>
      </c>
      <c r="J915" s="43">
        <v>44221</v>
      </c>
      <c r="K915" s="42">
        <v>18.399999999999999</v>
      </c>
      <c r="L915" s="42">
        <v>26.6</v>
      </c>
      <c r="M915" s="48" t="s">
        <v>29</v>
      </c>
      <c r="N915" s="42" t="s">
        <v>1877</v>
      </c>
      <c r="O915" s="43">
        <v>44222</v>
      </c>
      <c r="P915" s="42" t="s">
        <v>36</v>
      </c>
      <c r="Q915" s="42">
        <v>28.8</v>
      </c>
      <c r="R915" s="46" t="s">
        <v>31</v>
      </c>
      <c r="S915" s="43">
        <v>44222</v>
      </c>
      <c r="T915" s="51">
        <f t="shared" si="36"/>
        <v>3</v>
      </c>
      <c r="U915" s="52" t="str">
        <f t="shared" si="37"/>
        <v>Não Detectável</v>
      </c>
    </row>
    <row r="916" spans="1:21" ht="25.5" customHeight="1" x14ac:dyDescent="0.2">
      <c r="A916" s="51">
        <v>915</v>
      </c>
      <c r="B916" s="50" t="s">
        <v>1888</v>
      </c>
      <c r="C916" s="51">
        <v>56</v>
      </c>
      <c r="D916" s="51" t="s">
        <v>34</v>
      </c>
      <c r="E916" s="43" t="s">
        <v>1880</v>
      </c>
      <c r="F916" s="44" t="s">
        <v>60</v>
      </c>
      <c r="G916" s="51">
        <v>346</v>
      </c>
      <c r="H916" s="43">
        <v>44221</v>
      </c>
      <c r="I916" s="42" t="s">
        <v>1864</v>
      </c>
      <c r="J916" s="43">
        <v>44221</v>
      </c>
      <c r="K916" s="42">
        <v>18.399999999999999</v>
      </c>
      <c r="L916" s="42">
        <v>26.6</v>
      </c>
      <c r="M916" s="48" t="s">
        <v>29</v>
      </c>
      <c r="N916" s="42" t="s">
        <v>1877</v>
      </c>
      <c r="O916" s="43">
        <v>44222</v>
      </c>
      <c r="P916" s="42">
        <v>16.3</v>
      </c>
      <c r="Q916" s="42">
        <v>25.8</v>
      </c>
      <c r="R916" s="46" t="s">
        <v>29</v>
      </c>
      <c r="S916" s="43">
        <v>44222</v>
      </c>
      <c r="T916" s="51">
        <f t="shared" si="36"/>
        <v>3</v>
      </c>
      <c r="U916" s="52" t="str">
        <f t="shared" si="37"/>
        <v>Detectável</v>
      </c>
    </row>
    <row r="917" spans="1:21" ht="25.5" customHeight="1" x14ac:dyDescent="0.2">
      <c r="A917" s="51">
        <v>916</v>
      </c>
      <c r="B917" s="50" t="s">
        <v>1889</v>
      </c>
      <c r="C917" s="51">
        <v>33</v>
      </c>
      <c r="D917" s="51" t="s">
        <v>25</v>
      </c>
      <c r="E917" s="43" t="s">
        <v>1880</v>
      </c>
      <c r="F917" s="44" t="s">
        <v>60</v>
      </c>
      <c r="G917" s="51">
        <v>346</v>
      </c>
      <c r="H917" s="43">
        <v>44221</v>
      </c>
      <c r="I917" s="42" t="s">
        <v>1864</v>
      </c>
      <c r="J917" s="43">
        <v>44221</v>
      </c>
      <c r="K917" s="42">
        <v>18.399999999999999</v>
      </c>
      <c r="L917" s="42">
        <v>26.6</v>
      </c>
      <c r="M917" s="48" t="s">
        <v>29</v>
      </c>
      <c r="N917" s="42" t="s">
        <v>1877</v>
      </c>
      <c r="O917" s="43">
        <v>44222</v>
      </c>
      <c r="P917" s="42">
        <v>28.6</v>
      </c>
      <c r="Q917" s="42">
        <v>26.2</v>
      </c>
      <c r="R917" s="46" t="s">
        <v>29</v>
      </c>
      <c r="S917" s="43">
        <v>44222</v>
      </c>
      <c r="T917" s="51">
        <f t="shared" si="36"/>
        <v>3</v>
      </c>
      <c r="U917" s="52" t="str">
        <f t="shared" si="37"/>
        <v>Detectável</v>
      </c>
    </row>
    <row r="918" spans="1:21" ht="25.5" customHeight="1" x14ac:dyDescent="0.2">
      <c r="A918" s="51">
        <v>917</v>
      </c>
      <c r="B918" s="50" t="s">
        <v>1890</v>
      </c>
      <c r="C918" s="51">
        <v>38</v>
      </c>
      <c r="D918" s="51" t="s">
        <v>25</v>
      </c>
      <c r="E918" s="43" t="s">
        <v>1880</v>
      </c>
      <c r="F918" s="44" t="s">
        <v>60</v>
      </c>
      <c r="G918" s="51">
        <v>347</v>
      </c>
      <c r="H918" s="43">
        <v>44221</v>
      </c>
      <c r="I918" s="42" t="s">
        <v>1864</v>
      </c>
      <c r="J918" s="43">
        <v>44221</v>
      </c>
      <c r="K918" s="42">
        <v>32.200000000000003</v>
      </c>
      <c r="L918" s="42">
        <v>27</v>
      </c>
      <c r="M918" s="48" t="s">
        <v>29</v>
      </c>
      <c r="N918" s="42" t="s">
        <v>1877</v>
      </c>
      <c r="O918" s="43">
        <v>44222</v>
      </c>
      <c r="P918" s="42">
        <v>30.4</v>
      </c>
      <c r="Q918" s="42">
        <v>28.2</v>
      </c>
      <c r="R918" s="46" t="s">
        <v>29</v>
      </c>
      <c r="S918" s="43">
        <v>44222</v>
      </c>
      <c r="T918" s="51">
        <f t="shared" si="36"/>
        <v>3</v>
      </c>
      <c r="U918" s="52" t="str">
        <f t="shared" si="37"/>
        <v>Detectável</v>
      </c>
    </row>
    <row r="919" spans="1:21" ht="25.5" customHeight="1" x14ac:dyDescent="0.2">
      <c r="A919" s="51">
        <v>918</v>
      </c>
      <c r="B919" s="50" t="s">
        <v>1891</v>
      </c>
      <c r="C919" s="51">
        <v>27</v>
      </c>
      <c r="D919" s="51" t="s">
        <v>25</v>
      </c>
      <c r="E919" s="43" t="s">
        <v>1880</v>
      </c>
      <c r="F919" s="44" t="s">
        <v>60</v>
      </c>
      <c r="G919" s="51">
        <v>347</v>
      </c>
      <c r="H919" s="43">
        <v>44221</v>
      </c>
      <c r="I919" s="42" t="s">
        <v>1864</v>
      </c>
      <c r="J919" s="43">
        <v>44221</v>
      </c>
      <c r="K919" s="42">
        <v>32.200000000000003</v>
      </c>
      <c r="L919" s="42">
        <v>27</v>
      </c>
      <c r="M919" s="48" t="s">
        <v>29</v>
      </c>
      <c r="N919" s="42" t="s">
        <v>1877</v>
      </c>
      <c r="O919" s="43">
        <v>44222</v>
      </c>
      <c r="P919" s="42" t="s">
        <v>36</v>
      </c>
      <c r="Q919" s="42">
        <v>26.2</v>
      </c>
      <c r="R919" s="46" t="s">
        <v>31</v>
      </c>
      <c r="S919" s="43">
        <v>44222</v>
      </c>
      <c r="T919" s="51">
        <f t="shared" si="36"/>
        <v>3</v>
      </c>
      <c r="U919" s="52" t="str">
        <f t="shared" si="37"/>
        <v>Não Detectável</v>
      </c>
    </row>
    <row r="920" spans="1:21" ht="25.5" customHeight="1" x14ac:dyDescent="0.2">
      <c r="A920" s="51">
        <v>919</v>
      </c>
      <c r="B920" s="50" t="s">
        <v>1892</v>
      </c>
      <c r="C920" s="51">
        <v>35</v>
      </c>
      <c r="D920" s="51" t="s">
        <v>34</v>
      </c>
      <c r="E920" s="43" t="s">
        <v>1880</v>
      </c>
      <c r="F920" s="44" t="s">
        <v>60</v>
      </c>
      <c r="G920" s="51">
        <v>347</v>
      </c>
      <c r="H920" s="43">
        <v>44221</v>
      </c>
      <c r="I920" s="42" t="s">
        <v>1864</v>
      </c>
      <c r="J920" s="43">
        <v>44221</v>
      </c>
      <c r="K920" s="42">
        <v>32.200000000000003</v>
      </c>
      <c r="L920" s="42">
        <v>27</v>
      </c>
      <c r="M920" s="48" t="s">
        <v>29</v>
      </c>
      <c r="N920" s="42" t="s">
        <v>1877</v>
      </c>
      <c r="O920" s="43">
        <v>44222</v>
      </c>
      <c r="P920" s="42" t="s">
        <v>36</v>
      </c>
      <c r="Q920" s="42">
        <v>29.3</v>
      </c>
      <c r="R920" s="46" t="s">
        <v>31</v>
      </c>
      <c r="S920" s="43">
        <v>44222</v>
      </c>
      <c r="T920" s="51">
        <f t="shared" si="36"/>
        <v>3</v>
      </c>
      <c r="U920" s="52" t="str">
        <f t="shared" si="37"/>
        <v>Não Detectável</v>
      </c>
    </row>
    <row r="921" spans="1:21" ht="25.5" customHeight="1" x14ac:dyDescent="0.2">
      <c r="A921" s="51">
        <v>920</v>
      </c>
      <c r="B921" s="50" t="s">
        <v>1893</v>
      </c>
      <c r="C921" s="51">
        <v>19</v>
      </c>
      <c r="D921" s="51" t="s">
        <v>25</v>
      </c>
      <c r="E921" s="43" t="s">
        <v>1880</v>
      </c>
      <c r="F921" s="44" t="s">
        <v>60</v>
      </c>
      <c r="G921" s="51">
        <v>348</v>
      </c>
      <c r="H921" s="43">
        <v>44221</v>
      </c>
      <c r="I921" s="42" t="s">
        <v>1864</v>
      </c>
      <c r="J921" s="43">
        <v>44221</v>
      </c>
      <c r="K921" s="42" t="s">
        <v>36</v>
      </c>
      <c r="L921" s="42">
        <v>29.1</v>
      </c>
      <c r="M921" s="45" t="s">
        <v>31</v>
      </c>
      <c r="N921" s="42" t="s">
        <v>60</v>
      </c>
      <c r="O921" s="43" t="s">
        <v>60</v>
      </c>
      <c r="P921" s="42" t="s">
        <v>60</v>
      </c>
      <c r="Q921" s="42" t="s">
        <v>60</v>
      </c>
      <c r="R921" s="46" t="s">
        <v>60</v>
      </c>
      <c r="S921" s="43">
        <v>44221</v>
      </c>
      <c r="T921" s="51">
        <f t="shared" si="36"/>
        <v>3</v>
      </c>
      <c r="U921" s="52" t="str">
        <f t="shared" si="37"/>
        <v>Não Detectável</v>
      </c>
    </row>
    <row r="922" spans="1:21" ht="25.5" customHeight="1" x14ac:dyDescent="0.2">
      <c r="A922" s="51">
        <v>921</v>
      </c>
      <c r="B922" s="50" t="s">
        <v>1894</v>
      </c>
      <c r="C922" s="51">
        <v>44</v>
      </c>
      <c r="D922" s="51" t="s">
        <v>34</v>
      </c>
      <c r="E922" s="43" t="s">
        <v>1880</v>
      </c>
      <c r="F922" s="44" t="s">
        <v>60</v>
      </c>
      <c r="G922" s="51">
        <v>348</v>
      </c>
      <c r="H922" s="43">
        <v>44221</v>
      </c>
      <c r="I922" s="42" t="s">
        <v>1864</v>
      </c>
      <c r="J922" s="43">
        <v>44221</v>
      </c>
      <c r="K922" s="42" t="s">
        <v>36</v>
      </c>
      <c r="L922" s="42">
        <v>29.1</v>
      </c>
      <c r="M922" s="45" t="s">
        <v>31</v>
      </c>
      <c r="N922" s="42" t="s">
        <v>60</v>
      </c>
      <c r="O922" s="43" t="s">
        <v>60</v>
      </c>
      <c r="P922" s="42" t="s">
        <v>60</v>
      </c>
      <c r="Q922" s="42" t="s">
        <v>60</v>
      </c>
      <c r="R922" s="46" t="s">
        <v>60</v>
      </c>
      <c r="S922" s="43">
        <v>44221</v>
      </c>
      <c r="T922" s="51">
        <f t="shared" si="36"/>
        <v>3</v>
      </c>
      <c r="U922" s="52" t="str">
        <f t="shared" si="37"/>
        <v>Não Detectável</v>
      </c>
    </row>
    <row r="923" spans="1:21" ht="25.5" customHeight="1" x14ac:dyDescent="0.2">
      <c r="A923" s="51">
        <v>922</v>
      </c>
      <c r="B923" s="50" t="s">
        <v>1895</v>
      </c>
      <c r="C923" s="51">
        <v>23</v>
      </c>
      <c r="D923" s="51" t="s">
        <v>34</v>
      </c>
      <c r="E923" s="43" t="s">
        <v>1880</v>
      </c>
      <c r="F923" s="44" t="s">
        <v>60</v>
      </c>
      <c r="G923" s="51">
        <v>348</v>
      </c>
      <c r="H923" s="43">
        <v>44221</v>
      </c>
      <c r="I923" s="42" t="s">
        <v>1864</v>
      </c>
      <c r="J923" s="43">
        <v>44221</v>
      </c>
      <c r="K923" s="42" t="s">
        <v>36</v>
      </c>
      <c r="L923" s="42">
        <v>29.1</v>
      </c>
      <c r="M923" s="45" t="s">
        <v>31</v>
      </c>
      <c r="N923" s="42" t="s">
        <v>60</v>
      </c>
      <c r="O923" s="43" t="s">
        <v>60</v>
      </c>
      <c r="P923" s="42" t="s">
        <v>60</v>
      </c>
      <c r="Q923" s="42" t="s">
        <v>60</v>
      </c>
      <c r="R923" s="46" t="s">
        <v>60</v>
      </c>
      <c r="S923" s="43">
        <v>44221</v>
      </c>
      <c r="T923" s="51">
        <f t="shared" si="36"/>
        <v>3</v>
      </c>
      <c r="U923" s="52" t="str">
        <f t="shared" si="37"/>
        <v>Não Detectável</v>
      </c>
    </row>
    <row r="924" spans="1:21" ht="25.5" customHeight="1" x14ac:dyDescent="0.2">
      <c r="A924" s="51">
        <v>923</v>
      </c>
      <c r="B924" s="50" t="s">
        <v>1896</v>
      </c>
      <c r="C924" s="51">
        <v>25</v>
      </c>
      <c r="D924" s="51" t="s">
        <v>25</v>
      </c>
      <c r="E924" s="43" t="s">
        <v>1880</v>
      </c>
      <c r="F924" s="44" t="s">
        <v>60</v>
      </c>
      <c r="G924" s="51">
        <v>349</v>
      </c>
      <c r="H924" s="43">
        <v>44221</v>
      </c>
      <c r="I924" s="42" t="s">
        <v>1864</v>
      </c>
      <c r="J924" s="43">
        <v>44221</v>
      </c>
      <c r="K924" s="42">
        <v>28.1</v>
      </c>
      <c r="L924" s="42">
        <v>28</v>
      </c>
      <c r="M924" s="48" t="s">
        <v>29</v>
      </c>
      <c r="N924" s="42" t="s">
        <v>1877</v>
      </c>
      <c r="O924" s="43">
        <v>44222</v>
      </c>
      <c r="P924" s="42" t="s">
        <v>36</v>
      </c>
      <c r="Q924" s="42">
        <v>27.4</v>
      </c>
      <c r="R924" s="46" t="s">
        <v>31</v>
      </c>
      <c r="S924" s="43">
        <v>44222</v>
      </c>
      <c r="T924" s="51">
        <f t="shared" si="36"/>
        <v>3</v>
      </c>
      <c r="U924" s="52" t="str">
        <f t="shared" si="37"/>
        <v>Não Detectável</v>
      </c>
    </row>
    <row r="925" spans="1:21" ht="25.5" customHeight="1" x14ac:dyDescent="0.2">
      <c r="A925" s="51">
        <v>924</v>
      </c>
      <c r="B925" s="50" t="s">
        <v>1897</v>
      </c>
      <c r="C925" s="51">
        <v>61</v>
      </c>
      <c r="D925" s="51" t="s">
        <v>25</v>
      </c>
      <c r="E925" s="43" t="s">
        <v>1880</v>
      </c>
      <c r="F925" s="44" t="s">
        <v>60</v>
      </c>
      <c r="G925" s="51">
        <v>349</v>
      </c>
      <c r="H925" s="43">
        <v>44221</v>
      </c>
      <c r="I925" s="42" t="s">
        <v>1864</v>
      </c>
      <c r="J925" s="43">
        <v>44221</v>
      </c>
      <c r="K925" s="42">
        <v>28.1</v>
      </c>
      <c r="L925" s="42">
        <v>28</v>
      </c>
      <c r="M925" s="48" t="s">
        <v>29</v>
      </c>
      <c r="N925" s="42" t="s">
        <v>1877</v>
      </c>
      <c r="O925" s="43">
        <v>44222</v>
      </c>
      <c r="P925" s="42" t="s">
        <v>36</v>
      </c>
      <c r="Q925" s="42">
        <v>29</v>
      </c>
      <c r="R925" s="46" t="s">
        <v>31</v>
      </c>
      <c r="S925" s="43">
        <v>44222</v>
      </c>
      <c r="T925" s="51">
        <f t="shared" si="36"/>
        <v>3</v>
      </c>
      <c r="U925" s="52" t="str">
        <f t="shared" si="37"/>
        <v>Não Detectável</v>
      </c>
    </row>
    <row r="926" spans="1:21" ht="25.5" customHeight="1" x14ac:dyDescent="0.2">
      <c r="A926" s="51">
        <v>925</v>
      </c>
      <c r="B926" s="50" t="s">
        <v>1898</v>
      </c>
      <c r="C926" s="51">
        <v>30</v>
      </c>
      <c r="D926" s="51" t="s">
        <v>25</v>
      </c>
      <c r="E926" s="43" t="s">
        <v>1880</v>
      </c>
      <c r="F926" s="44" t="s">
        <v>60</v>
      </c>
      <c r="G926" s="51">
        <v>349</v>
      </c>
      <c r="H926" s="43">
        <v>44221</v>
      </c>
      <c r="I926" s="42" t="s">
        <v>1864</v>
      </c>
      <c r="J926" s="43">
        <v>44221</v>
      </c>
      <c r="K926" s="42">
        <v>28.1</v>
      </c>
      <c r="L926" s="42">
        <v>28</v>
      </c>
      <c r="M926" s="48" t="s">
        <v>29</v>
      </c>
      <c r="N926" s="42" t="s">
        <v>1877</v>
      </c>
      <c r="O926" s="43">
        <v>44222</v>
      </c>
      <c r="P926" s="42">
        <v>30.8</v>
      </c>
      <c r="Q926" s="42">
        <v>28.6</v>
      </c>
      <c r="R926" s="46" t="s">
        <v>29</v>
      </c>
      <c r="S926" s="43">
        <v>44222</v>
      </c>
      <c r="T926" s="51">
        <f t="shared" si="36"/>
        <v>3</v>
      </c>
      <c r="U926" s="52" t="str">
        <f t="shared" si="37"/>
        <v>Detectável</v>
      </c>
    </row>
    <row r="927" spans="1:21" ht="25.5" customHeight="1" x14ac:dyDescent="0.2">
      <c r="A927" s="51">
        <v>926</v>
      </c>
      <c r="B927" s="50" t="s">
        <v>1899</v>
      </c>
      <c r="C927" s="51">
        <v>20</v>
      </c>
      <c r="D927" s="51" t="s">
        <v>34</v>
      </c>
      <c r="E927" s="43" t="s">
        <v>1880</v>
      </c>
      <c r="F927" s="44" t="s">
        <v>60</v>
      </c>
      <c r="G927" s="51">
        <v>350</v>
      </c>
      <c r="H927" s="43">
        <v>44221</v>
      </c>
      <c r="I927" s="42" t="s">
        <v>1877</v>
      </c>
      <c r="J927" s="43">
        <v>44222</v>
      </c>
      <c r="K927" s="42">
        <v>37.200000000000003</v>
      </c>
      <c r="L927" s="42">
        <v>27.8</v>
      </c>
      <c r="M927" s="48" t="s">
        <v>29</v>
      </c>
      <c r="N927" s="42" t="s">
        <v>1900</v>
      </c>
      <c r="O927" s="43">
        <v>44223</v>
      </c>
      <c r="P927" s="42" t="s">
        <v>36</v>
      </c>
      <c r="Q927" s="42">
        <v>28.2</v>
      </c>
      <c r="R927" s="46" t="s">
        <v>31</v>
      </c>
      <c r="S927" s="43">
        <v>44223</v>
      </c>
      <c r="T927" s="51">
        <f t="shared" si="36"/>
        <v>3</v>
      </c>
      <c r="U927" s="52" t="str">
        <f t="shared" si="37"/>
        <v>Não Detectável</v>
      </c>
    </row>
    <row r="928" spans="1:21" ht="25.5" customHeight="1" x14ac:dyDescent="0.2">
      <c r="A928" s="51">
        <v>927</v>
      </c>
      <c r="B928" s="50" t="s">
        <v>1901</v>
      </c>
      <c r="C928" s="51">
        <v>36</v>
      </c>
      <c r="D928" s="51" t="s">
        <v>25</v>
      </c>
      <c r="E928" s="43">
        <v>44221</v>
      </c>
      <c r="F928" s="44" t="s">
        <v>60</v>
      </c>
      <c r="G928" s="51">
        <v>350</v>
      </c>
      <c r="H928" s="43">
        <v>44222</v>
      </c>
      <c r="I928" s="42" t="s">
        <v>1877</v>
      </c>
      <c r="J928" s="43">
        <v>44222</v>
      </c>
      <c r="K928" s="42">
        <v>37.200000000000003</v>
      </c>
      <c r="L928" s="42">
        <v>27.8</v>
      </c>
      <c r="M928" s="48" t="s">
        <v>29</v>
      </c>
      <c r="N928" s="42" t="s">
        <v>1900</v>
      </c>
      <c r="O928" s="43">
        <v>44223</v>
      </c>
      <c r="P928" s="42">
        <v>38.299999999999997</v>
      </c>
      <c r="Q928" s="42">
        <v>27.2</v>
      </c>
      <c r="R928" s="46" t="s">
        <v>201</v>
      </c>
      <c r="S928" s="43">
        <v>44223</v>
      </c>
      <c r="T928" s="51">
        <f t="shared" si="36"/>
        <v>3</v>
      </c>
      <c r="U928" s="52" t="str">
        <f t="shared" si="37"/>
        <v>Inconclusivo</v>
      </c>
    </row>
    <row r="929" spans="1:21" ht="25.5" customHeight="1" x14ac:dyDescent="0.2">
      <c r="A929" s="51">
        <v>928</v>
      </c>
      <c r="B929" s="50" t="s">
        <v>1902</v>
      </c>
      <c r="C929" s="51">
        <v>51</v>
      </c>
      <c r="D929" s="51" t="s">
        <v>25</v>
      </c>
      <c r="E929" s="43">
        <v>44221</v>
      </c>
      <c r="F929" s="44" t="s">
        <v>60</v>
      </c>
      <c r="G929" s="51">
        <v>350</v>
      </c>
      <c r="H929" s="43">
        <v>44222</v>
      </c>
      <c r="I929" s="42" t="s">
        <v>1877</v>
      </c>
      <c r="J929" s="43">
        <v>44222</v>
      </c>
      <c r="K929" s="42">
        <v>37.200000000000003</v>
      </c>
      <c r="L929" s="42">
        <v>27.8</v>
      </c>
      <c r="M929" s="48" t="s">
        <v>29</v>
      </c>
      <c r="N929" s="42" t="s">
        <v>1900</v>
      </c>
      <c r="O929" s="43">
        <v>44223</v>
      </c>
      <c r="P929" s="42" t="s">
        <v>36</v>
      </c>
      <c r="Q929" s="42">
        <v>26.8</v>
      </c>
      <c r="R929" s="46" t="s">
        <v>31</v>
      </c>
      <c r="S929" s="43">
        <v>44223</v>
      </c>
      <c r="T929" s="51">
        <f t="shared" si="36"/>
        <v>3</v>
      </c>
      <c r="U929" s="52" t="str">
        <f t="shared" si="37"/>
        <v>Não Detectável</v>
      </c>
    </row>
    <row r="930" spans="1:21" ht="25.5" customHeight="1" x14ac:dyDescent="0.2">
      <c r="A930" s="51">
        <v>929</v>
      </c>
      <c r="B930" s="50" t="s">
        <v>1903</v>
      </c>
      <c r="C930" s="51">
        <v>37</v>
      </c>
      <c r="D930" s="51" t="s">
        <v>25</v>
      </c>
      <c r="E930" s="43">
        <v>44221</v>
      </c>
      <c r="F930" s="44" t="s">
        <v>60</v>
      </c>
      <c r="G930" s="51">
        <v>351</v>
      </c>
      <c r="H930" s="43">
        <v>44222</v>
      </c>
      <c r="I930" s="42" t="s">
        <v>1877</v>
      </c>
      <c r="J930" s="43">
        <v>44222</v>
      </c>
      <c r="K930" s="42">
        <v>21.4</v>
      </c>
      <c r="L930" s="42">
        <v>27.4</v>
      </c>
      <c r="M930" s="48" t="s">
        <v>29</v>
      </c>
      <c r="N930" s="42" t="s">
        <v>1900</v>
      </c>
      <c r="O930" s="43">
        <v>44223</v>
      </c>
      <c r="P930" s="42">
        <v>22.4</v>
      </c>
      <c r="Q930" s="42">
        <v>28.2</v>
      </c>
      <c r="R930" s="46" t="s">
        <v>29</v>
      </c>
      <c r="S930" s="43">
        <v>44223</v>
      </c>
      <c r="T930" s="51">
        <f t="shared" si="36"/>
        <v>3</v>
      </c>
      <c r="U930" s="52" t="str">
        <f t="shared" si="37"/>
        <v>Detectável</v>
      </c>
    </row>
    <row r="931" spans="1:21" ht="25.5" customHeight="1" x14ac:dyDescent="0.2">
      <c r="A931" s="51">
        <v>930</v>
      </c>
      <c r="B931" s="50" t="s">
        <v>1904</v>
      </c>
      <c r="C931" s="51">
        <v>47</v>
      </c>
      <c r="D931" s="51" t="s">
        <v>25</v>
      </c>
      <c r="E931" s="43">
        <v>44221</v>
      </c>
      <c r="F931" s="44" t="s">
        <v>60</v>
      </c>
      <c r="G931" s="51">
        <v>351</v>
      </c>
      <c r="H931" s="43">
        <v>44222</v>
      </c>
      <c r="I931" s="42" t="s">
        <v>1877</v>
      </c>
      <c r="J931" s="43">
        <v>44222</v>
      </c>
      <c r="K931" s="42">
        <v>21.4</v>
      </c>
      <c r="L931" s="42">
        <v>27.4</v>
      </c>
      <c r="M931" s="48" t="s">
        <v>29</v>
      </c>
      <c r="N931" s="42" t="s">
        <v>1900</v>
      </c>
      <c r="O931" s="43">
        <v>44223</v>
      </c>
      <c r="P931" s="42">
        <v>16.399999999999999</v>
      </c>
      <c r="Q931" s="42">
        <v>27.4</v>
      </c>
      <c r="R931" s="46" t="s">
        <v>29</v>
      </c>
      <c r="S931" s="43">
        <v>44223</v>
      </c>
      <c r="T931" s="51">
        <f t="shared" si="36"/>
        <v>3</v>
      </c>
      <c r="U931" s="52" t="str">
        <f t="shared" si="37"/>
        <v>Detectável</v>
      </c>
    </row>
    <row r="932" spans="1:21" ht="25.5" customHeight="1" x14ac:dyDescent="0.2">
      <c r="A932" s="51">
        <v>931</v>
      </c>
      <c r="B932" s="50" t="s">
        <v>1905</v>
      </c>
      <c r="C932" s="51">
        <v>27</v>
      </c>
      <c r="D932" s="51" t="s">
        <v>34</v>
      </c>
      <c r="E932" s="43">
        <v>44221</v>
      </c>
      <c r="F932" s="44" t="s">
        <v>60</v>
      </c>
      <c r="G932" s="51">
        <v>351</v>
      </c>
      <c r="H932" s="43">
        <v>44222</v>
      </c>
      <c r="I932" s="42" t="s">
        <v>1877</v>
      </c>
      <c r="J932" s="43">
        <v>44222</v>
      </c>
      <c r="K932" s="42">
        <v>21.4</v>
      </c>
      <c r="L932" s="42">
        <v>27.4</v>
      </c>
      <c r="M932" s="48" t="s">
        <v>29</v>
      </c>
      <c r="N932" s="42" t="s">
        <v>1900</v>
      </c>
      <c r="O932" s="43">
        <v>44223</v>
      </c>
      <c r="P932" s="42">
        <v>37.5</v>
      </c>
      <c r="Q932" s="42">
        <v>27.4</v>
      </c>
      <c r="R932" s="46" t="s">
        <v>201</v>
      </c>
      <c r="S932" s="43">
        <v>44223</v>
      </c>
      <c r="T932" s="51">
        <f t="shared" si="36"/>
        <v>3</v>
      </c>
      <c r="U932" s="52" t="str">
        <f t="shared" si="37"/>
        <v>Inconclusivo</v>
      </c>
    </row>
    <row r="933" spans="1:21" ht="25.5" customHeight="1" x14ac:dyDescent="0.2">
      <c r="A933" s="51">
        <v>932</v>
      </c>
      <c r="B933" s="50" t="s">
        <v>1906</v>
      </c>
      <c r="C933" s="51">
        <v>36</v>
      </c>
      <c r="D933" s="51" t="s">
        <v>34</v>
      </c>
      <c r="E933" s="43">
        <v>44221</v>
      </c>
      <c r="F933" s="44" t="s">
        <v>60</v>
      </c>
      <c r="G933" s="51">
        <v>352</v>
      </c>
      <c r="H933" s="43">
        <v>44222</v>
      </c>
      <c r="I933" s="42" t="s">
        <v>1877</v>
      </c>
      <c r="J933" s="43">
        <v>44222</v>
      </c>
      <c r="K933" s="42" t="s">
        <v>36</v>
      </c>
      <c r="L933" s="42">
        <v>27.3</v>
      </c>
      <c r="M933" s="45" t="s">
        <v>31</v>
      </c>
      <c r="N933" s="42" t="s">
        <v>60</v>
      </c>
      <c r="O933" s="43" t="s">
        <v>60</v>
      </c>
      <c r="P933" s="42" t="s">
        <v>60</v>
      </c>
      <c r="Q933" s="42" t="s">
        <v>60</v>
      </c>
      <c r="R933" s="46" t="s">
        <v>60</v>
      </c>
      <c r="S933" s="43">
        <v>44222</v>
      </c>
      <c r="T933" s="51">
        <f t="shared" si="36"/>
        <v>3</v>
      </c>
      <c r="U933" s="52" t="str">
        <f t="shared" si="37"/>
        <v>Não Detectável</v>
      </c>
    </row>
    <row r="934" spans="1:21" ht="25.5" customHeight="1" x14ac:dyDescent="0.2">
      <c r="A934" s="51">
        <v>933</v>
      </c>
      <c r="B934" s="50" t="s">
        <v>1907</v>
      </c>
      <c r="C934" s="51">
        <v>51</v>
      </c>
      <c r="D934" s="51" t="s">
        <v>25</v>
      </c>
      <c r="E934" s="43">
        <v>44221</v>
      </c>
      <c r="F934" s="44" t="s">
        <v>60</v>
      </c>
      <c r="G934" s="51">
        <v>352</v>
      </c>
      <c r="H934" s="43">
        <v>44222</v>
      </c>
      <c r="I934" s="42" t="s">
        <v>1877</v>
      </c>
      <c r="J934" s="43">
        <v>44222</v>
      </c>
      <c r="K934" s="42" t="s">
        <v>36</v>
      </c>
      <c r="L934" s="42">
        <v>27.3</v>
      </c>
      <c r="M934" s="45" t="s">
        <v>31</v>
      </c>
      <c r="N934" s="42" t="s">
        <v>60</v>
      </c>
      <c r="O934" s="43" t="s">
        <v>60</v>
      </c>
      <c r="P934" s="42" t="s">
        <v>60</v>
      </c>
      <c r="Q934" s="42" t="s">
        <v>60</v>
      </c>
      <c r="R934" s="46" t="s">
        <v>60</v>
      </c>
      <c r="S934" s="43">
        <v>44222</v>
      </c>
      <c r="T934" s="51">
        <f t="shared" si="36"/>
        <v>3</v>
      </c>
      <c r="U934" s="52" t="str">
        <f t="shared" si="37"/>
        <v>Não Detectável</v>
      </c>
    </row>
    <row r="935" spans="1:21" ht="25.5" customHeight="1" x14ac:dyDescent="0.2">
      <c r="A935" s="51">
        <v>934</v>
      </c>
      <c r="B935" s="50" t="s">
        <v>1908</v>
      </c>
      <c r="C935" s="51">
        <v>32</v>
      </c>
      <c r="D935" s="51" t="s">
        <v>25</v>
      </c>
      <c r="E935" s="43">
        <v>44221</v>
      </c>
      <c r="F935" s="44" t="s">
        <v>60</v>
      </c>
      <c r="G935" s="51">
        <v>352</v>
      </c>
      <c r="H935" s="43">
        <v>44222</v>
      </c>
      <c r="I935" s="42" t="s">
        <v>1877</v>
      </c>
      <c r="J935" s="43">
        <v>44222</v>
      </c>
      <c r="K935" s="42" t="s">
        <v>36</v>
      </c>
      <c r="L935" s="42">
        <v>27.3</v>
      </c>
      <c r="M935" s="45" t="s">
        <v>31</v>
      </c>
      <c r="N935" s="42" t="s">
        <v>60</v>
      </c>
      <c r="O935" s="43" t="s">
        <v>60</v>
      </c>
      <c r="P935" s="42" t="s">
        <v>60</v>
      </c>
      <c r="Q935" s="42" t="s">
        <v>60</v>
      </c>
      <c r="R935" s="46" t="s">
        <v>60</v>
      </c>
      <c r="S935" s="43">
        <v>44222</v>
      </c>
      <c r="T935" s="51">
        <f t="shared" si="36"/>
        <v>3</v>
      </c>
      <c r="U935" s="52" t="str">
        <f t="shared" si="37"/>
        <v>Não Detectável</v>
      </c>
    </row>
    <row r="936" spans="1:21" ht="25.5" customHeight="1" x14ac:dyDescent="0.2">
      <c r="A936" s="51">
        <v>935</v>
      </c>
      <c r="B936" s="50" t="s">
        <v>1909</v>
      </c>
      <c r="C936" s="51">
        <v>34</v>
      </c>
      <c r="D936" s="51" t="s">
        <v>34</v>
      </c>
      <c r="E936" s="43">
        <v>44221</v>
      </c>
      <c r="F936" s="44" t="s">
        <v>60</v>
      </c>
      <c r="G936" s="51">
        <v>353</v>
      </c>
      <c r="H936" s="43">
        <v>44222</v>
      </c>
      <c r="I936" s="42" t="s">
        <v>1877</v>
      </c>
      <c r="J936" s="43">
        <v>44222</v>
      </c>
      <c r="K936" s="42">
        <f>AVERAGE(25.857,25.752)</f>
        <v>25.804499999999997</v>
      </c>
      <c r="L936" s="42">
        <f>AVERAGE(25.644,25.558)</f>
        <v>25.600999999999999</v>
      </c>
      <c r="M936" s="48" t="s">
        <v>29</v>
      </c>
      <c r="N936" s="42" t="s">
        <v>1900</v>
      </c>
      <c r="O936" s="43">
        <v>44223</v>
      </c>
      <c r="P936" s="42">
        <v>26.3</v>
      </c>
      <c r="Q936" s="42">
        <v>26.9</v>
      </c>
      <c r="R936" s="46" t="s">
        <v>29</v>
      </c>
      <c r="S936" s="43">
        <v>44223</v>
      </c>
      <c r="T936" s="51">
        <f t="shared" si="36"/>
        <v>3</v>
      </c>
      <c r="U936" s="52" t="str">
        <f t="shared" si="37"/>
        <v>Detectável</v>
      </c>
    </row>
    <row r="937" spans="1:21" ht="25.5" customHeight="1" x14ac:dyDescent="0.2">
      <c r="A937" s="51">
        <v>936</v>
      </c>
      <c r="B937" s="50" t="s">
        <v>1910</v>
      </c>
      <c r="C937" s="51">
        <v>52</v>
      </c>
      <c r="D937" s="51" t="s">
        <v>25</v>
      </c>
      <c r="E937" s="43">
        <v>44221</v>
      </c>
      <c r="F937" s="44" t="s">
        <v>60</v>
      </c>
      <c r="G937" s="51">
        <v>353</v>
      </c>
      <c r="H937" s="43">
        <v>44222</v>
      </c>
      <c r="I937" s="42" t="s">
        <v>1877</v>
      </c>
      <c r="J937" s="43">
        <v>44222</v>
      </c>
      <c r="K937" s="42">
        <f>AVERAGE(25.857,25.752)</f>
        <v>25.804499999999997</v>
      </c>
      <c r="L937" s="42">
        <f>AVERAGE(25.644,25.558)</f>
        <v>25.600999999999999</v>
      </c>
      <c r="M937" s="48" t="s">
        <v>29</v>
      </c>
      <c r="N937" s="42" t="s">
        <v>1900</v>
      </c>
      <c r="O937" s="43">
        <v>44223</v>
      </c>
      <c r="P937" s="42">
        <f>AVERAGE(26.934,26.952)</f>
        <v>26.943000000000001</v>
      </c>
      <c r="Q937" s="42">
        <f>AVERAGE(25.99,26.004)</f>
        <v>25.997</v>
      </c>
      <c r="R937" s="46" t="s">
        <v>29</v>
      </c>
      <c r="S937" s="43">
        <v>44223</v>
      </c>
      <c r="T937" s="51">
        <f t="shared" si="36"/>
        <v>3</v>
      </c>
      <c r="U937" s="52" t="str">
        <f t="shared" si="37"/>
        <v>Detectável</v>
      </c>
    </row>
    <row r="938" spans="1:21" ht="25.5" customHeight="1" x14ac:dyDescent="0.2">
      <c r="A938" s="51">
        <v>937</v>
      </c>
      <c r="B938" s="50" t="s">
        <v>1911</v>
      </c>
      <c r="C938" s="51">
        <v>31</v>
      </c>
      <c r="D938" s="51" t="s">
        <v>34</v>
      </c>
      <c r="E938" s="43">
        <v>44221</v>
      </c>
      <c r="F938" s="44" t="s">
        <v>60</v>
      </c>
      <c r="G938" s="51">
        <v>353</v>
      </c>
      <c r="H938" s="43">
        <v>44222</v>
      </c>
      <c r="I938" s="42" t="s">
        <v>1877</v>
      </c>
      <c r="J938" s="43">
        <v>44222</v>
      </c>
      <c r="K938" s="42">
        <f>AVERAGE(25.857,25.752)</f>
        <v>25.804499999999997</v>
      </c>
      <c r="L938" s="42">
        <f>AVERAGE(25.644,25.558)</f>
        <v>25.600999999999999</v>
      </c>
      <c r="M938" s="48" t="s">
        <v>29</v>
      </c>
      <c r="N938" s="42" t="s">
        <v>1900</v>
      </c>
      <c r="O938" s="43">
        <v>44223</v>
      </c>
      <c r="P938" s="42" t="s">
        <v>36</v>
      </c>
      <c r="Q938" s="42">
        <v>25.4</v>
      </c>
      <c r="R938" s="46" t="s">
        <v>31</v>
      </c>
      <c r="S938" s="43">
        <v>44223</v>
      </c>
      <c r="T938" s="51">
        <f t="shared" si="36"/>
        <v>3</v>
      </c>
      <c r="U938" s="52" t="str">
        <f t="shared" si="37"/>
        <v>Não Detectável</v>
      </c>
    </row>
    <row r="939" spans="1:21" ht="25.5" customHeight="1" x14ac:dyDescent="0.2">
      <c r="A939" s="51">
        <v>938</v>
      </c>
      <c r="B939" s="50" t="s">
        <v>1912</v>
      </c>
      <c r="C939" s="51">
        <v>66</v>
      </c>
      <c r="D939" s="51" t="s">
        <v>34</v>
      </c>
      <c r="E939" s="43">
        <v>44221</v>
      </c>
      <c r="F939" s="44" t="s">
        <v>60</v>
      </c>
      <c r="G939" s="51">
        <v>354</v>
      </c>
      <c r="H939" s="43">
        <v>44222</v>
      </c>
      <c r="I939" s="42" t="s">
        <v>1900</v>
      </c>
      <c r="J939" s="43">
        <v>44223</v>
      </c>
      <c r="K939" s="42" t="s">
        <v>36</v>
      </c>
      <c r="L939" s="42">
        <v>28.5</v>
      </c>
      <c r="M939" s="45" t="s">
        <v>31</v>
      </c>
      <c r="N939" s="42" t="s">
        <v>60</v>
      </c>
      <c r="O939" s="43" t="s">
        <v>60</v>
      </c>
      <c r="P939" s="42" t="s">
        <v>60</v>
      </c>
      <c r="Q939" s="42" t="s">
        <v>60</v>
      </c>
      <c r="R939" s="46" t="s">
        <v>60</v>
      </c>
      <c r="S939" s="43">
        <v>44223</v>
      </c>
      <c r="T939" s="51">
        <f t="shared" si="36"/>
        <v>3</v>
      </c>
      <c r="U939" s="52" t="str">
        <f t="shared" si="37"/>
        <v>Não Detectável</v>
      </c>
    </row>
    <row r="940" spans="1:21" ht="25.5" customHeight="1" x14ac:dyDescent="0.2">
      <c r="A940" s="51">
        <v>939</v>
      </c>
      <c r="B940" s="50" t="s">
        <v>1913</v>
      </c>
      <c r="C940" s="51">
        <v>47</v>
      </c>
      <c r="D940" s="51" t="s">
        <v>34</v>
      </c>
      <c r="E940" s="43" t="s">
        <v>1914</v>
      </c>
      <c r="F940" s="44" t="s">
        <v>60</v>
      </c>
      <c r="G940" s="51">
        <v>354</v>
      </c>
      <c r="H940" s="43">
        <v>44223</v>
      </c>
      <c r="I940" s="42" t="s">
        <v>1900</v>
      </c>
      <c r="J940" s="43">
        <v>44223</v>
      </c>
      <c r="K940" s="42" t="s">
        <v>36</v>
      </c>
      <c r="L940" s="42">
        <v>28.5</v>
      </c>
      <c r="M940" s="45" t="s">
        <v>31</v>
      </c>
      <c r="N940" s="42" t="s">
        <v>60</v>
      </c>
      <c r="O940" s="43" t="s">
        <v>60</v>
      </c>
      <c r="P940" s="42" t="s">
        <v>60</v>
      </c>
      <c r="Q940" s="42" t="s">
        <v>60</v>
      </c>
      <c r="R940" s="46" t="s">
        <v>60</v>
      </c>
      <c r="S940" s="43">
        <v>44223</v>
      </c>
      <c r="T940" s="51">
        <f t="shared" si="36"/>
        <v>3</v>
      </c>
      <c r="U940" s="52" t="str">
        <f t="shared" si="37"/>
        <v>Não Detectável</v>
      </c>
    </row>
    <row r="941" spans="1:21" ht="25.5" customHeight="1" x14ac:dyDescent="0.2">
      <c r="A941" s="51">
        <v>940</v>
      </c>
      <c r="B941" s="50" t="s">
        <v>1915</v>
      </c>
      <c r="C941" s="51">
        <v>31</v>
      </c>
      <c r="D941" s="51" t="s">
        <v>34</v>
      </c>
      <c r="E941" s="43" t="s">
        <v>1914</v>
      </c>
      <c r="F941" s="44" t="s">
        <v>60</v>
      </c>
      <c r="G941" s="51">
        <v>354</v>
      </c>
      <c r="H941" s="43">
        <v>44223</v>
      </c>
      <c r="I941" s="42" t="s">
        <v>1900</v>
      </c>
      <c r="J941" s="43">
        <v>44223</v>
      </c>
      <c r="K941" s="42" t="s">
        <v>36</v>
      </c>
      <c r="L941" s="42">
        <v>28.5</v>
      </c>
      <c r="M941" s="45" t="s">
        <v>31</v>
      </c>
      <c r="N941" s="42" t="s">
        <v>60</v>
      </c>
      <c r="O941" s="43" t="s">
        <v>60</v>
      </c>
      <c r="P941" s="42" t="s">
        <v>60</v>
      </c>
      <c r="Q941" s="42" t="s">
        <v>60</v>
      </c>
      <c r="R941" s="46" t="s">
        <v>60</v>
      </c>
      <c r="S941" s="43">
        <v>44223</v>
      </c>
      <c r="T941" s="51">
        <f t="shared" si="36"/>
        <v>3</v>
      </c>
      <c r="U941" s="52" t="str">
        <f t="shared" si="37"/>
        <v>Não Detectável</v>
      </c>
    </row>
    <row r="942" spans="1:21" ht="25.5" customHeight="1" x14ac:dyDescent="0.2">
      <c r="A942" s="51">
        <v>941</v>
      </c>
      <c r="B942" s="50" t="s">
        <v>1916</v>
      </c>
      <c r="C942" s="51">
        <v>57</v>
      </c>
      <c r="D942" s="51" t="s">
        <v>25</v>
      </c>
      <c r="E942" s="43" t="s">
        <v>1914</v>
      </c>
      <c r="F942" s="44" t="s">
        <v>60</v>
      </c>
      <c r="G942" s="51">
        <v>355</v>
      </c>
      <c r="H942" s="43">
        <v>44223</v>
      </c>
      <c r="I942" s="42" t="s">
        <v>1900</v>
      </c>
      <c r="J942" s="43">
        <v>44223</v>
      </c>
      <c r="K942" s="42" t="s">
        <v>36</v>
      </c>
      <c r="L942" s="42">
        <v>28.1</v>
      </c>
      <c r="M942" s="45" t="s">
        <v>31</v>
      </c>
      <c r="N942" s="42" t="s">
        <v>60</v>
      </c>
      <c r="O942" s="43" t="s">
        <v>60</v>
      </c>
      <c r="P942" s="42" t="s">
        <v>60</v>
      </c>
      <c r="Q942" s="42" t="s">
        <v>60</v>
      </c>
      <c r="R942" s="46" t="s">
        <v>60</v>
      </c>
      <c r="S942" s="43">
        <v>44223</v>
      </c>
      <c r="T942" s="51">
        <f t="shared" si="36"/>
        <v>3</v>
      </c>
      <c r="U942" s="52" t="str">
        <f t="shared" ref="U942:U947" si="38">IF(M945="Não Detectável","Não Detectável",IF(R945="","",R945))</f>
        <v>Não Detectável</v>
      </c>
    </row>
    <row r="943" spans="1:21" ht="25.5" customHeight="1" x14ac:dyDescent="0.2">
      <c r="A943" s="51">
        <v>942</v>
      </c>
      <c r="B943" s="50" t="s">
        <v>1917</v>
      </c>
      <c r="C943" s="51">
        <v>57</v>
      </c>
      <c r="D943" s="51" t="s">
        <v>34</v>
      </c>
      <c r="E943" s="43" t="s">
        <v>1914</v>
      </c>
      <c r="F943" s="44" t="s">
        <v>60</v>
      </c>
      <c r="G943" s="51">
        <v>355</v>
      </c>
      <c r="H943" s="43">
        <v>44223</v>
      </c>
      <c r="I943" s="42" t="s">
        <v>1900</v>
      </c>
      <c r="J943" s="43">
        <v>44223</v>
      </c>
      <c r="K943" s="42" t="s">
        <v>36</v>
      </c>
      <c r="L943" s="42">
        <v>28.1</v>
      </c>
      <c r="M943" s="45" t="s">
        <v>31</v>
      </c>
      <c r="N943" s="42" t="s">
        <v>60</v>
      </c>
      <c r="O943" s="43" t="s">
        <v>60</v>
      </c>
      <c r="P943" s="42" t="s">
        <v>60</v>
      </c>
      <c r="Q943" s="42" t="s">
        <v>60</v>
      </c>
      <c r="R943" s="46" t="s">
        <v>60</v>
      </c>
      <c r="S943" s="43">
        <v>44223</v>
      </c>
      <c r="T943" s="51">
        <f t="shared" si="36"/>
        <v>3</v>
      </c>
      <c r="U943" s="52" t="str">
        <f t="shared" si="38"/>
        <v>Não Detectável</v>
      </c>
    </row>
    <row r="944" spans="1:21" ht="25.5" customHeight="1" x14ac:dyDescent="0.2">
      <c r="A944" s="51">
        <v>943</v>
      </c>
      <c r="B944" s="50" t="s">
        <v>1918</v>
      </c>
      <c r="C944" s="51">
        <v>48</v>
      </c>
      <c r="D944" s="51" t="s">
        <v>34</v>
      </c>
      <c r="E944" s="43" t="s">
        <v>1914</v>
      </c>
      <c r="F944" s="44" t="s">
        <v>60</v>
      </c>
      <c r="G944" s="51">
        <v>355</v>
      </c>
      <c r="H944" s="43">
        <v>44223</v>
      </c>
      <c r="I944" s="42" t="s">
        <v>1900</v>
      </c>
      <c r="J944" s="43">
        <v>44223</v>
      </c>
      <c r="K944" s="42" t="s">
        <v>36</v>
      </c>
      <c r="L944" s="42">
        <v>28.1</v>
      </c>
      <c r="M944" s="45" t="s">
        <v>31</v>
      </c>
      <c r="N944" s="42" t="s">
        <v>60</v>
      </c>
      <c r="O944" s="43" t="s">
        <v>60</v>
      </c>
      <c r="P944" s="42" t="s">
        <v>60</v>
      </c>
      <c r="Q944" s="42" t="s">
        <v>60</v>
      </c>
      <c r="R944" s="46" t="s">
        <v>60</v>
      </c>
      <c r="S944" s="43">
        <v>44223</v>
      </c>
      <c r="T944" s="51">
        <f t="shared" si="36"/>
        <v>3</v>
      </c>
      <c r="U944" s="52" t="str">
        <f t="shared" si="38"/>
        <v>Detectável</v>
      </c>
    </row>
    <row r="945" spans="1:21" ht="25.5" customHeight="1" x14ac:dyDescent="0.2">
      <c r="A945" s="51">
        <v>944</v>
      </c>
      <c r="B945" s="50" t="s">
        <v>1919</v>
      </c>
      <c r="C945" s="51">
        <v>39</v>
      </c>
      <c r="D945" s="51" t="s">
        <v>25</v>
      </c>
      <c r="E945" s="43" t="s">
        <v>1914</v>
      </c>
      <c r="F945" s="44" t="s">
        <v>60</v>
      </c>
      <c r="G945" s="51">
        <v>356</v>
      </c>
      <c r="H945" s="43">
        <v>44223</v>
      </c>
      <c r="I945" s="42" t="s">
        <v>1900</v>
      </c>
      <c r="J945" s="43">
        <v>44223</v>
      </c>
      <c r="K945" s="42">
        <v>22.3</v>
      </c>
      <c r="L945" s="42">
        <v>26.8</v>
      </c>
      <c r="M945" s="48" t="s">
        <v>29</v>
      </c>
      <c r="N945" s="42" t="s">
        <v>1920</v>
      </c>
      <c r="O945" s="43">
        <v>44224</v>
      </c>
      <c r="P945" s="42" t="s">
        <v>36</v>
      </c>
      <c r="Q945" s="42">
        <v>26.1</v>
      </c>
      <c r="R945" s="46" t="s">
        <v>31</v>
      </c>
      <c r="S945" s="43">
        <v>44224</v>
      </c>
      <c r="T945" s="51">
        <f t="shared" si="36"/>
        <v>3</v>
      </c>
      <c r="U945" s="52" t="str">
        <f t="shared" si="38"/>
        <v>Não Detectável</v>
      </c>
    </row>
    <row r="946" spans="1:21" ht="25.5" customHeight="1" x14ac:dyDescent="0.2">
      <c r="A946" s="51">
        <v>945</v>
      </c>
      <c r="B946" s="50" t="s">
        <v>1921</v>
      </c>
      <c r="C946" s="51">
        <v>69</v>
      </c>
      <c r="D946" s="51" t="s">
        <v>25</v>
      </c>
      <c r="E946" s="43" t="s">
        <v>1914</v>
      </c>
      <c r="F946" s="44" t="s">
        <v>60</v>
      </c>
      <c r="G946" s="51">
        <v>356</v>
      </c>
      <c r="H946" s="43">
        <v>44223</v>
      </c>
      <c r="I946" s="42" t="s">
        <v>1900</v>
      </c>
      <c r="J946" s="43">
        <v>44223</v>
      </c>
      <c r="K946" s="42">
        <v>22.3</v>
      </c>
      <c r="L946" s="42">
        <v>26.8</v>
      </c>
      <c r="M946" s="48" t="s">
        <v>29</v>
      </c>
      <c r="N946" s="42" t="s">
        <v>1920</v>
      </c>
      <c r="O946" s="43">
        <v>44224</v>
      </c>
      <c r="P946" s="42" t="s">
        <v>36</v>
      </c>
      <c r="Q946" s="42">
        <v>27.8</v>
      </c>
      <c r="R946" s="46" t="s">
        <v>31</v>
      </c>
      <c r="S946" s="43">
        <v>44224</v>
      </c>
      <c r="T946" s="51">
        <f t="shared" si="36"/>
        <v>3</v>
      </c>
      <c r="U946" s="52" t="str">
        <f t="shared" si="38"/>
        <v>Não Detectável</v>
      </c>
    </row>
    <row r="947" spans="1:21" ht="25.5" customHeight="1" x14ac:dyDescent="0.2">
      <c r="A947" s="51">
        <v>946</v>
      </c>
      <c r="B947" s="50" t="s">
        <v>1922</v>
      </c>
      <c r="C947" s="51">
        <v>27</v>
      </c>
      <c r="D947" s="51" t="s">
        <v>25</v>
      </c>
      <c r="E947" s="43" t="s">
        <v>1914</v>
      </c>
      <c r="F947" s="44" t="s">
        <v>60</v>
      </c>
      <c r="G947" s="51">
        <v>356</v>
      </c>
      <c r="H947" s="43">
        <v>44223</v>
      </c>
      <c r="I947" s="42" t="s">
        <v>1900</v>
      </c>
      <c r="J947" s="43">
        <v>44223</v>
      </c>
      <c r="K947" s="42">
        <v>22.3</v>
      </c>
      <c r="L947" s="42">
        <v>26.8</v>
      </c>
      <c r="M947" s="48" t="s">
        <v>29</v>
      </c>
      <c r="N947" s="42" t="s">
        <v>1920</v>
      </c>
      <c r="O947" s="43">
        <v>44224</v>
      </c>
      <c r="P947" s="42">
        <v>20.7</v>
      </c>
      <c r="Q947" s="42">
        <v>28.1</v>
      </c>
      <c r="R947" s="46" t="s">
        <v>29</v>
      </c>
      <c r="S947" s="43">
        <v>44224</v>
      </c>
      <c r="T947" s="51">
        <f t="shared" si="36"/>
        <v>3</v>
      </c>
      <c r="U947" s="52" t="str">
        <f t="shared" si="38"/>
        <v>Não Detectável</v>
      </c>
    </row>
    <row r="948" spans="1:21" ht="25.5" customHeight="1" x14ac:dyDescent="0.2">
      <c r="A948" s="51">
        <v>947</v>
      </c>
      <c r="B948" s="50" t="s">
        <v>1923</v>
      </c>
      <c r="C948" s="51">
        <v>28</v>
      </c>
      <c r="D948" s="51" t="s">
        <v>34</v>
      </c>
      <c r="E948" s="43" t="s">
        <v>1914</v>
      </c>
      <c r="F948" s="44" t="s">
        <v>60</v>
      </c>
      <c r="G948" s="51">
        <v>357</v>
      </c>
      <c r="H948" s="43">
        <v>44223</v>
      </c>
      <c r="I948" s="42" t="s">
        <v>1900</v>
      </c>
      <c r="J948" s="43">
        <v>44223</v>
      </c>
      <c r="K948" s="42" t="s">
        <v>36</v>
      </c>
      <c r="L948" s="42">
        <v>26.9</v>
      </c>
      <c r="M948" s="45" t="s">
        <v>31</v>
      </c>
      <c r="N948" s="42" t="s">
        <v>60</v>
      </c>
      <c r="O948" s="43" t="s">
        <v>60</v>
      </c>
      <c r="P948" s="42" t="s">
        <v>60</v>
      </c>
      <c r="Q948" s="42" t="s">
        <v>60</v>
      </c>
      <c r="R948" s="46" t="s">
        <v>60</v>
      </c>
      <c r="S948" s="43">
        <v>44223</v>
      </c>
      <c r="T948" s="51">
        <f t="shared" si="36"/>
        <v>3</v>
      </c>
      <c r="U948" s="52" t="str">
        <f t="shared" ref="U948:U1011" si="39">IF(M948="Não Detectável","Não Detectável",IF(R948="","",R948))</f>
        <v>Não Detectável</v>
      </c>
    </row>
    <row r="949" spans="1:21" ht="25.5" customHeight="1" x14ac:dyDescent="0.2">
      <c r="A949" s="51">
        <v>948</v>
      </c>
      <c r="B949" s="50" t="s">
        <v>1924</v>
      </c>
      <c r="C949" s="51">
        <v>43</v>
      </c>
      <c r="D949" s="51" t="s">
        <v>25</v>
      </c>
      <c r="E949" s="43" t="s">
        <v>1914</v>
      </c>
      <c r="F949" s="44" t="s">
        <v>60</v>
      </c>
      <c r="G949" s="51">
        <v>357</v>
      </c>
      <c r="H949" s="43">
        <v>44223</v>
      </c>
      <c r="I949" s="42" t="s">
        <v>1900</v>
      </c>
      <c r="J949" s="43">
        <v>44223</v>
      </c>
      <c r="K949" s="42" t="s">
        <v>36</v>
      </c>
      <c r="L949" s="42">
        <v>26.9</v>
      </c>
      <c r="M949" s="45" t="s">
        <v>31</v>
      </c>
      <c r="N949" s="42" t="s">
        <v>60</v>
      </c>
      <c r="O949" s="43" t="s">
        <v>60</v>
      </c>
      <c r="P949" s="42" t="s">
        <v>60</v>
      </c>
      <c r="Q949" s="42" t="s">
        <v>60</v>
      </c>
      <c r="R949" s="46" t="s">
        <v>60</v>
      </c>
      <c r="S949" s="43">
        <v>44223</v>
      </c>
      <c r="T949" s="51">
        <f t="shared" ref="T949:T1012" si="40">COUNTIF(G:G,G949)</f>
        <v>3</v>
      </c>
      <c r="U949" s="52" t="str">
        <f t="shared" si="39"/>
        <v>Não Detectável</v>
      </c>
    </row>
    <row r="950" spans="1:21" ht="25.5" customHeight="1" x14ac:dyDescent="0.2">
      <c r="A950" s="51">
        <v>949</v>
      </c>
      <c r="B950" s="50" t="s">
        <v>1925</v>
      </c>
      <c r="C950" s="51">
        <v>20</v>
      </c>
      <c r="D950" s="51" t="s">
        <v>34</v>
      </c>
      <c r="E950" s="43" t="s">
        <v>1914</v>
      </c>
      <c r="F950" s="44" t="s">
        <v>60</v>
      </c>
      <c r="G950" s="51">
        <v>357</v>
      </c>
      <c r="H950" s="43">
        <v>44223</v>
      </c>
      <c r="I950" s="42" t="s">
        <v>1900</v>
      </c>
      <c r="J950" s="43">
        <v>44223</v>
      </c>
      <c r="K950" s="42" t="s">
        <v>36</v>
      </c>
      <c r="L950" s="42">
        <v>26.9</v>
      </c>
      <c r="M950" s="45" t="s">
        <v>31</v>
      </c>
      <c r="N950" s="42" t="s">
        <v>60</v>
      </c>
      <c r="O950" s="43" t="s">
        <v>60</v>
      </c>
      <c r="P950" s="42" t="s">
        <v>60</v>
      </c>
      <c r="Q950" s="42" t="s">
        <v>60</v>
      </c>
      <c r="R950" s="46" t="s">
        <v>60</v>
      </c>
      <c r="S950" s="43">
        <v>44223</v>
      </c>
      <c r="T950" s="51">
        <f t="shared" si="40"/>
        <v>3</v>
      </c>
      <c r="U950" s="52" t="str">
        <f t="shared" si="39"/>
        <v>Não Detectável</v>
      </c>
    </row>
    <row r="951" spans="1:21" ht="25.5" customHeight="1" x14ac:dyDescent="0.2">
      <c r="A951" s="51">
        <v>950</v>
      </c>
      <c r="B951" s="50" t="s">
        <v>1926</v>
      </c>
      <c r="C951" s="51">
        <v>42</v>
      </c>
      <c r="D951" s="51" t="s">
        <v>25</v>
      </c>
      <c r="E951" s="43" t="s">
        <v>1914</v>
      </c>
      <c r="F951" s="44" t="s">
        <v>60</v>
      </c>
      <c r="G951" s="51">
        <v>358</v>
      </c>
      <c r="H951" s="43">
        <v>44223</v>
      </c>
      <c r="I951" s="42" t="s">
        <v>1900</v>
      </c>
      <c r="J951" s="43">
        <v>44223</v>
      </c>
      <c r="K951" s="42" t="s">
        <v>36</v>
      </c>
      <c r="L951" s="42">
        <v>27.3</v>
      </c>
      <c r="M951" s="45" t="s">
        <v>31</v>
      </c>
      <c r="N951" s="42" t="s">
        <v>60</v>
      </c>
      <c r="O951" s="43" t="s">
        <v>60</v>
      </c>
      <c r="P951" s="42" t="s">
        <v>60</v>
      </c>
      <c r="Q951" s="42" t="s">
        <v>60</v>
      </c>
      <c r="R951" s="46" t="s">
        <v>60</v>
      </c>
      <c r="S951" s="43">
        <v>44223</v>
      </c>
      <c r="T951" s="51">
        <f t="shared" si="40"/>
        <v>3</v>
      </c>
      <c r="U951" s="52" t="str">
        <f t="shared" si="39"/>
        <v>Não Detectável</v>
      </c>
    </row>
    <row r="952" spans="1:21" ht="25.5" customHeight="1" x14ac:dyDescent="0.2">
      <c r="A952" s="51">
        <v>951</v>
      </c>
      <c r="B952" s="50" t="s">
        <v>1927</v>
      </c>
      <c r="C952" s="51">
        <v>47</v>
      </c>
      <c r="D952" s="51" t="s">
        <v>34</v>
      </c>
      <c r="E952" s="43" t="s">
        <v>1914</v>
      </c>
      <c r="F952" s="44" t="s">
        <v>60</v>
      </c>
      <c r="G952" s="51">
        <v>358</v>
      </c>
      <c r="H952" s="43">
        <v>44223</v>
      </c>
      <c r="I952" s="42" t="s">
        <v>1900</v>
      </c>
      <c r="J952" s="43">
        <v>44223</v>
      </c>
      <c r="K952" s="42" t="s">
        <v>36</v>
      </c>
      <c r="L952" s="42">
        <v>27.3</v>
      </c>
      <c r="M952" s="45" t="s">
        <v>31</v>
      </c>
      <c r="N952" s="42" t="s">
        <v>60</v>
      </c>
      <c r="O952" s="43" t="s">
        <v>60</v>
      </c>
      <c r="P952" s="42" t="s">
        <v>60</v>
      </c>
      <c r="Q952" s="42" t="s">
        <v>60</v>
      </c>
      <c r="R952" s="46" t="s">
        <v>60</v>
      </c>
      <c r="S952" s="43">
        <v>44223</v>
      </c>
      <c r="T952" s="51">
        <f t="shared" si="40"/>
        <v>3</v>
      </c>
      <c r="U952" s="52" t="str">
        <f t="shared" si="39"/>
        <v>Não Detectável</v>
      </c>
    </row>
    <row r="953" spans="1:21" ht="25.5" customHeight="1" x14ac:dyDescent="0.2">
      <c r="A953" s="51">
        <v>952</v>
      </c>
      <c r="B953" s="50" t="s">
        <v>1928</v>
      </c>
      <c r="C953" s="51">
        <v>19</v>
      </c>
      <c r="D953" s="51" t="s">
        <v>25</v>
      </c>
      <c r="E953" s="43" t="s">
        <v>1914</v>
      </c>
      <c r="F953" s="44" t="s">
        <v>60</v>
      </c>
      <c r="G953" s="51">
        <v>358</v>
      </c>
      <c r="H953" s="43">
        <v>44223</v>
      </c>
      <c r="I953" s="42" t="s">
        <v>1900</v>
      </c>
      <c r="J953" s="43">
        <v>44223</v>
      </c>
      <c r="K953" s="42" t="s">
        <v>36</v>
      </c>
      <c r="L953" s="42">
        <v>27.3</v>
      </c>
      <c r="M953" s="45" t="s">
        <v>31</v>
      </c>
      <c r="N953" s="42" t="s">
        <v>60</v>
      </c>
      <c r="O953" s="43" t="s">
        <v>60</v>
      </c>
      <c r="P953" s="42" t="s">
        <v>60</v>
      </c>
      <c r="Q953" s="42" t="s">
        <v>60</v>
      </c>
      <c r="R953" s="46" t="s">
        <v>60</v>
      </c>
      <c r="S953" s="43">
        <v>44223</v>
      </c>
      <c r="T953" s="51">
        <f t="shared" si="40"/>
        <v>3</v>
      </c>
      <c r="U953" s="52" t="str">
        <f t="shared" si="39"/>
        <v>Não Detectável</v>
      </c>
    </row>
    <row r="954" spans="1:21" ht="25.5" customHeight="1" x14ac:dyDescent="0.2">
      <c r="A954" s="51">
        <v>953</v>
      </c>
      <c r="B954" s="50" t="s">
        <v>1929</v>
      </c>
      <c r="C954" s="51">
        <v>86</v>
      </c>
      <c r="D954" s="51" t="s">
        <v>25</v>
      </c>
      <c r="E954" s="43" t="s">
        <v>1914</v>
      </c>
      <c r="F954" s="44" t="s">
        <v>60</v>
      </c>
      <c r="G954" s="51">
        <v>359</v>
      </c>
      <c r="H954" s="43">
        <v>44223</v>
      </c>
      <c r="I954" s="42" t="s">
        <v>1920</v>
      </c>
      <c r="J954" s="43">
        <v>44224</v>
      </c>
      <c r="K954" s="42">
        <v>22</v>
      </c>
      <c r="L954" s="42">
        <v>27.1</v>
      </c>
      <c r="M954" s="48" t="s">
        <v>29</v>
      </c>
      <c r="N954" s="42" t="s">
        <v>1930</v>
      </c>
      <c r="O954" s="43">
        <v>44225</v>
      </c>
      <c r="P954" s="42">
        <v>21.6</v>
      </c>
      <c r="Q954" s="42">
        <v>27</v>
      </c>
      <c r="R954" s="46" t="s">
        <v>29</v>
      </c>
      <c r="S954" s="43">
        <v>44225</v>
      </c>
      <c r="T954" s="51">
        <f t="shared" si="40"/>
        <v>3</v>
      </c>
      <c r="U954" s="52" t="str">
        <f t="shared" si="39"/>
        <v>Detectável</v>
      </c>
    </row>
    <row r="955" spans="1:21" ht="25.5" customHeight="1" x14ac:dyDescent="0.2">
      <c r="A955" s="51">
        <v>954</v>
      </c>
      <c r="B955" s="50" t="s">
        <v>1931</v>
      </c>
      <c r="C955" s="51">
        <v>26</v>
      </c>
      <c r="D955" s="51" t="s">
        <v>34</v>
      </c>
      <c r="E955" s="43" t="s">
        <v>1914</v>
      </c>
      <c r="F955" s="44" t="s">
        <v>60</v>
      </c>
      <c r="G955" s="51">
        <v>359</v>
      </c>
      <c r="H955" s="43">
        <v>44223</v>
      </c>
      <c r="I955" s="42" t="s">
        <v>1920</v>
      </c>
      <c r="J955" s="43">
        <v>44224</v>
      </c>
      <c r="K955" s="42">
        <v>22</v>
      </c>
      <c r="L955" s="42">
        <v>27.1</v>
      </c>
      <c r="M955" s="48" t="s">
        <v>29</v>
      </c>
      <c r="N955" s="42" t="s">
        <v>1930</v>
      </c>
      <c r="O955" s="43">
        <v>44225</v>
      </c>
      <c r="P955" s="42">
        <v>34.700000000000003</v>
      </c>
      <c r="Q955" s="42">
        <v>27.3</v>
      </c>
      <c r="R955" s="46" t="s">
        <v>29</v>
      </c>
      <c r="S955" s="43">
        <v>44225</v>
      </c>
      <c r="T955" s="51">
        <f t="shared" si="40"/>
        <v>3</v>
      </c>
      <c r="U955" s="52" t="str">
        <f t="shared" si="39"/>
        <v>Detectável</v>
      </c>
    </row>
    <row r="956" spans="1:21" ht="25.5" customHeight="1" x14ac:dyDescent="0.2">
      <c r="A956" s="51">
        <v>955</v>
      </c>
      <c r="B956" s="50" t="s">
        <v>1932</v>
      </c>
      <c r="C956" s="51">
        <v>44</v>
      </c>
      <c r="D956" s="51" t="s">
        <v>34</v>
      </c>
      <c r="E956" s="43" t="s">
        <v>1933</v>
      </c>
      <c r="F956" s="44" t="s">
        <v>60</v>
      </c>
      <c r="G956" s="51">
        <v>359</v>
      </c>
      <c r="H956" s="43">
        <v>44224</v>
      </c>
      <c r="I956" s="42" t="s">
        <v>1920</v>
      </c>
      <c r="J956" s="43">
        <v>44224</v>
      </c>
      <c r="K956" s="42">
        <v>22</v>
      </c>
      <c r="L956" s="42">
        <v>27.1</v>
      </c>
      <c r="M956" s="48" t="s">
        <v>29</v>
      </c>
      <c r="N956" s="42" t="s">
        <v>1930</v>
      </c>
      <c r="O956" s="43">
        <v>44225</v>
      </c>
      <c r="P956" s="42" t="s">
        <v>36</v>
      </c>
      <c r="Q956" s="42">
        <v>29</v>
      </c>
      <c r="R956" s="46" t="s">
        <v>31</v>
      </c>
      <c r="S956" s="43">
        <v>44225</v>
      </c>
      <c r="T956" s="51">
        <f t="shared" si="40"/>
        <v>3</v>
      </c>
      <c r="U956" s="52" t="str">
        <f t="shared" si="39"/>
        <v>Não Detectável</v>
      </c>
    </row>
    <row r="957" spans="1:21" ht="25.5" customHeight="1" x14ac:dyDescent="0.2">
      <c r="A957" s="51">
        <v>956</v>
      </c>
      <c r="B957" s="50" t="s">
        <v>1934</v>
      </c>
      <c r="C957" s="51">
        <v>68</v>
      </c>
      <c r="D957" s="51" t="s">
        <v>34</v>
      </c>
      <c r="E957" s="43" t="s">
        <v>1933</v>
      </c>
      <c r="F957" s="44" t="s">
        <v>60</v>
      </c>
      <c r="G957" s="51">
        <v>360</v>
      </c>
      <c r="H957" s="43">
        <v>44224</v>
      </c>
      <c r="I957" s="42" t="s">
        <v>1920</v>
      </c>
      <c r="J957" s="43">
        <v>44224</v>
      </c>
      <c r="K957" s="42">
        <v>18.100000000000001</v>
      </c>
      <c r="L957" s="42">
        <v>27.6</v>
      </c>
      <c r="M957" s="48" t="s">
        <v>29</v>
      </c>
      <c r="N957" s="42" t="s">
        <v>1930</v>
      </c>
      <c r="O957" s="43">
        <v>44225</v>
      </c>
      <c r="P957" s="42">
        <v>24.8</v>
      </c>
      <c r="Q957" s="42">
        <v>27.1</v>
      </c>
      <c r="R957" s="46" t="s">
        <v>29</v>
      </c>
      <c r="S957" s="43">
        <v>44225</v>
      </c>
      <c r="T957" s="51">
        <f t="shared" si="40"/>
        <v>3</v>
      </c>
      <c r="U957" s="52" t="str">
        <f t="shared" si="39"/>
        <v>Detectável</v>
      </c>
    </row>
    <row r="958" spans="1:21" ht="25.5" customHeight="1" x14ac:dyDescent="0.2">
      <c r="A958" s="51">
        <v>957</v>
      </c>
      <c r="B958" s="50" t="s">
        <v>1935</v>
      </c>
      <c r="C958" s="51">
        <v>44</v>
      </c>
      <c r="D958" s="51" t="s">
        <v>25</v>
      </c>
      <c r="E958" s="43" t="s">
        <v>1933</v>
      </c>
      <c r="F958" s="44" t="s">
        <v>60</v>
      </c>
      <c r="G958" s="51">
        <v>360</v>
      </c>
      <c r="H958" s="43">
        <v>44224</v>
      </c>
      <c r="I958" s="42" t="s">
        <v>1920</v>
      </c>
      <c r="J958" s="43">
        <v>44224</v>
      </c>
      <c r="K958" s="42">
        <v>18.100000000000001</v>
      </c>
      <c r="L958" s="42">
        <v>27.6</v>
      </c>
      <c r="M958" s="48" t="s">
        <v>29</v>
      </c>
      <c r="N958" s="42" t="s">
        <v>1930</v>
      </c>
      <c r="O958" s="43">
        <v>44225</v>
      </c>
      <c r="P958" s="42">
        <v>17</v>
      </c>
      <c r="Q958" s="42">
        <v>28.2</v>
      </c>
      <c r="R958" s="46" t="s">
        <v>29</v>
      </c>
      <c r="S958" s="43">
        <v>44225</v>
      </c>
      <c r="T958" s="51">
        <f t="shared" si="40"/>
        <v>3</v>
      </c>
      <c r="U958" s="52" t="str">
        <f t="shared" si="39"/>
        <v>Detectável</v>
      </c>
    </row>
    <row r="959" spans="1:21" ht="25.5" customHeight="1" x14ac:dyDescent="0.2">
      <c r="A959" s="51">
        <v>958</v>
      </c>
      <c r="B959" s="50" t="s">
        <v>1936</v>
      </c>
      <c r="C959" s="51">
        <v>22</v>
      </c>
      <c r="D959" s="51" t="s">
        <v>25</v>
      </c>
      <c r="E959" s="43" t="s">
        <v>1933</v>
      </c>
      <c r="F959" s="44" t="s">
        <v>60</v>
      </c>
      <c r="G959" s="51">
        <v>360</v>
      </c>
      <c r="H959" s="43">
        <v>44224</v>
      </c>
      <c r="I959" s="42" t="s">
        <v>1920</v>
      </c>
      <c r="J959" s="43">
        <v>44224</v>
      </c>
      <c r="K959" s="42">
        <v>18.100000000000001</v>
      </c>
      <c r="L959" s="42">
        <v>27.6</v>
      </c>
      <c r="M959" s="48" t="s">
        <v>29</v>
      </c>
      <c r="N959" s="42" t="s">
        <v>1930</v>
      </c>
      <c r="O959" s="43">
        <v>44225</v>
      </c>
      <c r="P959" s="42" t="s">
        <v>36</v>
      </c>
      <c r="Q959" s="42">
        <v>27.7</v>
      </c>
      <c r="R959" s="46" t="s">
        <v>31</v>
      </c>
      <c r="S959" s="43">
        <v>44225</v>
      </c>
      <c r="T959" s="51">
        <f t="shared" si="40"/>
        <v>3</v>
      </c>
      <c r="U959" s="52" t="str">
        <f t="shared" si="39"/>
        <v>Não Detectável</v>
      </c>
    </row>
    <row r="960" spans="1:21" ht="25.5" customHeight="1" x14ac:dyDescent="0.2">
      <c r="A960" s="51">
        <v>959</v>
      </c>
      <c r="B960" s="50" t="s">
        <v>1937</v>
      </c>
      <c r="C960" s="51">
        <v>26</v>
      </c>
      <c r="D960" s="51" t="s">
        <v>25</v>
      </c>
      <c r="E960" s="43" t="s">
        <v>1933</v>
      </c>
      <c r="F960" s="44" t="s">
        <v>60</v>
      </c>
      <c r="G960" s="51">
        <v>361</v>
      </c>
      <c r="H960" s="43">
        <v>44224</v>
      </c>
      <c r="I960" s="42" t="s">
        <v>1920</v>
      </c>
      <c r="J960" s="43">
        <v>44224</v>
      </c>
      <c r="K960" s="42" t="s">
        <v>36</v>
      </c>
      <c r="L960" s="42">
        <v>27</v>
      </c>
      <c r="M960" s="45" t="s">
        <v>31</v>
      </c>
      <c r="N960" s="42" t="s">
        <v>60</v>
      </c>
      <c r="O960" s="43" t="s">
        <v>60</v>
      </c>
      <c r="P960" s="42" t="s">
        <v>60</v>
      </c>
      <c r="Q960" s="42" t="s">
        <v>60</v>
      </c>
      <c r="R960" s="46" t="s">
        <v>60</v>
      </c>
      <c r="S960" s="43">
        <v>44224</v>
      </c>
      <c r="T960" s="51">
        <f t="shared" si="40"/>
        <v>3</v>
      </c>
      <c r="U960" s="52" t="str">
        <f t="shared" si="39"/>
        <v>Não Detectável</v>
      </c>
    </row>
    <row r="961" spans="1:21" ht="25.5" customHeight="1" x14ac:dyDescent="0.2">
      <c r="A961" s="51">
        <v>960</v>
      </c>
      <c r="B961" s="50" t="s">
        <v>1938</v>
      </c>
      <c r="C961" s="51">
        <v>66</v>
      </c>
      <c r="D961" s="51" t="s">
        <v>34</v>
      </c>
      <c r="E961" s="43" t="s">
        <v>1933</v>
      </c>
      <c r="F961" s="44" t="s">
        <v>60</v>
      </c>
      <c r="G961" s="51">
        <v>361</v>
      </c>
      <c r="H961" s="43">
        <v>44224</v>
      </c>
      <c r="I961" s="42" t="s">
        <v>1920</v>
      </c>
      <c r="J961" s="43">
        <v>44224</v>
      </c>
      <c r="K961" s="42" t="s">
        <v>36</v>
      </c>
      <c r="L961" s="42">
        <v>27</v>
      </c>
      <c r="M961" s="45" t="s">
        <v>31</v>
      </c>
      <c r="N961" s="42" t="s">
        <v>60</v>
      </c>
      <c r="O961" s="43" t="s">
        <v>60</v>
      </c>
      <c r="P961" s="42" t="s">
        <v>60</v>
      </c>
      <c r="Q961" s="42" t="s">
        <v>60</v>
      </c>
      <c r="R961" s="46" t="s">
        <v>60</v>
      </c>
      <c r="S961" s="43">
        <v>44224</v>
      </c>
      <c r="T961" s="51">
        <f t="shared" si="40"/>
        <v>3</v>
      </c>
      <c r="U961" s="52" t="str">
        <f t="shared" si="39"/>
        <v>Não Detectável</v>
      </c>
    </row>
    <row r="962" spans="1:21" ht="25.5" customHeight="1" x14ac:dyDescent="0.2">
      <c r="A962" s="51">
        <v>961</v>
      </c>
      <c r="B962" s="50" t="s">
        <v>1939</v>
      </c>
      <c r="C962" s="51">
        <v>55</v>
      </c>
      <c r="D962" s="51" t="s">
        <v>25</v>
      </c>
      <c r="E962" s="43" t="s">
        <v>1933</v>
      </c>
      <c r="F962" s="44" t="s">
        <v>60</v>
      </c>
      <c r="G962" s="51">
        <v>361</v>
      </c>
      <c r="H962" s="43">
        <v>44224</v>
      </c>
      <c r="I962" s="42" t="s">
        <v>1920</v>
      </c>
      <c r="J962" s="43">
        <v>44224</v>
      </c>
      <c r="K962" s="42" t="s">
        <v>36</v>
      </c>
      <c r="L962" s="42">
        <v>27</v>
      </c>
      <c r="M962" s="45" t="s">
        <v>31</v>
      </c>
      <c r="N962" s="42" t="s">
        <v>60</v>
      </c>
      <c r="O962" s="43" t="s">
        <v>60</v>
      </c>
      <c r="P962" s="42" t="s">
        <v>60</v>
      </c>
      <c r="Q962" s="42" t="s">
        <v>60</v>
      </c>
      <c r="R962" s="46" t="s">
        <v>60</v>
      </c>
      <c r="S962" s="43">
        <v>44224</v>
      </c>
      <c r="T962" s="51">
        <f t="shared" si="40"/>
        <v>3</v>
      </c>
      <c r="U962" s="52" t="str">
        <f t="shared" si="39"/>
        <v>Não Detectável</v>
      </c>
    </row>
    <row r="963" spans="1:21" ht="25.5" customHeight="1" x14ac:dyDescent="0.2">
      <c r="A963" s="51">
        <v>962</v>
      </c>
      <c r="B963" s="50" t="s">
        <v>1940</v>
      </c>
      <c r="C963" s="51">
        <v>27</v>
      </c>
      <c r="D963" s="51" t="s">
        <v>25</v>
      </c>
      <c r="E963" s="43" t="s">
        <v>1933</v>
      </c>
      <c r="F963" s="44" t="s">
        <v>60</v>
      </c>
      <c r="G963" s="51">
        <v>362</v>
      </c>
      <c r="H963" s="43">
        <v>44224</v>
      </c>
      <c r="I963" s="42" t="s">
        <v>1920</v>
      </c>
      <c r="J963" s="43">
        <v>44224</v>
      </c>
      <c r="K963" s="42">
        <v>23.8</v>
      </c>
      <c r="L963" s="42">
        <v>26.8</v>
      </c>
      <c r="M963" s="48" t="s">
        <v>29</v>
      </c>
      <c r="N963" s="42" t="s">
        <v>1941</v>
      </c>
      <c r="O963" s="43">
        <v>44228</v>
      </c>
      <c r="P963" s="42" t="s">
        <v>36</v>
      </c>
      <c r="Q963" s="42">
        <v>27.6</v>
      </c>
      <c r="R963" s="46" t="s">
        <v>31</v>
      </c>
      <c r="S963" s="43">
        <v>44228</v>
      </c>
      <c r="T963" s="51">
        <f t="shared" si="40"/>
        <v>3</v>
      </c>
      <c r="U963" s="52" t="str">
        <f t="shared" si="39"/>
        <v>Não Detectável</v>
      </c>
    </row>
    <row r="964" spans="1:21" ht="25.5" customHeight="1" x14ac:dyDescent="0.2">
      <c r="A964" s="51">
        <v>963</v>
      </c>
      <c r="B964" s="50" t="s">
        <v>1942</v>
      </c>
      <c r="C964" s="51">
        <v>21</v>
      </c>
      <c r="D964" s="51" t="s">
        <v>25</v>
      </c>
      <c r="E964" s="43" t="s">
        <v>1933</v>
      </c>
      <c r="F964" s="44" t="s">
        <v>60</v>
      </c>
      <c r="G964" s="51">
        <v>362</v>
      </c>
      <c r="H964" s="43">
        <v>44224</v>
      </c>
      <c r="I964" s="42" t="s">
        <v>1920</v>
      </c>
      <c r="J964" s="43">
        <v>44224</v>
      </c>
      <c r="K964" s="42">
        <v>23.8</v>
      </c>
      <c r="L964" s="42">
        <v>26.8</v>
      </c>
      <c r="M964" s="48" t="s">
        <v>29</v>
      </c>
      <c r="N964" s="42" t="s">
        <v>1930</v>
      </c>
      <c r="O964" s="43">
        <v>44225</v>
      </c>
      <c r="P964" s="42">
        <v>22.7</v>
      </c>
      <c r="Q964" s="42">
        <v>27.8</v>
      </c>
      <c r="R964" s="46" t="s">
        <v>29</v>
      </c>
      <c r="S964" s="43">
        <v>44225</v>
      </c>
      <c r="T964" s="51">
        <f t="shared" si="40"/>
        <v>3</v>
      </c>
      <c r="U964" s="52" t="str">
        <f t="shared" si="39"/>
        <v>Detectável</v>
      </c>
    </row>
    <row r="965" spans="1:21" ht="25.5" customHeight="1" x14ac:dyDescent="0.2">
      <c r="A965" s="51">
        <v>964</v>
      </c>
      <c r="B965" s="50" t="s">
        <v>1943</v>
      </c>
      <c r="C965" s="51">
        <v>19</v>
      </c>
      <c r="D965" s="51" t="s">
        <v>25</v>
      </c>
      <c r="E965" s="43" t="s">
        <v>1933</v>
      </c>
      <c r="F965" s="44" t="s">
        <v>60</v>
      </c>
      <c r="G965" s="51">
        <v>362</v>
      </c>
      <c r="H965" s="43">
        <v>44224</v>
      </c>
      <c r="I965" s="42" t="s">
        <v>1920</v>
      </c>
      <c r="J965" s="43">
        <v>44224</v>
      </c>
      <c r="K965" s="42">
        <v>23.8</v>
      </c>
      <c r="L965" s="42">
        <v>26.8</v>
      </c>
      <c r="M965" s="48" t="s">
        <v>29</v>
      </c>
      <c r="N965" s="42" t="s">
        <v>1930</v>
      </c>
      <c r="O965" s="43">
        <v>44225</v>
      </c>
      <c r="P965" s="42">
        <v>34.6</v>
      </c>
      <c r="Q965" s="42">
        <v>26.3</v>
      </c>
      <c r="R965" s="46" t="s">
        <v>29</v>
      </c>
      <c r="S965" s="43">
        <v>44225</v>
      </c>
      <c r="T965" s="51">
        <f t="shared" si="40"/>
        <v>3</v>
      </c>
      <c r="U965" s="52" t="str">
        <f t="shared" si="39"/>
        <v>Detectável</v>
      </c>
    </row>
    <row r="966" spans="1:21" ht="25.5" customHeight="1" x14ac:dyDescent="0.2">
      <c r="A966" s="51">
        <v>965</v>
      </c>
      <c r="B966" s="50" t="s">
        <v>1944</v>
      </c>
      <c r="C966" s="51">
        <v>32</v>
      </c>
      <c r="D966" s="51" t="s">
        <v>25</v>
      </c>
      <c r="E966" s="43" t="s">
        <v>1933</v>
      </c>
      <c r="F966" s="44" t="s">
        <v>60</v>
      </c>
      <c r="G966" s="51">
        <v>363</v>
      </c>
      <c r="H966" s="43">
        <v>44224</v>
      </c>
      <c r="I966" s="42" t="s">
        <v>1920</v>
      </c>
      <c r="J966" s="43">
        <v>44224</v>
      </c>
      <c r="K966" s="42" t="s">
        <v>36</v>
      </c>
      <c r="L966" s="42">
        <v>27.2</v>
      </c>
      <c r="M966" s="45" t="s">
        <v>31</v>
      </c>
      <c r="N966" s="42" t="s">
        <v>60</v>
      </c>
      <c r="O966" s="43" t="s">
        <v>60</v>
      </c>
      <c r="P966" s="42" t="s">
        <v>60</v>
      </c>
      <c r="Q966" s="42" t="s">
        <v>60</v>
      </c>
      <c r="R966" s="46" t="s">
        <v>60</v>
      </c>
      <c r="S966" s="43">
        <v>44224</v>
      </c>
      <c r="T966" s="51">
        <f t="shared" si="40"/>
        <v>3</v>
      </c>
      <c r="U966" s="52" t="str">
        <f t="shared" si="39"/>
        <v>Não Detectável</v>
      </c>
    </row>
    <row r="967" spans="1:21" ht="25.5" customHeight="1" x14ac:dyDescent="0.2">
      <c r="A967" s="51">
        <v>966</v>
      </c>
      <c r="B967" s="50" t="s">
        <v>1945</v>
      </c>
      <c r="C967" s="51">
        <v>34</v>
      </c>
      <c r="D967" s="51" t="s">
        <v>25</v>
      </c>
      <c r="E967" s="43" t="s">
        <v>1933</v>
      </c>
      <c r="F967" s="44" t="s">
        <v>60</v>
      </c>
      <c r="G967" s="51">
        <v>363</v>
      </c>
      <c r="H967" s="43">
        <v>44224</v>
      </c>
      <c r="I967" s="42" t="s">
        <v>1920</v>
      </c>
      <c r="J967" s="43">
        <v>44224</v>
      </c>
      <c r="K967" s="42" t="s">
        <v>36</v>
      </c>
      <c r="L967" s="42">
        <v>27.2</v>
      </c>
      <c r="M967" s="45" t="s">
        <v>31</v>
      </c>
      <c r="N967" s="42" t="s">
        <v>60</v>
      </c>
      <c r="O967" s="43" t="s">
        <v>60</v>
      </c>
      <c r="P967" s="42" t="s">
        <v>60</v>
      </c>
      <c r="Q967" s="42" t="s">
        <v>60</v>
      </c>
      <c r="R967" s="46" t="s">
        <v>60</v>
      </c>
      <c r="S967" s="43">
        <v>44224</v>
      </c>
      <c r="T967" s="51">
        <f t="shared" si="40"/>
        <v>3</v>
      </c>
      <c r="U967" s="52" t="str">
        <f t="shared" si="39"/>
        <v>Não Detectável</v>
      </c>
    </row>
    <row r="968" spans="1:21" ht="25.5" customHeight="1" x14ac:dyDescent="0.2">
      <c r="A968" s="51">
        <v>967</v>
      </c>
      <c r="B968" s="50" t="s">
        <v>1946</v>
      </c>
      <c r="C968" s="51">
        <v>29</v>
      </c>
      <c r="D968" s="51" t="s">
        <v>34</v>
      </c>
      <c r="E968" s="43" t="s">
        <v>1933</v>
      </c>
      <c r="F968" s="44" t="s">
        <v>60</v>
      </c>
      <c r="G968" s="51">
        <v>363</v>
      </c>
      <c r="H968" s="43">
        <v>44224</v>
      </c>
      <c r="I968" s="42" t="s">
        <v>1920</v>
      </c>
      <c r="J968" s="43">
        <v>44224</v>
      </c>
      <c r="K968" s="42" t="s">
        <v>36</v>
      </c>
      <c r="L968" s="42">
        <v>27.2</v>
      </c>
      <c r="M968" s="45" t="s">
        <v>31</v>
      </c>
      <c r="N968" s="42" t="s">
        <v>60</v>
      </c>
      <c r="O968" s="43" t="s">
        <v>60</v>
      </c>
      <c r="P968" s="42" t="s">
        <v>60</v>
      </c>
      <c r="Q968" s="42" t="s">
        <v>60</v>
      </c>
      <c r="R968" s="46" t="s">
        <v>60</v>
      </c>
      <c r="S968" s="43">
        <v>44224</v>
      </c>
      <c r="T968" s="51">
        <f t="shared" si="40"/>
        <v>3</v>
      </c>
      <c r="U968" s="52" t="str">
        <f t="shared" si="39"/>
        <v>Não Detectável</v>
      </c>
    </row>
    <row r="969" spans="1:21" ht="25.5" customHeight="1" x14ac:dyDescent="0.2">
      <c r="A969" s="51">
        <v>968</v>
      </c>
      <c r="B969" s="50" t="s">
        <v>1947</v>
      </c>
      <c r="C969" s="51">
        <v>44</v>
      </c>
      <c r="D969" s="51" t="s">
        <v>34</v>
      </c>
      <c r="E969" s="43" t="s">
        <v>1933</v>
      </c>
      <c r="F969" s="44" t="s">
        <v>60</v>
      </c>
      <c r="G969" s="51">
        <v>364</v>
      </c>
      <c r="H969" s="43">
        <v>44224</v>
      </c>
      <c r="I969" s="42" t="s">
        <v>1920</v>
      </c>
      <c r="J969" s="43">
        <v>44224</v>
      </c>
      <c r="K969" s="42">
        <v>14.1</v>
      </c>
      <c r="L969" s="42">
        <v>26.7</v>
      </c>
      <c r="M969" s="48" t="s">
        <v>29</v>
      </c>
      <c r="N969" s="42" t="s">
        <v>1930</v>
      </c>
      <c r="O969" s="43">
        <v>44225</v>
      </c>
      <c r="P969" s="42" t="s">
        <v>36</v>
      </c>
      <c r="Q969" s="42">
        <v>27.1</v>
      </c>
      <c r="R969" s="46" t="s">
        <v>31</v>
      </c>
      <c r="S969" s="43">
        <v>44225</v>
      </c>
      <c r="T969" s="51">
        <f t="shared" si="40"/>
        <v>3</v>
      </c>
      <c r="U969" s="52" t="str">
        <f t="shared" si="39"/>
        <v>Não Detectável</v>
      </c>
    </row>
    <row r="970" spans="1:21" ht="25.5" customHeight="1" x14ac:dyDescent="0.2">
      <c r="A970" s="51">
        <v>969</v>
      </c>
      <c r="B970" s="50" t="s">
        <v>1948</v>
      </c>
      <c r="C970" s="51">
        <v>23</v>
      </c>
      <c r="D970" s="51" t="s">
        <v>25</v>
      </c>
      <c r="E970" s="43" t="s">
        <v>1933</v>
      </c>
      <c r="F970" s="44" t="s">
        <v>60</v>
      </c>
      <c r="G970" s="51">
        <v>364</v>
      </c>
      <c r="H970" s="43">
        <v>44224</v>
      </c>
      <c r="I970" s="42" t="s">
        <v>1920</v>
      </c>
      <c r="J970" s="43">
        <v>44224</v>
      </c>
      <c r="K970" s="42">
        <v>14.1</v>
      </c>
      <c r="L970" s="42">
        <v>26.7</v>
      </c>
      <c r="M970" s="48" t="s">
        <v>29</v>
      </c>
      <c r="N970" s="42" t="s">
        <v>1930</v>
      </c>
      <c r="O970" s="43">
        <v>44225</v>
      </c>
      <c r="P970" s="42">
        <v>13.5</v>
      </c>
      <c r="Q970" s="42">
        <v>26.2</v>
      </c>
      <c r="R970" s="46" t="s">
        <v>29</v>
      </c>
      <c r="S970" s="43">
        <v>44225</v>
      </c>
      <c r="T970" s="51">
        <f t="shared" si="40"/>
        <v>3</v>
      </c>
      <c r="U970" s="52" t="str">
        <f t="shared" si="39"/>
        <v>Detectável</v>
      </c>
    </row>
    <row r="971" spans="1:21" ht="25.5" customHeight="1" x14ac:dyDescent="0.2">
      <c r="A971" s="51">
        <v>970</v>
      </c>
      <c r="B971" s="50" t="s">
        <v>1949</v>
      </c>
      <c r="C971" s="51">
        <v>48</v>
      </c>
      <c r="D971" s="51" t="s">
        <v>34</v>
      </c>
      <c r="E971" s="43" t="s">
        <v>1933</v>
      </c>
      <c r="F971" s="44" t="s">
        <v>60</v>
      </c>
      <c r="G971" s="51">
        <v>364</v>
      </c>
      <c r="H971" s="43">
        <v>44224</v>
      </c>
      <c r="I971" s="42" t="s">
        <v>1920</v>
      </c>
      <c r="J971" s="43">
        <v>44224</v>
      </c>
      <c r="K971" s="42">
        <v>14.1</v>
      </c>
      <c r="L971" s="42">
        <v>26.7</v>
      </c>
      <c r="M971" s="48" t="s">
        <v>29</v>
      </c>
      <c r="N971" s="42" t="s">
        <v>1930</v>
      </c>
      <c r="O971" s="43">
        <v>44225</v>
      </c>
      <c r="P971" s="42">
        <v>16.5</v>
      </c>
      <c r="Q971" s="42">
        <v>26.6</v>
      </c>
      <c r="R971" s="46" t="s">
        <v>29</v>
      </c>
      <c r="S971" s="43">
        <v>44225</v>
      </c>
      <c r="T971" s="51">
        <f t="shared" si="40"/>
        <v>3</v>
      </c>
      <c r="U971" s="52" t="str">
        <f t="shared" si="39"/>
        <v>Detectável</v>
      </c>
    </row>
    <row r="972" spans="1:21" ht="25.5" customHeight="1" x14ac:dyDescent="0.2">
      <c r="A972" s="51">
        <v>971</v>
      </c>
      <c r="B972" s="50" t="s">
        <v>1950</v>
      </c>
      <c r="C972" s="51">
        <v>28</v>
      </c>
      <c r="D972" s="51" t="s">
        <v>34</v>
      </c>
      <c r="E972" s="43" t="s">
        <v>1933</v>
      </c>
      <c r="F972" s="44" t="s">
        <v>60</v>
      </c>
      <c r="G972" s="51">
        <v>365</v>
      </c>
      <c r="H972" s="43">
        <v>44224</v>
      </c>
      <c r="I972" s="42" t="s">
        <v>1920</v>
      </c>
      <c r="J972" s="43">
        <v>44224</v>
      </c>
      <c r="K972" s="42">
        <v>15.6</v>
      </c>
      <c r="L972" s="42">
        <v>27.3</v>
      </c>
      <c r="M972" s="48" t="s">
        <v>29</v>
      </c>
      <c r="N972" s="42" t="s">
        <v>1930</v>
      </c>
      <c r="O972" s="43">
        <v>44225</v>
      </c>
      <c r="P972" s="42" t="s">
        <v>36</v>
      </c>
      <c r="Q972" s="42">
        <v>27.4</v>
      </c>
      <c r="R972" s="46" t="s">
        <v>31</v>
      </c>
      <c r="S972" s="43">
        <v>44225</v>
      </c>
      <c r="T972" s="51">
        <f t="shared" si="40"/>
        <v>3</v>
      </c>
      <c r="U972" s="52" t="str">
        <f t="shared" si="39"/>
        <v>Não Detectável</v>
      </c>
    </row>
    <row r="973" spans="1:21" ht="25.5" customHeight="1" x14ac:dyDescent="0.2">
      <c r="A973" s="51">
        <v>972</v>
      </c>
      <c r="B973" s="50" t="s">
        <v>1951</v>
      </c>
      <c r="C973" s="51">
        <v>19</v>
      </c>
      <c r="D973" s="51" t="s">
        <v>25</v>
      </c>
      <c r="E973" s="43" t="s">
        <v>1933</v>
      </c>
      <c r="F973" s="44" t="s">
        <v>60</v>
      </c>
      <c r="G973" s="51">
        <v>365</v>
      </c>
      <c r="H973" s="43">
        <v>44224</v>
      </c>
      <c r="I973" s="42" t="s">
        <v>1920</v>
      </c>
      <c r="J973" s="43">
        <v>44224</v>
      </c>
      <c r="K973" s="42">
        <v>15.6</v>
      </c>
      <c r="L973" s="42">
        <v>27.3</v>
      </c>
      <c r="M973" s="48" t="s">
        <v>29</v>
      </c>
      <c r="N973" s="42" t="s">
        <v>1930</v>
      </c>
      <c r="O973" s="43">
        <v>44225</v>
      </c>
      <c r="P973" s="42">
        <v>15.1</v>
      </c>
      <c r="Q973" s="42">
        <v>27.3</v>
      </c>
      <c r="R973" s="46" t="s">
        <v>29</v>
      </c>
      <c r="S973" s="43">
        <v>44225</v>
      </c>
      <c r="T973" s="51">
        <f t="shared" si="40"/>
        <v>3</v>
      </c>
      <c r="U973" s="52" t="str">
        <f t="shared" si="39"/>
        <v>Detectável</v>
      </c>
    </row>
    <row r="974" spans="1:21" ht="25.5" customHeight="1" x14ac:dyDescent="0.2">
      <c r="A974" s="51">
        <v>973</v>
      </c>
      <c r="B974" s="50" t="s">
        <v>1952</v>
      </c>
      <c r="C974" s="51">
        <v>37</v>
      </c>
      <c r="D974" s="51" t="s">
        <v>25</v>
      </c>
      <c r="E974" s="43" t="s">
        <v>1933</v>
      </c>
      <c r="F974" s="44" t="s">
        <v>60</v>
      </c>
      <c r="G974" s="51">
        <v>365</v>
      </c>
      <c r="H974" s="43">
        <v>44224</v>
      </c>
      <c r="I974" s="42" t="s">
        <v>1920</v>
      </c>
      <c r="J974" s="43">
        <v>44224</v>
      </c>
      <c r="K974" s="42">
        <v>15.6</v>
      </c>
      <c r="L974" s="42">
        <v>27.3</v>
      </c>
      <c r="M974" s="48" t="s">
        <v>29</v>
      </c>
      <c r="N974" s="42" t="s">
        <v>1930</v>
      </c>
      <c r="O974" s="43">
        <v>44225</v>
      </c>
      <c r="P974" s="42">
        <v>29</v>
      </c>
      <c r="Q974" s="42">
        <v>28.2</v>
      </c>
      <c r="R974" s="46" t="s">
        <v>29</v>
      </c>
      <c r="S974" s="43">
        <v>44225</v>
      </c>
      <c r="T974" s="51">
        <f t="shared" si="40"/>
        <v>3</v>
      </c>
      <c r="U974" s="52" t="str">
        <f t="shared" si="39"/>
        <v>Detectável</v>
      </c>
    </row>
    <row r="975" spans="1:21" ht="25.5" customHeight="1" x14ac:dyDescent="0.2">
      <c r="A975" s="51">
        <v>974</v>
      </c>
      <c r="B975" s="50" t="s">
        <v>1953</v>
      </c>
      <c r="C975" s="51">
        <v>51</v>
      </c>
      <c r="D975" s="51" t="s">
        <v>25</v>
      </c>
      <c r="E975" s="43" t="s">
        <v>1933</v>
      </c>
      <c r="F975" s="44" t="s">
        <v>60</v>
      </c>
      <c r="G975" s="51">
        <v>366</v>
      </c>
      <c r="H975" s="43">
        <v>44224</v>
      </c>
      <c r="I975" s="42" t="s">
        <v>1930</v>
      </c>
      <c r="J975" s="43">
        <v>44225</v>
      </c>
      <c r="K975" s="42" t="s">
        <v>36</v>
      </c>
      <c r="L975" s="42">
        <v>28.7</v>
      </c>
      <c r="M975" s="45" t="s">
        <v>31</v>
      </c>
      <c r="N975" s="42" t="s">
        <v>60</v>
      </c>
      <c r="O975" s="43" t="s">
        <v>60</v>
      </c>
      <c r="P975" s="42" t="s">
        <v>60</v>
      </c>
      <c r="Q975" s="42" t="s">
        <v>60</v>
      </c>
      <c r="R975" s="46" t="s">
        <v>60</v>
      </c>
      <c r="S975" s="43">
        <v>44225</v>
      </c>
      <c r="T975" s="51">
        <f t="shared" si="40"/>
        <v>3</v>
      </c>
      <c r="U975" s="52" t="str">
        <f t="shared" si="39"/>
        <v>Não Detectável</v>
      </c>
    </row>
    <row r="976" spans="1:21" ht="25.5" customHeight="1" x14ac:dyDescent="0.2">
      <c r="A976" s="51">
        <v>975</v>
      </c>
      <c r="B976" s="50" t="s">
        <v>1954</v>
      </c>
      <c r="C976" s="51">
        <v>41</v>
      </c>
      <c r="D976" s="51" t="s">
        <v>25</v>
      </c>
      <c r="E976" s="43" t="s">
        <v>1933</v>
      </c>
      <c r="F976" s="44" t="s">
        <v>60</v>
      </c>
      <c r="G976" s="51">
        <v>366</v>
      </c>
      <c r="H976" s="43">
        <v>44224</v>
      </c>
      <c r="I976" s="42" t="s">
        <v>1930</v>
      </c>
      <c r="J976" s="43">
        <v>44225</v>
      </c>
      <c r="K976" s="42" t="s">
        <v>36</v>
      </c>
      <c r="L976" s="42">
        <v>28.7</v>
      </c>
      <c r="M976" s="45" t="s">
        <v>31</v>
      </c>
      <c r="N976" s="42" t="s">
        <v>60</v>
      </c>
      <c r="O976" s="43" t="s">
        <v>60</v>
      </c>
      <c r="P976" s="42" t="s">
        <v>60</v>
      </c>
      <c r="Q976" s="42" t="s">
        <v>60</v>
      </c>
      <c r="R976" s="46" t="s">
        <v>60</v>
      </c>
      <c r="S976" s="43">
        <v>44225</v>
      </c>
      <c r="T976" s="51">
        <f t="shared" si="40"/>
        <v>3</v>
      </c>
      <c r="U976" s="52" t="str">
        <f t="shared" si="39"/>
        <v>Não Detectável</v>
      </c>
    </row>
    <row r="977" spans="1:21" ht="25.5" customHeight="1" x14ac:dyDescent="0.2">
      <c r="A977" s="51">
        <v>976</v>
      </c>
      <c r="B977" s="50" t="s">
        <v>1955</v>
      </c>
      <c r="C977" s="51">
        <v>43</v>
      </c>
      <c r="D977" s="51" t="s">
        <v>25</v>
      </c>
      <c r="E977" s="43" t="s">
        <v>1956</v>
      </c>
      <c r="F977" s="44" t="s">
        <v>60</v>
      </c>
      <c r="G977" s="51">
        <v>366</v>
      </c>
      <c r="H977" s="43">
        <v>44225</v>
      </c>
      <c r="I977" s="42" t="s">
        <v>1930</v>
      </c>
      <c r="J977" s="43">
        <v>44225</v>
      </c>
      <c r="K977" s="42" t="s">
        <v>36</v>
      </c>
      <c r="L977" s="42">
        <v>28.7</v>
      </c>
      <c r="M977" s="45" t="s">
        <v>31</v>
      </c>
      <c r="N977" s="42" t="s">
        <v>60</v>
      </c>
      <c r="O977" s="43" t="s">
        <v>60</v>
      </c>
      <c r="P977" s="42" t="s">
        <v>60</v>
      </c>
      <c r="Q977" s="42" t="s">
        <v>60</v>
      </c>
      <c r="R977" s="46" t="s">
        <v>60</v>
      </c>
      <c r="S977" s="43">
        <v>44225</v>
      </c>
      <c r="T977" s="51">
        <f t="shared" si="40"/>
        <v>3</v>
      </c>
      <c r="U977" s="52" t="str">
        <f t="shared" si="39"/>
        <v>Não Detectável</v>
      </c>
    </row>
    <row r="978" spans="1:21" ht="25.5" customHeight="1" x14ac:dyDescent="0.2">
      <c r="A978" s="51">
        <v>977</v>
      </c>
      <c r="B978" s="50" t="s">
        <v>1957</v>
      </c>
      <c r="C978" s="51">
        <v>40</v>
      </c>
      <c r="D978" s="51" t="s">
        <v>25</v>
      </c>
      <c r="E978" s="43" t="s">
        <v>1956</v>
      </c>
      <c r="F978" s="44" t="s">
        <v>60</v>
      </c>
      <c r="G978" s="51">
        <v>367</v>
      </c>
      <c r="H978" s="43">
        <v>44225</v>
      </c>
      <c r="I978" s="42" t="s">
        <v>1930</v>
      </c>
      <c r="J978" s="43">
        <v>44225</v>
      </c>
      <c r="K978" s="42">
        <v>29.1</v>
      </c>
      <c r="L978" s="42">
        <v>26.3</v>
      </c>
      <c r="M978" s="48" t="s">
        <v>29</v>
      </c>
      <c r="N978" s="42" t="s">
        <v>1958</v>
      </c>
      <c r="O978" s="43">
        <v>44228</v>
      </c>
      <c r="P978" s="42">
        <v>26.4</v>
      </c>
      <c r="Q978" s="42">
        <v>24.9</v>
      </c>
      <c r="R978" s="46" t="s">
        <v>29</v>
      </c>
      <c r="S978" s="43">
        <v>44228</v>
      </c>
      <c r="T978" s="51">
        <f t="shared" si="40"/>
        <v>3</v>
      </c>
      <c r="U978" s="52" t="str">
        <f t="shared" si="39"/>
        <v>Detectável</v>
      </c>
    </row>
    <row r="979" spans="1:21" ht="25.5" customHeight="1" x14ac:dyDescent="0.2">
      <c r="A979" s="51">
        <v>978</v>
      </c>
      <c r="B979" s="50" t="s">
        <v>1959</v>
      </c>
      <c r="C979" s="51">
        <v>55</v>
      </c>
      <c r="D979" s="51" t="s">
        <v>34</v>
      </c>
      <c r="E979" s="43" t="s">
        <v>1956</v>
      </c>
      <c r="F979" s="44" t="s">
        <v>60</v>
      </c>
      <c r="G979" s="51">
        <v>367</v>
      </c>
      <c r="H979" s="43">
        <v>44225</v>
      </c>
      <c r="I979" s="42" t="s">
        <v>1930</v>
      </c>
      <c r="J979" s="43">
        <v>44225</v>
      </c>
      <c r="K979" s="42">
        <v>29.1</v>
      </c>
      <c r="L979" s="42">
        <v>26.3</v>
      </c>
      <c r="M979" s="48" t="s">
        <v>29</v>
      </c>
      <c r="N979" s="42" t="s">
        <v>1958</v>
      </c>
      <c r="O979" s="43">
        <v>44228</v>
      </c>
      <c r="P979" s="42">
        <v>36.9</v>
      </c>
      <c r="Q979" s="42">
        <v>26.6</v>
      </c>
      <c r="R979" s="46" t="s">
        <v>201</v>
      </c>
      <c r="S979" s="43">
        <v>44228</v>
      </c>
      <c r="T979" s="51">
        <f t="shared" si="40"/>
        <v>3</v>
      </c>
      <c r="U979" s="52" t="str">
        <f t="shared" si="39"/>
        <v>Inconclusivo</v>
      </c>
    </row>
    <row r="980" spans="1:21" ht="25.5" customHeight="1" x14ac:dyDescent="0.2">
      <c r="A980" s="51">
        <v>979</v>
      </c>
      <c r="B980" s="50" t="s">
        <v>1960</v>
      </c>
      <c r="C980" s="51">
        <v>30</v>
      </c>
      <c r="D980" s="51" t="s">
        <v>34</v>
      </c>
      <c r="E980" s="43" t="s">
        <v>1956</v>
      </c>
      <c r="F980" s="44" t="s">
        <v>60</v>
      </c>
      <c r="G980" s="51">
        <v>367</v>
      </c>
      <c r="H980" s="43">
        <v>44225</v>
      </c>
      <c r="I980" s="42" t="s">
        <v>1930</v>
      </c>
      <c r="J980" s="43">
        <v>44225</v>
      </c>
      <c r="K980" s="42">
        <v>29.1</v>
      </c>
      <c r="L980" s="42">
        <v>26.3</v>
      </c>
      <c r="M980" s="48" t="s">
        <v>29</v>
      </c>
      <c r="N980" s="42" t="s">
        <v>1958</v>
      </c>
      <c r="O980" s="43">
        <v>44228</v>
      </c>
      <c r="P980" s="42" t="s">
        <v>36</v>
      </c>
      <c r="Q980" s="42">
        <v>26.5</v>
      </c>
      <c r="R980" s="46" t="s">
        <v>31</v>
      </c>
      <c r="S980" s="43">
        <v>44228</v>
      </c>
      <c r="T980" s="51">
        <f t="shared" si="40"/>
        <v>3</v>
      </c>
      <c r="U980" s="52" t="str">
        <f t="shared" si="39"/>
        <v>Não Detectável</v>
      </c>
    </row>
    <row r="981" spans="1:21" ht="25.5" customHeight="1" x14ac:dyDescent="0.2">
      <c r="A981" s="51">
        <v>980</v>
      </c>
      <c r="B981" s="50" t="s">
        <v>1961</v>
      </c>
      <c r="C981" s="51">
        <v>57</v>
      </c>
      <c r="D981" s="51" t="s">
        <v>25</v>
      </c>
      <c r="E981" s="43" t="s">
        <v>1956</v>
      </c>
      <c r="F981" s="44" t="s">
        <v>60</v>
      </c>
      <c r="G981" s="51">
        <v>368</v>
      </c>
      <c r="H981" s="43">
        <v>44225</v>
      </c>
      <c r="I981" s="42" t="s">
        <v>1930</v>
      </c>
      <c r="J981" s="43">
        <v>44225</v>
      </c>
      <c r="K981" s="42">
        <v>35</v>
      </c>
      <c r="L981" s="42">
        <v>25.1</v>
      </c>
      <c r="M981" s="48" t="s">
        <v>29</v>
      </c>
      <c r="N981" s="42" t="s">
        <v>1958</v>
      </c>
      <c r="O981" s="43">
        <v>44228</v>
      </c>
      <c r="P981" s="42">
        <v>35.9</v>
      </c>
      <c r="Q981" s="42">
        <v>24.5</v>
      </c>
      <c r="R981" s="46" t="s">
        <v>29</v>
      </c>
      <c r="S981" s="43">
        <v>44228</v>
      </c>
      <c r="T981" s="51">
        <f t="shared" si="40"/>
        <v>3</v>
      </c>
      <c r="U981" s="52" t="str">
        <f t="shared" si="39"/>
        <v>Detectável</v>
      </c>
    </row>
    <row r="982" spans="1:21" ht="25.5" customHeight="1" x14ac:dyDescent="0.2">
      <c r="A982" s="51">
        <v>981</v>
      </c>
      <c r="B982" s="50" t="s">
        <v>1962</v>
      </c>
      <c r="C982" s="51">
        <v>33</v>
      </c>
      <c r="D982" s="51" t="s">
        <v>34</v>
      </c>
      <c r="E982" s="43" t="s">
        <v>1956</v>
      </c>
      <c r="F982" s="44" t="s">
        <v>60</v>
      </c>
      <c r="G982" s="51">
        <v>368</v>
      </c>
      <c r="H982" s="43">
        <v>44225</v>
      </c>
      <c r="I982" s="42" t="s">
        <v>1930</v>
      </c>
      <c r="J982" s="43">
        <v>44225</v>
      </c>
      <c r="K982" s="42">
        <v>35</v>
      </c>
      <c r="L982" s="42">
        <v>25.1</v>
      </c>
      <c r="M982" s="48" t="s">
        <v>29</v>
      </c>
      <c r="N982" s="42" t="s">
        <v>1958</v>
      </c>
      <c r="O982" s="43">
        <v>44228</v>
      </c>
      <c r="P982" s="42" t="s">
        <v>36</v>
      </c>
      <c r="Q982" s="42">
        <v>25.7</v>
      </c>
      <c r="R982" s="46" t="s">
        <v>31</v>
      </c>
      <c r="S982" s="43">
        <v>44228</v>
      </c>
      <c r="T982" s="51">
        <f t="shared" si="40"/>
        <v>3</v>
      </c>
      <c r="U982" s="52" t="str">
        <f t="shared" si="39"/>
        <v>Não Detectável</v>
      </c>
    </row>
    <row r="983" spans="1:21" ht="25.5" customHeight="1" x14ac:dyDescent="0.2">
      <c r="A983" s="51">
        <v>982</v>
      </c>
      <c r="B983" s="50" t="s">
        <v>1963</v>
      </c>
      <c r="C983" s="51">
        <v>72</v>
      </c>
      <c r="D983" s="51" t="s">
        <v>25</v>
      </c>
      <c r="E983" s="43" t="s">
        <v>1956</v>
      </c>
      <c r="F983" s="44" t="s">
        <v>60</v>
      </c>
      <c r="G983" s="51">
        <v>368</v>
      </c>
      <c r="H983" s="43">
        <v>44225</v>
      </c>
      <c r="I983" s="42" t="s">
        <v>1930</v>
      </c>
      <c r="J983" s="43">
        <v>44225</v>
      </c>
      <c r="K983" s="42">
        <v>35</v>
      </c>
      <c r="L983" s="42">
        <v>25.1</v>
      </c>
      <c r="M983" s="48" t="s">
        <v>29</v>
      </c>
      <c r="N983" s="42" t="s">
        <v>1958</v>
      </c>
      <c r="O983" s="43">
        <v>44228</v>
      </c>
      <c r="P983" s="42" t="s">
        <v>36</v>
      </c>
      <c r="Q983" s="42">
        <v>25.2</v>
      </c>
      <c r="R983" s="46" t="s">
        <v>31</v>
      </c>
      <c r="S983" s="43">
        <v>44228</v>
      </c>
      <c r="T983" s="51">
        <f t="shared" si="40"/>
        <v>3</v>
      </c>
      <c r="U983" s="52" t="str">
        <f t="shared" si="39"/>
        <v>Não Detectável</v>
      </c>
    </row>
    <row r="984" spans="1:21" ht="25.5" customHeight="1" x14ac:dyDescent="0.2">
      <c r="A984" s="51">
        <v>983</v>
      </c>
      <c r="B984" s="50" t="s">
        <v>1964</v>
      </c>
      <c r="C984" s="51">
        <v>20</v>
      </c>
      <c r="D984" s="51" t="s">
        <v>25</v>
      </c>
      <c r="E984" s="43" t="s">
        <v>1956</v>
      </c>
      <c r="F984" s="44" t="s">
        <v>60</v>
      </c>
      <c r="G984" s="51">
        <v>369</v>
      </c>
      <c r="H984" s="43">
        <v>44225</v>
      </c>
      <c r="I984" s="42" t="s">
        <v>1930</v>
      </c>
      <c r="J984" s="43">
        <v>44225</v>
      </c>
      <c r="K984" s="42">
        <v>21.5</v>
      </c>
      <c r="L984" s="42">
        <v>25.8</v>
      </c>
      <c r="M984" s="48" t="s">
        <v>29</v>
      </c>
      <c r="N984" s="42" t="s">
        <v>1958</v>
      </c>
      <c r="O984" s="43">
        <v>44228</v>
      </c>
      <c r="P984" s="42" t="s">
        <v>36</v>
      </c>
      <c r="Q984" s="42">
        <v>25.2</v>
      </c>
      <c r="R984" s="46" t="s">
        <v>31</v>
      </c>
      <c r="S984" s="43">
        <v>44228</v>
      </c>
      <c r="T984" s="51">
        <f t="shared" si="40"/>
        <v>3</v>
      </c>
      <c r="U984" s="52" t="str">
        <f t="shared" si="39"/>
        <v>Não Detectável</v>
      </c>
    </row>
    <row r="985" spans="1:21" ht="25.5" customHeight="1" x14ac:dyDescent="0.2">
      <c r="A985" s="51">
        <v>984</v>
      </c>
      <c r="B985" s="50" t="s">
        <v>1965</v>
      </c>
      <c r="C985" s="51">
        <v>34</v>
      </c>
      <c r="D985" s="51" t="s">
        <v>25</v>
      </c>
      <c r="E985" s="43" t="s">
        <v>1956</v>
      </c>
      <c r="F985" s="44" t="s">
        <v>60</v>
      </c>
      <c r="G985" s="51">
        <v>369</v>
      </c>
      <c r="H985" s="43">
        <v>44225</v>
      </c>
      <c r="I985" s="42" t="s">
        <v>1930</v>
      </c>
      <c r="J985" s="43">
        <v>44225</v>
      </c>
      <c r="K985" s="42">
        <v>21.5</v>
      </c>
      <c r="L985" s="42">
        <v>25.8</v>
      </c>
      <c r="M985" s="48" t="s">
        <v>29</v>
      </c>
      <c r="N985" s="42" t="s">
        <v>1958</v>
      </c>
      <c r="O985" s="43">
        <v>44228</v>
      </c>
      <c r="P985" s="42" t="s">
        <v>36</v>
      </c>
      <c r="Q985" s="42">
        <v>25.1</v>
      </c>
      <c r="R985" s="46" t="s">
        <v>31</v>
      </c>
      <c r="S985" s="43">
        <v>44228</v>
      </c>
      <c r="T985" s="51">
        <f t="shared" si="40"/>
        <v>3</v>
      </c>
      <c r="U985" s="52" t="str">
        <f t="shared" si="39"/>
        <v>Não Detectável</v>
      </c>
    </row>
    <row r="986" spans="1:21" ht="25.5" customHeight="1" x14ac:dyDescent="0.2">
      <c r="A986" s="51">
        <v>985</v>
      </c>
      <c r="B986" s="50" t="s">
        <v>1966</v>
      </c>
      <c r="C986" s="51">
        <v>38</v>
      </c>
      <c r="D986" s="51" t="s">
        <v>25</v>
      </c>
      <c r="E986" s="43" t="s">
        <v>1956</v>
      </c>
      <c r="F986" s="44" t="s">
        <v>60</v>
      </c>
      <c r="G986" s="51">
        <v>369</v>
      </c>
      <c r="H986" s="43">
        <v>44225</v>
      </c>
      <c r="I986" s="42" t="s">
        <v>1930</v>
      </c>
      <c r="J986" s="43">
        <v>44225</v>
      </c>
      <c r="K986" s="42">
        <v>21.5</v>
      </c>
      <c r="L986" s="42">
        <v>25.8</v>
      </c>
      <c r="M986" s="48" t="s">
        <v>29</v>
      </c>
      <c r="N986" s="42" t="s">
        <v>1958</v>
      </c>
      <c r="O986" s="43">
        <v>44228</v>
      </c>
      <c r="P986" s="42">
        <v>22.2</v>
      </c>
      <c r="Q986" s="42">
        <v>25.7</v>
      </c>
      <c r="R986" s="46" t="s">
        <v>29</v>
      </c>
      <c r="S986" s="43">
        <v>44228</v>
      </c>
      <c r="T986" s="51">
        <f t="shared" si="40"/>
        <v>3</v>
      </c>
      <c r="U986" s="52" t="str">
        <f t="shared" si="39"/>
        <v>Detectável</v>
      </c>
    </row>
    <row r="987" spans="1:21" ht="25.5" customHeight="1" x14ac:dyDescent="0.2">
      <c r="A987" s="51">
        <v>986</v>
      </c>
      <c r="B987" s="50" t="s">
        <v>1967</v>
      </c>
      <c r="C987" s="51">
        <v>25</v>
      </c>
      <c r="D987" s="51" t="s">
        <v>25</v>
      </c>
      <c r="E987" s="43" t="s">
        <v>1956</v>
      </c>
      <c r="F987" s="44" t="s">
        <v>60</v>
      </c>
      <c r="G987" s="51">
        <v>370</v>
      </c>
      <c r="H987" s="43">
        <v>44225</v>
      </c>
      <c r="I987" s="42" t="s">
        <v>1930</v>
      </c>
      <c r="J987" s="43">
        <v>44225</v>
      </c>
      <c r="K987" s="42">
        <v>29.6</v>
      </c>
      <c r="L987" s="42">
        <v>26.4</v>
      </c>
      <c r="M987" s="48" t="s">
        <v>29</v>
      </c>
      <c r="N987" s="42" t="s">
        <v>1958</v>
      </c>
      <c r="O987" s="43">
        <v>44228</v>
      </c>
      <c r="P987" s="42" t="s">
        <v>36</v>
      </c>
      <c r="Q987" s="42">
        <v>25.5</v>
      </c>
      <c r="R987" s="46" t="s">
        <v>31</v>
      </c>
      <c r="S987" s="43">
        <v>44228</v>
      </c>
      <c r="T987" s="51">
        <f t="shared" si="40"/>
        <v>3</v>
      </c>
      <c r="U987" s="52" t="str">
        <f t="shared" si="39"/>
        <v>Não Detectável</v>
      </c>
    </row>
    <row r="988" spans="1:21" ht="25.5" customHeight="1" x14ac:dyDescent="0.2">
      <c r="A988" s="51">
        <v>987</v>
      </c>
      <c r="B988" s="50" t="s">
        <v>1968</v>
      </c>
      <c r="C988" s="51">
        <v>33</v>
      </c>
      <c r="D988" s="51" t="s">
        <v>25</v>
      </c>
      <c r="E988" s="43" t="s">
        <v>1956</v>
      </c>
      <c r="F988" s="44" t="s">
        <v>60</v>
      </c>
      <c r="G988" s="51">
        <v>370</v>
      </c>
      <c r="H988" s="43">
        <v>44225</v>
      </c>
      <c r="I988" s="42" t="s">
        <v>1930</v>
      </c>
      <c r="J988" s="43">
        <v>44225</v>
      </c>
      <c r="K988" s="42">
        <v>29.6</v>
      </c>
      <c r="L988" s="42">
        <v>26.4</v>
      </c>
      <c r="M988" s="48" t="s">
        <v>29</v>
      </c>
      <c r="N988" s="42" t="s">
        <v>1958</v>
      </c>
      <c r="O988" s="43">
        <v>44228</v>
      </c>
      <c r="P988" s="42">
        <v>30.3</v>
      </c>
      <c r="Q988" s="42">
        <v>26.9</v>
      </c>
      <c r="R988" s="46" t="s">
        <v>29</v>
      </c>
      <c r="S988" s="43">
        <v>44228</v>
      </c>
      <c r="T988" s="51">
        <f t="shared" si="40"/>
        <v>3</v>
      </c>
      <c r="U988" s="52" t="str">
        <f t="shared" si="39"/>
        <v>Detectável</v>
      </c>
    </row>
    <row r="989" spans="1:21" ht="25.5" customHeight="1" x14ac:dyDescent="0.2">
      <c r="A989" s="51">
        <v>988</v>
      </c>
      <c r="B989" s="50" t="s">
        <v>1969</v>
      </c>
      <c r="C989" s="51">
        <v>64</v>
      </c>
      <c r="D989" s="51" t="s">
        <v>25</v>
      </c>
      <c r="E989" s="43" t="s">
        <v>1956</v>
      </c>
      <c r="F989" s="44" t="s">
        <v>60</v>
      </c>
      <c r="G989" s="51">
        <v>370</v>
      </c>
      <c r="H989" s="43">
        <v>44225</v>
      </c>
      <c r="I989" s="42" t="s">
        <v>1930</v>
      </c>
      <c r="J989" s="43">
        <v>44225</v>
      </c>
      <c r="K989" s="42">
        <v>29.6</v>
      </c>
      <c r="L989" s="42">
        <v>26.4</v>
      </c>
      <c r="M989" s="48" t="s">
        <v>29</v>
      </c>
      <c r="N989" s="42" t="s">
        <v>1958</v>
      </c>
      <c r="O989" s="43">
        <v>44228</v>
      </c>
      <c r="P989" s="42" t="s">
        <v>36</v>
      </c>
      <c r="Q989" s="42">
        <v>25.8</v>
      </c>
      <c r="R989" s="46" t="s">
        <v>31</v>
      </c>
      <c r="S989" s="43">
        <v>44228</v>
      </c>
      <c r="T989" s="51">
        <f t="shared" si="40"/>
        <v>3</v>
      </c>
      <c r="U989" s="52" t="str">
        <f t="shared" si="39"/>
        <v>Não Detectável</v>
      </c>
    </row>
    <row r="990" spans="1:21" ht="25.5" customHeight="1" x14ac:dyDescent="0.2">
      <c r="A990" s="51">
        <v>989</v>
      </c>
      <c r="B990" s="50" t="s">
        <v>1970</v>
      </c>
      <c r="C990" s="51">
        <v>24</v>
      </c>
      <c r="D990" s="51" t="s">
        <v>25</v>
      </c>
      <c r="E990" s="43" t="s">
        <v>1956</v>
      </c>
      <c r="F990" s="44" t="s">
        <v>60</v>
      </c>
      <c r="G990" s="51">
        <v>371</v>
      </c>
      <c r="H990" s="43">
        <v>44225</v>
      </c>
      <c r="I990" s="42" t="s">
        <v>1941</v>
      </c>
      <c r="J990" s="43">
        <v>44228</v>
      </c>
      <c r="K990" s="42">
        <v>24</v>
      </c>
      <c r="L990" s="42">
        <v>27</v>
      </c>
      <c r="M990" s="48" t="s">
        <v>29</v>
      </c>
      <c r="N990" s="42" t="s">
        <v>1971</v>
      </c>
      <c r="O990" s="43">
        <v>44229</v>
      </c>
      <c r="P990" s="42">
        <v>22.3</v>
      </c>
      <c r="Q990" s="42">
        <v>24</v>
      </c>
      <c r="R990" s="46" t="s">
        <v>29</v>
      </c>
      <c r="S990" s="43">
        <v>44229</v>
      </c>
      <c r="T990" s="51">
        <f t="shared" si="40"/>
        <v>3</v>
      </c>
      <c r="U990" s="52" t="str">
        <f t="shared" si="39"/>
        <v>Detectável</v>
      </c>
    </row>
    <row r="991" spans="1:21" ht="25.5" customHeight="1" x14ac:dyDescent="0.2">
      <c r="A991" s="51">
        <v>990</v>
      </c>
      <c r="B991" s="50" t="s">
        <v>1972</v>
      </c>
      <c r="C991" s="51">
        <v>35</v>
      </c>
      <c r="D991" s="51" t="s">
        <v>25</v>
      </c>
      <c r="E991" s="43" t="s">
        <v>1956</v>
      </c>
      <c r="F991" s="44" t="s">
        <v>60</v>
      </c>
      <c r="G991" s="51">
        <v>371</v>
      </c>
      <c r="H991" s="43">
        <v>44225</v>
      </c>
      <c r="I991" s="42" t="s">
        <v>1941</v>
      </c>
      <c r="J991" s="43">
        <v>44228</v>
      </c>
      <c r="K991" s="42">
        <v>24</v>
      </c>
      <c r="L991" s="42">
        <v>27</v>
      </c>
      <c r="M991" s="48" t="s">
        <v>29</v>
      </c>
      <c r="N991" s="42" t="s">
        <v>1971</v>
      </c>
      <c r="O991" s="43">
        <v>44229</v>
      </c>
      <c r="P991" s="42">
        <v>27.2</v>
      </c>
      <c r="Q991" s="42">
        <v>27.1</v>
      </c>
      <c r="R991" s="46" t="s">
        <v>29</v>
      </c>
      <c r="S991" s="43">
        <v>44229</v>
      </c>
      <c r="T991" s="51">
        <f t="shared" si="40"/>
        <v>3</v>
      </c>
      <c r="U991" s="52" t="str">
        <f t="shared" si="39"/>
        <v>Detectável</v>
      </c>
    </row>
    <row r="992" spans="1:21" ht="25.5" customHeight="1" x14ac:dyDescent="0.2">
      <c r="A992" s="51">
        <v>991</v>
      </c>
      <c r="B992" s="50" t="s">
        <v>1973</v>
      </c>
      <c r="C992" s="51">
        <v>42</v>
      </c>
      <c r="D992" s="51" t="s">
        <v>25</v>
      </c>
      <c r="E992" s="43" t="s">
        <v>1974</v>
      </c>
      <c r="F992" s="44" t="s">
        <v>60</v>
      </c>
      <c r="G992" s="51">
        <v>371</v>
      </c>
      <c r="H992" s="43">
        <v>44228</v>
      </c>
      <c r="I992" s="42" t="s">
        <v>1941</v>
      </c>
      <c r="J992" s="43">
        <v>44228</v>
      </c>
      <c r="K992" s="42">
        <v>24</v>
      </c>
      <c r="L992" s="42">
        <v>27</v>
      </c>
      <c r="M992" s="48" t="s">
        <v>29</v>
      </c>
      <c r="N992" s="42" t="s">
        <v>1971</v>
      </c>
      <c r="O992" s="43">
        <v>44229</v>
      </c>
      <c r="P992" s="42" t="s">
        <v>36</v>
      </c>
      <c r="Q992" s="42">
        <v>25.2</v>
      </c>
      <c r="R992" s="46" t="s">
        <v>31</v>
      </c>
      <c r="S992" s="43">
        <v>44229</v>
      </c>
      <c r="T992" s="51">
        <f t="shared" si="40"/>
        <v>3</v>
      </c>
      <c r="U992" s="52" t="str">
        <f t="shared" si="39"/>
        <v>Não Detectável</v>
      </c>
    </row>
    <row r="993" spans="1:21" ht="25.5" customHeight="1" x14ac:dyDescent="0.2">
      <c r="A993" s="51">
        <v>992</v>
      </c>
      <c r="B993" s="50" t="s">
        <v>1975</v>
      </c>
      <c r="C993" s="51">
        <v>22</v>
      </c>
      <c r="D993" s="51" t="s">
        <v>34</v>
      </c>
      <c r="E993" s="43" t="s">
        <v>1974</v>
      </c>
      <c r="F993" s="44" t="s">
        <v>60</v>
      </c>
      <c r="G993" s="51">
        <v>372</v>
      </c>
      <c r="H993" s="43">
        <v>44228</v>
      </c>
      <c r="I993" s="42" t="s">
        <v>1941</v>
      </c>
      <c r="J993" s="43">
        <v>44228</v>
      </c>
      <c r="K993" s="42">
        <v>32.700000000000003</v>
      </c>
      <c r="L993" s="42">
        <v>26.3</v>
      </c>
      <c r="M993" s="48" t="s">
        <v>29</v>
      </c>
      <c r="N993" s="42" t="s">
        <v>1971</v>
      </c>
      <c r="O993" s="43">
        <v>44229</v>
      </c>
      <c r="P993" s="42">
        <v>32.4</v>
      </c>
      <c r="Q993" s="42">
        <v>25.5</v>
      </c>
      <c r="R993" s="46" t="s">
        <v>29</v>
      </c>
      <c r="S993" s="43">
        <v>44229</v>
      </c>
      <c r="T993" s="51">
        <f t="shared" si="40"/>
        <v>3</v>
      </c>
      <c r="U993" s="52" t="str">
        <f t="shared" si="39"/>
        <v>Detectável</v>
      </c>
    </row>
    <row r="994" spans="1:21" ht="25.5" customHeight="1" x14ac:dyDescent="0.2">
      <c r="A994" s="51">
        <v>993</v>
      </c>
      <c r="B994" s="50" t="s">
        <v>1976</v>
      </c>
      <c r="C994" s="51">
        <v>42</v>
      </c>
      <c r="D994" s="51" t="s">
        <v>25</v>
      </c>
      <c r="E994" s="43" t="s">
        <v>1974</v>
      </c>
      <c r="F994" s="44" t="s">
        <v>60</v>
      </c>
      <c r="G994" s="51">
        <v>372</v>
      </c>
      <c r="H994" s="43">
        <v>44228</v>
      </c>
      <c r="I994" s="42" t="s">
        <v>1941</v>
      </c>
      <c r="J994" s="43">
        <v>44228</v>
      </c>
      <c r="K994" s="42">
        <v>32.700000000000003</v>
      </c>
      <c r="L994" s="42">
        <v>26.3</v>
      </c>
      <c r="M994" s="48" t="s">
        <v>29</v>
      </c>
      <c r="N994" s="42" t="s">
        <v>1971</v>
      </c>
      <c r="O994" s="43">
        <v>44229</v>
      </c>
      <c r="P994" s="42" t="s">
        <v>36</v>
      </c>
      <c r="Q994" s="42">
        <v>25.5</v>
      </c>
      <c r="R994" s="46" t="s">
        <v>31</v>
      </c>
      <c r="S994" s="43">
        <v>44229</v>
      </c>
      <c r="T994" s="51">
        <f t="shared" si="40"/>
        <v>3</v>
      </c>
      <c r="U994" s="52" t="str">
        <f t="shared" si="39"/>
        <v>Não Detectável</v>
      </c>
    </row>
    <row r="995" spans="1:21" ht="25.5" customHeight="1" x14ac:dyDescent="0.2">
      <c r="A995" s="51">
        <v>994</v>
      </c>
      <c r="B995" s="50" t="s">
        <v>1977</v>
      </c>
      <c r="C995" s="51">
        <v>35</v>
      </c>
      <c r="D995" s="51" t="s">
        <v>25</v>
      </c>
      <c r="E995" s="43" t="s">
        <v>1974</v>
      </c>
      <c r="F995" s="44" t="s">
        <v>60</v>
      </c>
      <c r="G995" s="51">
        <v>372</v>
      </c>
      <c r="H995" s="43">
        <v>44228</v>
      </c>
      <c r="I995" s="42" t="s">
        <v>1941</v>
      </c>
      <c r="J995" s="43">
        <v>44228</v>
      </c>
      <c r="K995" s="42">
        <v>32.700000000000003</v>
      </c>
      <c r="L995" s="42">
        <v>26.3</v>
      </c>
      <c r="M995" s="48" t="s">
        <v>29</v>
      </c>
      <c r="N995" s="42" t="s">
        <v>1971</v>
      </c>
      <c r="O995" s="43">
        <v>44229</v>
      </c>
      <c r="P995" s="42" t="s">
        <v>36</v>
      </c>
      <c r="Q995" s="42">
        <v>24.7</v>
      </c>
      <c r="R995" s="46" t="s">
        <v>31</v>
      </c>
      <c r="S995" s="43">
        <v>44229</v>
      </c>
      <c r="T995" s="51">
        <f t="shared" si="40"/>
        <v>3</v>
      </c>
      <c r="U995" s="52" t="str">
        <f t="shared" si="39"/>
        <v>Não Detectável</v>
      </c>
    </row>
    <row r="996" spans="1:21" ht="25.5" customHeight="1" x14ac:dyDescent="0.2">
      <c r="A996" s="51">
        <v>995</v>
      </c>
      <c r="B996" s="50" t="s">
        <v>1978</v>
      </c>
      <c r="C996" s="51">
        <v>21</v>
      </c>
      <c r="D996" s="51" t="s">
        <v>34</v>
      </c>
      <c r="E996" s="43" t="s">
        <v>1974</v>
      </c>
      <c r="F996" s="44" t="s">
        <v>60</v>
      </c>
      <c r="G996" s="51">
        <v>373</v>
      </c>
      <c r="H996" s="43">
        <v>44228</v>
      </c>
      <c r="I996" s="42" t="s">
        <v>1941</v>
      </c>
      <c r="J996" s="43">
        <v>44228</v>
      </c>
      <c r="K996" s="42">
        <v>33.200000000000003</v>
      </c>
      <c r="L996" s="42">
        <v>27.8</v>
      </c>
      <c r="M996" s="48" t="s">
        <v>29</v>
      </c>
      <c r="N996" s="42" t="s">
        <v>1971</v>
      </c>
      <c r="O996" s="43">
        <v>44229</v>
      </c>
      <c r="P996" s="42" t="s">
        <v>36</v>
      </c>
      <c r="Q996" s="42">
        <v>27.7</v>
      </c>
      <c r="R996" s="46" t="s">
        <v>31</v>
      </c>
      <c r="S996" s="43">
        <v>44229</v>
      </c>
      <c r="T996" s="51">
        <f t="shared" si="40"/>
        <v>3</v>
      </c>
      <c r="U996" s="52" t="str">
        <f t="shared" si="39"/>
        <v>Não Detectável</v>
      </c>
    </row>
    <row r="997" spans="1:21" ht="25.5" customHeight="1" x14ac:dyDescent="0.2">
      <c r="A997" s="51">
        <v>996</v>
      </c>
      <c r="B997" s="50" t="s">
        <v>1979</v>
      </c>
      <c r="C997" s="51">
        <v>62</v>
      </c>
      <c r="D997" s="51" t="s">
        <v>25</v>
      </c>
      <c r="E997" s="43" t="s">
        <v>1974</v>
      </c>
      <c r="F997" s="44" t="s">
        <v>60</v>
      </c>
      <c r="G997" s="51">
        <v>373</v>
      </c>
      <c r="H997" s="43">
        <v>44228</v>
      </c>
      <c r="I997" s="42" t="s">
        <v>1941</v>
      </c>
      <c r="J997" s="43">
        <v>44228</v>
      </c>
      <c r="K997" s="42">
        <v>33.200000000000003</v>
      </c>
      <c r="L997" s="42">
        <v>27.8</v>
      </c>
      <c r="M997" s="48" t="s">
        <v>29</v>
      </c>
      <c r="N997" s="42" t="s">
        <v>1971</v>
      </c>
      <c r="O997" s="43">
        <v>44229</v>
      </c>
      <c r="P997" s="42">
        <v>33.299999999999997</v>
      </c>
      <c r="Q997" s="42">
        <v>25.2</v>
      </c>
      <c r="R997" s="46" t="s">
        <v>29</v>
      </c>
      <c r="S997" s="43">
        <v>44229</v>
      </c>
      <c r="T997" s="51">
        <f t="shared" si="40"/>
        <v>3</v>
      </c>
      <c r="U997" s="52" t="str">
        <f t="shared" si="39"/>
        <v>Detectável</v>
      </c>
    </row>
    <row r="998" spans="1:21" ht="25.5" customHeight="1" x14ac:dyDescent="0.2">
      <c r="A998" s="51">
        <v>997</v>
      </c>
      <c r="B998" s="50" t="s">
        <v>1980</v>
      </c>
      <c r="C998" s="51">
        <v>23</v>
      </c>
      <c r="D998" s="51" t="s">
        <v>34</v>
      </c>
      <c r="E998" s="43" t="s">
        <v>1974</v>
      </c>
      <c r="F998" s="44" t="s">
        <v>60</v>
      </c>
      <c r="G998" s="51">
        <v>373</v>
      </c>
      <c r="H998" s="43">
        <v>44228</v>
      </c>
      <c r="I998" s="42" t="s">
        <v>1941</v>
      </c>
      <c r="J998" s="43">
        <v>44228</v>
      </c>
      <c r="K998" s="42">
        <v>33.200000000000003</v>
      </c>
      <c r="L998" s="42">
        <v>27.8</v>
      </c>
      <c r="M998" s="48" t="s">
        <v>29</v>
      </c>
      <c r="N998" s="42" t="s">
        <v>1971</v>
      </c>
      <c r="O998" s="43">
        <v>44229</v>
      </c>
      <c r="P998" s="42" t="s">
        <v>36</v>
      </c>
      <c r="Q998" s="42">
        <v>26.1</v>
      </c>
      <c r="R998" s="46" t="s">
        <v>31</v>
      </c>
      <c r="S998" s="43">
        <v>44229</v>
      </c>
      <c r="T998" s="51">
        <f t="shared" si="40"/>
        <v>3</v>
      </c>
      <c r="U998" s="52" t="str">
        <f t="shared" si="39"/>
        <v>Não Detectável</v>
      </c>
    </row>
    <row r="999" spans="1:21" ht="25.5" customHeight="1" x14ac:dyDescent="0.2">
      <c r="A999" s="51">
        <v>998</v>
      </c>
      <c r="B999" s="50" t="s">
        <v>1981</v>
      </c>
      <c r="C999" s="51">
        <v>27</v>
      </c>
      <c r="D999" s="51" t="s">
        <v>34</v>
      </c>
      <c r="E999" s="43" t="s">
        <v>1974</v>
      </c>
      <c r="F999" s="44" t="s">
        <v>60</v>
      </c>
      <c r="G999" s="51">
        <v>374</v>
      </c>
      <c r="H999" s="43">
        <v>44228</v>
      </c>
      <c r="I999" s="42" t="s">
        <v>1941</v>
      </c>
      <c r="J999" s="43">
        <v>44228</v>
      </c>
      <c r="K999" s="42">
        <v>18.7</v>
      </c>
      <c r="L999" s="42">
        <v>26.5</v>
      </c>
      <c r="M999" s="48" t="s">
        <v>29</v>
      </c>
      <c r="N999" s="42" t="s">
        <v>1971</v>
      </c>
      <c r="O999" s="43">
        <v>44229</v>
      </c>
      <c r="P999" s="42" t="s">
        <v>36</v>
      </c>
      <c r="Q999" s="42">
        <v>24.5</v>
      </c>
      <c r="R999" s="46" t="s">
        <v>31</v>
      </c>
      <c r="S999" s="43">
        <v>44229</v>
      </c>
      <c r="T999" s="51">
        <f t="shared" si="40"/>
        <v>3</v>
      </c>
      <c r="U999" s="52" t="str">
        <f t="shared" si="39"/>
        <v>Não Detectável</v>
      </c>
    </row>
    <row r="1000" spans="1:21" ht="25.5" customHeight="1" x14ac:dyDescent="0.2">
      <c r="A1000" s="51">
        <v>999</v>
      </c>
      <c r="B1000" s="50" t="s">
        <v>1982</v>
      </c>
      <c r="C1000" s="51">
        <v>22</v>
      </c>
      <c r="D1000" s="51" t="s">
        <v>25</v>
      </c>
      <c r="E1000" s="43" t="s">
        <v>1974</v>
      </c>
      <c r="F1000" s="44" t="s">
        <v>60</v>
      </c>
      <c r="G1000" s="51">
        <v>374</v>
      </c>
      <c r="H1000" s="43">
        <v>44228</v>
      </c>
      <c r="I1000" s="42" t="s">
        <v>1941</v>
      </c>
      <c r="J1000" s="43">
        <v>44228</v>
      </c>
      <c r="K1000" s="42">
        <v>18.7</v>
      </c>
      <c r="L1000" s="42">
        <v>26.5</v>
      </c>
      <c r="M1000" s="48" t="s">
        <v>29</v>
      </c>
      <c r="N1000" s="42" t="s">
        <v>1971</v>
      </c>
      <c r="O1000" s="43">
        <v>44229</v>
      </c>
      <c r="P1000" s="42" t="s">
        <v>36</v>
      </c>
      <c r="Q1000" s="42">
        <v>24.6</v>
      </c>
      <c r="R1000" s="46" t="s">
        <v>31</v>
      </c>
      <c r="S1000" s="43">
        <v>44229</v>
      </c>
      <c r="T1000" s="51">
        <f t="shared" si="40"/>
        <v>3</v>
      </c>
      <c r="U1000" s="52" t="str">
        <f t="shared" si="39"/>
        <v>Não Detectável</v>
      </c>
    </row>
    <row r="1001" spans="1:21" ht="25.5" customHeight="1" x14ac:dyDescent="0.2">
      <c r="A1001" s="51">
        <v>1000</v>
      </c>
      <c r="B1001" s="50" t="s">
        <v>1983</v>
      </c>
      <c r="C1001" s="51">
        <v>40</v>
      </c>
      <c r="D1001" s="51" t="s">
        <v>34</v>
      </c>
      <c r="E1001" s="43" t="s">
        <v>1974</v>
      </c>
      <c r="F1001" s="44" t="s">
        <v>60</v>
      </c>
      <c r="G1001" s="51">
        <v>374</v>
      </c>
      <c r="H1001" s="43">
        <v>44228</v>
      </c>
      <c r="I1001" s="42" t="s">
        <v>1941</v>
      </c>
      <c r="J1001" s="43">
        <v>44228</v>
      </c>
      <c r="K1001" s="42">
        <v>18.7</v>
      </c>
      <c r="L1001" s="42">
        <v>26.5</v>
      </c>
      <c r="M1001" s="48" t="s">
        <v>29</v>
      </c>
      <c r="N1001" s="42" t="s">
        <v>1971</v>
      </c>
      <c r="O1001" s="43">
        <v>44229</v>
      </c>
      <c r="P1001" s="42">
        <v>15.8</v>
      </c>
      <c r="Q1001" s="42">
        <v>24.8</v>
      </c>
      <c r="R1001" s="46" t="s">
        <v>29</v>
      </c>
      <c r="S1001" s="43">
        <v>44229</v>
      </c>
      <c r="T1001" s="51">
        <f t="shared" si="40"/>
        <v>3</v>
      </c>
      <c r="U1001" s="52" t="str">
        <f t="shared" si="39"/>
        <v>Detectável</v>
      </c>
    </row>
    <row r="1002" spans="1:21" ht="25.5" customHeight="1" x14ac:dyDescent="0.2">
      <c r="A1002" s="51">
        <v>1001</v>
      </c>
      <c r="B1002" s="50" t="s">
        <v>1984</v>
      </c>
      <c r="C1002" s="51">
        <v>34</v>
      </c>
      <c r="D1002" s="51" t="s">
        <v>25</v>
      </c>
      <c r="E1002" s="43" t="s">
        <v>1974</v>
      </c>
      <c r="F1002" s="44" t="s">
        <v>60</v>
      </c>
      <c r="G1002" s="51">
        <v>375</v>
      </c>
      <c r="H1002" s="43">
        <v>44228</v>
      </c>
      <c r="I1002" s="42" t="s">
        <v>1941</v>
      </c>
      <c r="J1002" s="43">
        <v>44228</v>
      </c>
      <c r="K1002" s="42" t="s">
        <v>36</v>
      </c>
      <c r="L1002" s="42">
        <v>26.6</v>
      </c>
      <c r="M1002" s="45" t="s">
        <v>31</v>
      </c>
      <c r="N1002" s="42" t="s">
        <v>60</v>
      </c>
      <c r="O1002" s="43" t="s">
        <v>60</v>
      </c>
      <c r="P1002" s="42" t="s">
        <v>60</v>
      </c>
      <c r="Q1002" s="42" t="s">
        <v>60</v>
      </c>
      <c r="R1002" s="46" t="s">
        <v>60</v>
      </c>
      <c r="S1002" s="43">
        <v>44228</v>
      </c>
      <c r="T1002" s="51">
        <f t="shared" si="40"/>
        <v>3</v>
      </c>
      <c r="U1002" s="52" t="str">
        <f t="shared" si="39"/>
        <v>Não Detectável</v>
      </c>
    </row>
    <row r="1003" spans="1:21" ht="25.5" customHeight="1" x14ac:dyDescent="0.2">
      <c r="A1003" s="51">
        <v>1002</v>
      </c>
      <c r="B1003" s="50" t="s">
        <v>1985</v>
      </c>
      <c r="C1003" s="51">
        <v>48</v>
      </c>
      <c r="D1003" s="51" t="s">
        <v>25</v>
      </c>
      <c r="E1003" s="43" t="s">
        <v>1974</v>
      </c>
      <c r="F1003" s="44" t="s">
        <v>60</v>
      </c>
      <c r="G1003" s="51">
        <v>375</v>
      </c>
      <c r="H1003" s="43">
        <v>44228</v>
      </c>
      <c r="I1003" s="42" t="s">
        <v>1941</v>
      </c>
      <c r="J1003" s="43">
        <v>44228</v>
      </c>
      <c r="K1003" s="42" t="s">
        <v>36</v>
      </c>
      <c r="L1003" s="42">
        <v>26.6</v>
      </c>
      <c r="M1003" s="45" t="s">
        <v>31</v>
      </c>
      <c r="N1003" s="42" t="s">
        <v>60</v>
      </c>
      <c r="O1003" s="43" t="s">
        <v>60</v>
      </c>
      <c r="P1003" s="42" t="s">
        <v>60</v>
      </c>
      <c r="Q1003" s="42" t="s">
        <v>60</v>
      </c>
      <c r="R1003" s="46" t="s">
        <v>60</v>
      </c>
      <c r="S1003" s="43">
        <v>44228</v>
      </c>
      <c r="T1003" s="51">
        <f t="shared" si="40"/>
        <v>3</v>
      </c>
      <c r="U1003" s="52" t="str">
        <f t="shared" si="39"/>
        <v>Não Detectável</v>
      </c>
    </row>
    <row r="1004" spans="1:21" ht="25.5" customHeight="1" x14ac:dyDescent="0.2">
      <c r="A1004" s="51">
        <v>1003</v>
      </c>
      <c r="B1004" s="50" t="s">
        <v>1986</v>
      </c>
      <c r="C1004" s="51">
        <v>20</v>
      </c>
      <c r="D1004" s="51" t="s">
        <v>34</v>
      </c>
      <c r="E1004" s="43" t="s">
        <v>1974</v>
      </c>
      <c r="F1004" s="44" t="s">
        <v>60</v>
      </c>
      <c r="G1004" s="51">
        <v>375</v>
      </c>
      <c r="H1004" s="43">
        <v>44228</v>
      </c>
      <c r="I1004" s="42" t="s">
        <v>1941</v>
      </c>
      <c r="J1004" s="43">
        <v>44228</v>
      </c>
      <c r="K1004" s="42" t="s">
        <v>36</v>
      </c>
      <c r="L1004" s="42">
        <v>26.6</v>
      </c>
      <c r="M1004" s="45" t="s">
        <v>31</v>
      </c>
      <c r="N1004" s="42" t="s">
        <v>60</v>
      </c>
      <c r="O1004" s="43" t="s">
        <v>60</v>
      </c>
      <c r="P1004" s="42" t="s">
        <v>60</v>
      </c>
      <c r="Q1004" s="42" t="s">
        <v>60</v>
      </c>
      <c r="R1004" s="46" t="s">
        <v>60</v>
      </c>
      <c r="S1004" s="43">
        <v>44228</v>
      </c>
      <c r="T1004" s="51">
        <f t="shared" si="40"/>
        <v>3</v>
      </c>
      <c r="U1004" s="52" t="str">
        <f t="shared" si="39"/>
        <v>Não Detectável</v>
      </c>
    </row>
    <row r="1005" spans="1:21" ht="25.5" customHeight="1" x14ac:dyDescent="0.2">
      <c r="A1005" s="51">
        <v>1004</v>
      </c>
      <c r="B1005" s="50" t="s">
        <v>1987</v>
      </c>
      <c r="C1005" s="51">
        <v>22</v>
      </c>
      <c r="D1005" s="51" t="s">
        <v>34</v>
      </c>
      <c r="E1005" s="43" t="s">
        <v>1974</v>
      </c>
      <c r="F1005" s="44" t="s">
        <v>60</v>
      </c>
      <c r="G1005" s="51">
        <v>376</v>
      </c>
      <c r="H1005" s="43">
        <v>44228</v>
      </c>
      <c r="I1005" s="42" t="s">
        <v>1941</v>
      </c>
      <c r="J1005" s="43">
        <v>44228</v>
      </c>
      <c r="K1005" s="42">
        <v>37.1</v>
      </c>
      <c r="L1005" s="42">
        <v>27.5</v>
      </c>
      <c r="M1005" s="48" t="s">
        <v>29</v>
      </c>
      <c r="N1005" s="42" t="s">
        <v>1971</v>
      </c>
      <c r="O1005" s="43">
        <v>44229</v>
      </c>
      <c r="P1005" s="42">
        <v>38.1</v>
      </c>
      <c r="Q1005" s="42">
        <v>26.2</v>
      </c>
      <c r="R1005" s="46" t="s">
        <v>201</v>
      </c>
      <c r="S1005" s="43">
        <v>44229</v>
      </c>
      <c r="T1005" s="51">
        <f t="shared" si="40"/>
        <v>3</v>
      </c>
      <c r="U1005" s="52" t="str">
        <f t="shared" si="39"/>
        <v>Inconclusivo</v>
      </c>
    </row>
    <row r="1006" spans="1:21" ht="25.5" customHeight="1" x14ac:dyDescent="0.2">
      <c r="A1006" s="51">
        <v>1005</v>
      </c>
      <c r="B1006" s="50" t="s">
        <v>1988</v>
      </c>
      <c r="C1006" s="51">
        <v>26</v>
      </c>
      <c r="D1006" s="51" t="s">
        <v>25</v>
      </c>
      <c r="E1006" s="43" t="s">
        <v>1974</v>
      </c>
      <c r="F1006" s="44" t="s">
        <v>60</v>
      </c>
      <c r="G1006" s="51">
        <v>376</v>
      </c>
      <c r="H1006" s="43">
        <v>44228</v>
      </c>
      <c r="I1006" s="42" t="s">
        <v>1941</v>
      </c>
      <c r="J1006" s="43">
        <v>44228</v>
      </c>
      <c r="K1006" s="42">
        <v>37.1</v>
      </c>
      <c r="L1006" s="42">
        <v>27.5</v>
      </c>
      <c r="M1006" s="48" t="s">
        <v>29</v>
      </c>
      <c r="N1006" s="42" t="s">
        <v>1971</v>
      </c>
      <c r="O1006" s="43">
        <v>44229</v>
      </c>
      <c r="P1006" s="42">
        <v>38.200000000000003</v>
      </c>
      <c r="Q1006" s="42">
        <v>25.2</v>
      </c>
      <c r="R1006" s="46" t="s">
        <v>201</v>
      </c>
      <c r="S1006" s="43">
        <v>44229</v>
      </c>
      <c r="T1006" s="51">
        <f t="shared" si="40"/>
        <v>3</v>
      </c>
      <c r="U1006" s="52" t="str">
        <f t="shared" si="39"/>
        <v>Inconclusivo</v>
      </c>
    </row>
    <row r="1007" spans="1:21" ht="25.5" customHeight="1" x14ac:dyDescent="0.2">
      <c r="A1007" s="51">
        <v>1006</v>
      </c>
      <c r="B1007" s="50" t="s">
        <v>1989</v>
      </c>
      <c r="C1007" s="51">
        <v>23</v>
      </c>
      <c r="D1007" s="51" t="s">
        <v>34</v>
      </c>
      <c r="E1007" s="43" t="s">
        <v>1974</v>
      </c>
      <c r="F1007" s="44" t="s">
        <v>60</v>
      </c>
      <c r="G1007" s="51">
        <v>376</v>
      </c>
      <c r="H1007" s="43">
        <v>44228</v>
      </c>
      <c r="I1007" s="42" t="s">
        <v>1941</v>
      </c>
      <c r="J1007" s="43">
        <v>44228</v>
      </c>
      <c r="K1007" s="42">
        <v>37.1</v>
      </c>
      <c r="L1007" s="42">
        <v>27.5</v>
      </c>
      <c r="M1007" s="48" t="s">
        <v>29</v>
      </c>
      <c r="N1007" s="42" t="s">
        <v>1971</v>
      </c>
      <c r="O1007" s="43">
        <v>44229</v>
      </c>
      <c r="P1007" s="42" t="s">
        <v>36</v>
      </c>
      <c r="Q1007" s="42">
        <v>26.8</v>
      </c>
      <c r="R1007" s="46" t="s">
        <v>31</v>
      </c>
      <c r="S1007" s="43">
        <v>44229</v>
      </c>
      <c r="T1007" s="51">
        <f t="shared" si="40"/>
        <v>3</v>
      </c>
      <c r="U1007" s="52" t="str">
        <f t="shared" si="39"/>
        <v>Não Detectável</v>
      </c>
    </row>
    <row r="1008" spans="1:21" ht="25.5" customHeight="1" x14ac:dyDescent="0.2">
      <c r="A1008" s="51">
        <v>1007</v>
      </c>
      <c r="B1008" s="50" t="s">
        <v>1990</v>
      </c>
      <c r="C1008" s="51">
        <v>23</v>
      </c>
      <c r="D1008" s="51" t="s">
        <v>25</v>
      </c>
      <c r="E1008" s="43" t="s">
        <v>1974</v>
      </c>
      <c r="F1008" s="44" t="s">
        <v>60</v>
      </c>
      <c r="G1008" s="51">
        <v>377</v>
      </c>
      <c r="H1008" s="43">
        <v>44228</v>
      </c>
      <c r="I1008" s="42" t="s">
        <v>1971</v>
      </c>
      <c r="J1008" s="43">
        <v>44229</v>
      </c>
      <c r="K1008" s="42" t="s">
        <v>36</v>
      </c>
      <c r="L1008" s="42">
        <v>27</v>
      </c>
      <c r="M1008" s="45" t="s">
        <v>31</v>
      </c>
      <c r="N1008" s="42" t="s">
        <v>60</v>
      </c>
      <c r="O1008" s="43" t="s">
        <v>60</v>
      </c>
      <c r="P1008" s="42" t="s">
        <v>60</v>
      </c>
      <c r="Q1008" s="42" t="s">
        <v>60</v>
      </c>
      <c r="R1008" s="46" t="s">
        <v>60</v>
      </c>
      <c r="S1008" s="43">
        <v>44229</v>
      </c>
      <c r="T1008" s="51">
        <f t="shared" si="40"/>
        <v>3</v>
      </c>
      <c r="U1008" s="52" t="str">
        <f t="shared" si="39"/>
        <v>Não Detectável</v>
      </c>
    </row>
    <row r="1009" spans="1:21" ht="25.5" customHeight="1" x14ac:dyDescent="0.2">
      <c r="A1009" s="51">
        <v>1008</v>
      </c>
      <c r="B1009" s="50" t="s">
        <v>1991</v>
      </c>
      <c r="C1009" s="51">
        <v>21</v>
      </c>
      <c r="D1009" s="51" t="s">
        <v>25</v>
      </c>
      <c r="E1009" s="43" t="s">
        <v>1974</v>
      </c>
      <c r="F1009" s="44" t="s">
        <v>60</v>
      </c>
      <c r="G1009" s="51">
        <v>377</v>
      </c>
      <c r="H1009" s="43">
        <v>44228</v>
      </c>
      <c r="I1009" s="42" t="s">
        <v>1971</v>
      </c>
      <c r="J1009" s="43">
        <v>44229</v>
      </c>
      <c r="K1009" s="42" t="s">
        <v>36</v>
      </c>
      <c r="L1009" s="42">
        <v>27</v>
      </c>
      <c r="M1009" s="45" t="s">
        <v>31</v>
      </c>
      <c r="N1009" s="42" t="s">
        <v>60</v>
      </c>
      <c r="O1009" s="43" t="s">
        <v>60</v>
      </c>
      <c r="P1009" s="42" t="s">
        <v>60</v>
      </c>
      <c r="Q1009" s="42" t="s">
        <v>60</v>
      </c>
      <c r="R1009" s="46" t="s">
        <v>60</v>
      </c>
      <c r="S1009" s="43">
        <v>44229</v>
      </c>
      <c r="T1009" s="51">
        <f t="shared" si="40"/>
        <v>3</v>
      </c>
      <c r="U1009" s="52" t="str">
        <f t="shared" si="39"/>
        <v>Não Detectável</v>
      </c>
    </row>
    <row r="1010" spans="1:21" ht="25.5" customHeight="1" x14ac:dyDescent="0.2">
      <c r="A1010" s="51">
        <v>1009</v>
      </c>
      <c r="B1010" s="50" t="s">
        <v>1992</v>
      </c>
      <c r="C1010" s="51">
        <v>44</v>
      </c>
      <c r="D1010" s="51" t="s">
        <v>25</v>
      </c>
      <c r="E1010" s="43">
        <v>44198</v>
      </c>
      <c r="F1010" s="44" t="s">
        <v>60</v>
      </c>
      <c r="G1010" s="51">
        <v>377</v>
      </c>
      <c r="H1010" s="43">
        <v>44229</v>
      </c>
      <c r="I1010" s="42" t="s">
        <v>1971</v>
      </c>
      <c r="J1010" s="43">
        <v>44229</v>
      </c>
      <c r="K1010" s="42" t="s">
        <v>36</v>
      </c>
      <c r="L1010" s="42">
        <v>27</v>
      </c>
      <c r="M1010" s="45" t="s">
        <v>31</v>
      </c>
      <c r="N1010" s="42" t="s">
        <v>60</v>
      </c>
      <c r="O1010" s="43" t="s">
        <v>60</v>
      </c>
      <c r="P1010" s="42" t="s">
        <v>60</v>
      </c>
      <c r="Q1010" s="42" t="s">
        <v>60</v>
      </c>
      <c r="R1010" s="46" t="s">
        <v>60</v>
      </c>
      <c r="S1010" s="43">
        <v>44229</v>
      </c>
      <c r="T1010" s="51">
        <f t="shared" si="40"/>
        <v>3</v>
      </c>
      <c r="U1010" s="52" t="str">
        <f t="shared" si="39"/>
        <v>Não Detectável</v>
      </c>
    </row>
    <row r="1011" spans="1:21" ht="25.5" customHeight="1" x14ac:dyDescent="0.2">
      <c r="A1011" s="51">
        <v>1010</v>
      </c>
      <c r="B1011" s="50" t="s">
        <v>1993</v>
      </c>
      <c r="C1011" s="51">
        <v>16</v>
      </c>
      <c r="D1011" s="51" t="s">
        <v>25</v>
      </c>
      <c r="E1011" s="43">
        <v>44198</v>
      </c>
      <c r="F1011" s="44" t="s">
        <v>60</v>
      </c>
      <c r="G1011" s="51">
        <v>378</v>
      </c>
      <c r="H1011" s="43">
        <v>44229</v>
      </c>
      <c r="I1011" s="42" t="s">
        <v>1994</v>
      </c>
      <c r="J1011" s="43">
        <v>44230</v>
      </c>
      <c r="K1011" s="42" t="s">
        <v>36</v>
      </c>
      <c r="L1011" s="42">
        <v>27.8</v>
      </c>
      <c r="M1011" s="45" t="s">
        <v>31</v>
      </c>
      <c r="N1011" s="42" t="s">
        <v>60</v>
      </c>
      <c r="O1011" s="43" t="s">
        <v>60</v>
      </c>
      <c r="P1011" s="42" t="s">
        <v>60</v>
      </c>
      <c r="Q1011" s="42" t="s">
        <v>60</v>
      </c>
      <c r="R1011" s="46" t="s">
        <v>60</v>
      </c>
      <c r="S1011" s="43">
        <v>44230</v>
      </c>
      <c r="T1011" s="51">
        <f t="shared" si="40"/>
        <v>3</v>
      </c>
      <c r="U1011" s="52" t="str">
        <f t="shared" si="39"/>
        <v>Não Detectável</v>
      </c>
    </row>
    <row r="1012" spans="1:21" ht="25.5" customHeight="1" x14ac:dyDescent="0.2">
      <c r="A1012" s="51">
        <v>1011</v>
      </c>
      <c r="B1012" s="50" t="s">
        <v>1995</v>
      </c>
      <c r="C1012" s="51">
        <v>65</v>
      </c>
      <c r="D1012" s="51" t="s">
        <v>34</v>
      </c>
      <c r="E1012" s="43">
        <v>44229</v>
      </c>
      <c r="F1012" s="44" t="s">
        <v>60</v>
      </c>
      <c r="G1012" s="51">
        <v>378</v>
      </c>
      <c r="H1012" s="43">
        <v>44230</v>
      </c>
      <c r="I1012" s="42" t="s">
        <v>1994</v>
      </c>
      <c r="J1012" s="43">
        <v>44230</v>
      </c>
      <c r="K1012" s="42" t="s">
        <v>36</v>
      </c>
      <c r="L1012" s="42">
        <v>27.8</v>
      </c>
      <c r="M1012" s="45" t="s">
        <v>31</v>
      </c>
      <c r="N1012" s="42" t="s">
        <v>60</v>
      </c>
      <c r="O1012" s="43" t="s">
        <v>60</v>
      </c>
      <c r="P1012" s="42" t="s">
        <v>60</v>
      </c>
      <c r="Q1012" s="42" t="s">
        <v>60</v>
      </c>
      <c r="R1012" s="46" t="s">
        <v>60</v>
      </c>
      <c r="S1012" s="43">
        <v>44230</v>
      </c>
      <c r="T1012" s="51">
        <f t="shared" si="40"/>
        <v>3</v>
      </c>
      <c r="U1012" s="52" t="str">
        <f t="shared" ref="U1012:U1075" si="41">IF(M1012="Não Detectável","Não Detectável",IF(R1012="","",R1012))</f>
        <v>Não Detectável</v>
      </c>
    </row>
    <row r="1013" spans="1:21" ht="25.5" customHeight="1" x14ac:dyDescent="0.2">
      <c r="A1013" s="51">
        <v>1012</v>
      </c>
      <c r="B1013" s="50" t="s">
        <v>1996</v>
      </c>
      <c r="C1013" s="51">
        <v>50</v>
      </c>
      <c r="D1013" s="51" t="s">
        <v>25</v>
      </c>
      <c r="E1013" s="43">
        <v>44229</v>
      </c>
      <c r="F1013" s="44" t="s">
        <v>60</v>
      </c>
      <c r="G1013" s="51">
        <v>378</v>
      </c>
      <c r="H1013" s="43">
        <v>44230</v>
      </c>
      <c r="I1013" s="42" t="s">
        <v>1994</v>
      </c>
      <c r="J1013" s="43">
        <v>44230</v>
      </c>
      <c r="K1013" s="42" t="s">
        <v>36</v>
      </c>
      <c r="L1013" s="42">
        <v>27.8</v>
      </c>
      <c r="M1013" s="45" t="s">
        <v>31</v>
      </c>
      <c r="N1013" s="42" t="s">
        <v>60</v>
      </c>
      <c r="O1013" s="43" t="s">
        <v>60</v>
      </c>
      <c r="P1013" s="42" t="s">
        <v>60</v>
      </c>
      <c r="Q1013" s="42" t="s">
        <v>60</v>
      </c>
      <c r="R1013" s="46" t="s">
        <v>60</v>
      </c>
      <c r="S1013" s="43">
        <v>44230</v>
      </c>
      <c r="T1013" s="51">
        <f t="shared" ref="T1013:T1076" si="42">COUNTIF(G:G,G1013)</f>
        <v>3</v>
      </c>
      <c r="U1013" s="52" t="str">
        <f t="shared" si="41"/>
        <v>Não Detectável</v>
      </c>
    </row>
    <row r="1014" spans="1:21" ht="25.5" customHeight="1" x14ac:dyDescent="0.2">
      <c r="A1014" s="51">
        <v>1013</v>
      </c>
      <c r="B1014" s="50" t="s">
        <v>1997</v>
      </c>
      <c r="C1014" s="51">
        <v>27</v>
      </c>
      <c r="D1014" s="51" t="s">
        <v>34</v>
      </c>
      <c r="E1014" s="43">
        <v>44229</v>
      </c>
      <c r="F1014" s="44" t="s">
        <v>60</v>
      </c>
      <c r="G1014" s="51">
        <v>379</v>
      </c>
      <c r="H1014" s="43">
        <v>44230</v>
      </c>
      <c r="I1014" s="42" t="s">
        <v>1994</v>
      </c>
      <c r="J1014" s="43">
        <v>44230</v>
      </c>
      <c r="K1014" s="42">
        <v>25</v>
      </c>
      <c r="L1014" s="42">
        <v>26.3</v>
      </c>
      <c r="M1014" s="48" t="s">
        <v>29</v>
      </c>
      <c r="N1014" s="42" t="s">
        <v>1998</v>
      </c>
      <c r="O1014" s="43">
        <v>44231</v>
      </c>
      <c r="P1014" s="42" t="s">
        <v>36</v>
      </c>
      <c r="Q1014" s="42">
        <v>27.2</v>
      </c>
      <c r="R1014" s="46" t="s">
        <v>31</v>
      </c>
      <c r="S1014" s="43">
        <v>44231</v>
      </c>
      <c r="T1014" s="51">
        <f t="shared" si="42"/>
        <v>3</v>
      </c>
      <c r="U1014" s="52" t="str">
        <f t="shared" si="41"/>
        <v>Não Detectável</v>
      </c>
    </row>
    <row r="1015" spans="1:21" ht="25.5" customHeight="1" x14ac:dyDescent="0.2">
      <c r="A1015" s="51">
        <v>1014</v>
      </c>
      <c r="B1015" s="50" t="s">
        <v>1999</v>
      </c>
      <c r="C1015" s="51">
        <v>51</v>
      </c>
      <c r="D1015" s="51" t="s">
        <v>25</v>
      </c>
      <c r="E1015" s="43">
        <v>44229</v>
      </c>
      <c r="F1015" s="44" t="s">
        <v>60</v>
      </c>
      <c r="G1015" s="51">
        <v>379</v>
      </c>
      <c r="H1015" s="43">
        <v>44230</v>
      </c>
      <c r="I1015" s="42" t="s">
        <v>1994</v>
      </c>
      <c r="J1015" s="43">
        <v>44230</v>
      </c>
      <c r="K1015" s="42">
        <v>25</v>
      </c>
      <c r="L1015" s="42">
        <v>26.3</v>
      </c>
      <c r="M1015" s="48" t="s">
        <v>29</v>
      </c>
      <c r="N1015" s="42" t="s">
        <v>1998</v>
      </c>
      <c r="O1015" s="43">
        <v>44231</v>
      </c>
      <c r="P1015" s="42">
        <v>23.2</v>
      </c>
      <c r="Q1015" s="42">
        <v>25.3</v>
      </c>
      <c r="R1015" s="46" t="s">
        <v>29</v>
      </c>
      <c r="S1015" s="43">
        <v>44231</v>
      </c>
      <c r="T1015" s="51">
        <f t="shared" si="42"/>
        <v>3</v>
      </c>
      <c r="U1015" s="52" t="str">
        <f t="shared" si="41"/>
        <v>Detectável</v>
      </c>
    </row>
    <row r="1016" spans="1:21" ht="25.5" customHeight="1" x14ac:dyDescent="0.2">
      <c r="A1016" s="51">
        <v>1015</v>
      </c>
      <c r="B1016" s="50" t="s">
        <v>2000</v>
      </c>
      <c r="C1016" s="51">
        <v>47</v>
      </c>
      <c r="D1016" s="51" t="s">
        <v>25</v>
      </c>
      <c r="E1016" s="43">
        <v>44229</v>
      </c>
      <c r="F1016" s="44" t="s">
        <v>60</v>
      </c>
      <c r="G1016" s="51">
        <v>379</v>
      </c>
      <c r="H1016" s="43">
        <v>44230</v>
      </c>
      <c r="I1016" s="42" t="s">
        <v>1994</v>
      </c>
      <c r="J1016" s="43">
        <v>44230</v>
      </c>
      <c r="K1016" s="42">
        <v>25</v>
      </c>
      <c r="L1016" s="42">
        <v>26.3</v>
      </c>
      <c r="M1016" s="48" t="s">
        <v>29</v>
      </c>
      <c r="N1016" s="42" t="s">
        <v>1998</v>
      </c>
      <c r="O1016" s="43">
        <v>44231</v>
      </c>
      <c r="P1016" s="42" t="s">
        <v>36</v>
      </c>
      <c r="Q1016" s="42">
        <v>28.5</v>
      </c>
      <c r="R1016" s="46" t="s">
        <v>31</v>
      </c>
      <c r="S1016" s="43">
        <v>44231</v>
      </c>
      <c r="T1016" s="51">
        <f t="shared" si="42"/>
        <v>3</v>
      </c>
      <c r="U1016" s="52" t="str">
        <f t="shared" si="41"/>
        <v>Não Detectável</v>
      </c>
    </row>
    <row r="1017" spans="1:21" ht="25.5" customHeight="1" x14ac:dyDescent="0.2">
      <c r="A1017" s="51">
        <v>1016</v>
      </c>
      <c r="B1017" s="50" t="s">
        <v>2001</v>
      </c>
      <c r="C1017" s="51">
        <v>39</v>
      </c>
      <c r="D1017" s="51" t="s">
        <v>25</v>
      </c>
      <c r="E1017" s="43">
        <v>44229</v>
      </c>
      <c r="F1017" s="44" t="s">
        <v>60</v>
      </c>
      <c r="G1017" s="51">
        <v>380</v>
      </c>
      <c r="H1017" s="43">
        <v>44230</v>
      </c>
      <c r="I1017" s="42" t="s">
        <v>1994</v>
      </c>
      <c r="J1017" s="43">
        <v>44230</v>
      </c>
      <c r="K1017" s="42">
        <v>22.6</v>
      </c>
      <c r="L1017" s="42">
        <v>28.6</v>
      </c>
      <c r="M1017" s="48" t="s">
        <v>29</v>
      </c>
      <c r="N1017" s="42" t="s">
        <v>1998</v>
      </c>
      <c r="O1017" s="43">
        <v>44231</v>
      </c>
      <c r="P1017" s="42">
        <v>35.700000000000003</v>
      </c>
      <c r="Q1017" s="42">
        <v>28.9</v>
      </c>
      <c r="R1017" s="46" t="s">
        <v>29</v>
      </c>
      <c r="S1017" s="43">
        <v>44231</v>
      </c>
      <c r="T1017" s="51">
        <f t="shared" si="42"/>
        <v>3</v>
      </c>
      <c r="U1017" s="52" t="str">
        <f t="shared" si="41"/>
        <v>Detectável</v>
      </c>
    </row>
    <row r="1018" spans="1:21" ht="25.5" customHeight="1" x14ac:dyDescent="0.2">
      <c r="A1018" s="51">
        <v>1017</v>
      </c>
      <c r="B1018" s="50" t="s">
        <v>2002</v>
      </c>
      <c r="C1018" s="51">
        <v>30</v>
      </c>
      <c r="D1018" s="51" t="s">
        <v>25</v>
      </c>
      <c r="E1018" s="43">
        <v>44229</v>
      </c>
      <c r="F1018" s="44" t="s">
        <v>60</v>
      </c>
      <c r="G1018" s="51">
        <v>380</v>
      </c>
      <c r="H1018" s="43">
        <v>44230</v>
      </c>
      <c r="I1018" s="42" t="s">
        <v>1994</v>
      </c>
      <c r="J1018" s="43">
        <v>44230</v>
      </c>
      <c r="K1018" s="42">
        <v>22.6</v>
      </c>
      <c r="L1018" s="42">
        <v>28.6</v>
      </c>
      <c r="M1018" s="48" t="s">
        <v>29</v>
      </c>
      <c r="N1018" s="42" t="s">
        <v>1998</v>
      </c>
      <c r="O1018" s="43">
        <v>44231</v>
      </c>
      <c r="P1018" s="42">
        <v>28.8</v>
      </c>
      <c r="Q1018" s="42">
        <v>28.8</v>
      </c>
      <c r="R1018" s="46" t="s">
        <v>29</v>
      </c>
      <c r="S1018" s="43">
        <v>44231</v>
      </c>
      <c r="T1018" s="51">
        <f t="shared" si="42"/>
        <v>3</v>
      </c>
      <c r="U1018" s="52" t="str">
        <f t="shared" si="41"/>
        <v>Detectável</v>
      </c>
    </row>
    <row r="1019" spans="1:21" ht="25.5" customHeight="1" x14ac:dyDescent="0.2">
      <c r="A1019" s="51">
        <v>1018</v>
      </c>
      <c r="B1019" s="50" t="s">
        <v>2003</v>
      </c>
      <c r="C1019" s="51">
        <v>47</v>
      </c>
      <c r="D1019" s="51" t="s">
        <v>25</v>
      </c>
      <c r="E1019" s="43">
        <v>44229</v>
      </c>
      <c r="F1019" s="44" t="s">
        <v>60</v>
      </c>
      <c r="G1019" s="51">
        <v>380</v>
      </c>
      <c r="H1019" s="43">
        <v>44230</v>
      </c>
      <c r="I1019" s="42" t="s">
        <v>1994</v>
      </c>
      <c r="J1019" s="43">
        <v>44230</v>
      </c>
      <c r="K1019" s="42">
        <v>22.6</v>
      </c>
      <c r="L1019" s="42">
        <v>28.6</v>
      </c>
      <c r="M1019" s="48" t="s">
        <v>29</v>
      </c>
      <c r="N1019" s="42" t="s">
        <v>1998</v>
      </c>
      <c r="O1019" s="43">
        <v>44231</v>
      </c>
      <c r="P1019" s="42">
        <f>AVERAGE(21.771,22.651)</f>
        <v>22.210999999999999</v>
      </c>
      <c r="Q1019" s="42">
        <f>AVERAGE(28.394,28.883)</f>
        <v>28.638500000000001</v>
      </c>
      <c r="R1019" s="46" t="s">
        <v>29</v>
      </c>
      <c r="S1019" s="43">
        <v>44231</v>
      </c>
      <c r="T1019" s="51">
        <f t="shared" si="42"/>
        <v>3</v>
      </c>
      <c r="U1019" s="52" t="str">
        <f t="shared" si="41"/>
        <v>Detectável</v>
      </c>
    </row>
    <row r="1020" spans="1:21" ht="25.5" customHeight="1" x14ac:dyDescent="0.2">
      <c r="A1020" s="51">
        <v>1019</v>
      </c>
      <c r="B1020" s="50" t="s">
        <v>2004</v>
      </c>
      <c r="C1020" s="51">
        <v>23</v>
      </c>
      <c r="D1020" s="51" t="s">
        <v>34</v>
      </c>
      <c r="E1020" s="43">
        <v>44229</v>
      </c>
      <c r="F1020" s="44" t="s">
        <v>60</v>
      </c>
      <c r="G1020" s="51">
        <v>381</v>
      </c>
      <c r="H1020" s="43">
        <v>44230</v>
      </c>
      <c r="I1020" s="42" t="s">
        <v>2005</v>
      </c>
      <c r="J1020" s="43">
        <v>44231</v>
      </c>
      <c r="K1020" s="42" t="s">
        <v>36</v>
      </c>
      <c r="L1020" s="42">
        <v>28.6</v>
      </c>
      <c r="M1020" s="45" t="s">
        <v>31</v>
      </c>
      <c r="N1020" s="42" t="s">
        <v>60</v>
      </c>
      <c r="O1020" s="43" t="s">
        <v>60</v>
      </c>
      <c r="P1020" s="42" t="s">
        <v>60</v>
      </c>
      <c r="Q1020" s="42" t="s">
        <v>60</v>
      </c>
      <c r="R1020" s="46" t="s">
        <v>60</v>
      </c>
      <c r="S1020" s="43">
        <v>44232</v>
      </c>
      <c r="T1020" s="51">
        <f t="shared" si="42"/>
        <v>3</v>
      </c>
      <c r="U1020" s="52" t="str">
        <f t="shared" si="41"/>
        <v>Não Detectável</v>
      </c>
    </row>
    <row r="1021" spans="1:21" ht="25.5" customHeight="1" x14ac:dyDescent="0.2">
      <c r="A1021" s="51">
        <v>1020</v>
      </c>
      <c r="B1021" s="50" t="s">
        <v>2006</v>
      </c>
      <c r="C1021" s="51">
        <v>23</v>
      </c>
      <c r="D1021" s="51" t="s">
        <v>25</v>
      </c>
      <c r="E1021" s="43">
        <v>44230</v>
      </c>
      <c r="F1021" s="44" t="s">
        <v>60</v>
      </c>
      <c r="G1021" s="51">
        <v>381</v>
      </c>
      <c r="H1021" s="43">
        <v>44231</v>
      </c>
      <c r="I1021" s="42" t="s">
        <v>2005</v>
      </c>
      <c r="J1021" s="43">
        <v>44231</v>
      </c>
      <c r="K1021" s="42" t="s">
        <v>36</v>
      </c>
      <c r="L1021" s="42">
        <v>28.6</v>
      </c>
      <c r="M1021" s="45" t="s">
        <v>31</v>
      </c>
      <c r="N1021" s="42" t="s">
        <v>60</v>
      </c>
      <c r="O1021" s="43" t="s">
        <v>60</v>
      </c>
      <c r="P1021" s="42" t="s">
        <v>60</v>
      </c>
      <c r="Q1021" s="42" t="s">
        <v>60</v>
      </c>
      <c r="R1021" s="46" t="s">
        <v>60</v>
      </c>
      <c r="S1021" s="43">
        <v>44232</v>
      </c>
      <c r="T1021" s="51">
        <f t="shared" si="42"/>
        <v>3</v>
      </c>
      <c r="U1021" s="52" t="str">
        <f t="shared" si="41"/>
        <v>Não Detectável</v>
      </c>
    </row>
    <row r="1022" spans="1:21" ht="25.5" customHeight="1" x14ac:dyDescent="0.2">
      <c r="A1022" s="51">
        <v>1021</v>
      </c>
      <c r="B1022" s="50" t="s">
        <v>2007</v>
      </c>
      <c r="C1022" s="51">
        <v>39</v>
      </c>
      <c r="D1022" s="51" t="s">
        <v>34</v>
      </c>
      <c r="E1022" s="43">
        <v>44230</v>
      </c>
      <c r="F1022" s="44" t="s">
        <v>60</v>
      </c>
      <c r="G1022" s="51">
        <v>381</v>
      </c>
      <c r="H1022" s="43">
        <v>44231</v>
      </c>
      <c r="I1022" s="42" t="s">
        <v>2005</v>
      </c>
      <c r="J1022" s="43">
        <v>44231</v>
      </c>
      <c r="K1022" s="42" t="s">
        <v>36</v>
      </c>
      <c r="L1022" s="42">
        <v>28.6</v>
      </c>
      <c r="M1022" s="45" t="s">
        <v>31</v>
      </c>
      <c r="N1022" s="42" t="s">
        <v>60</v>
      </c>
      <c r="O1022" s="43" t="s">
        <v>60</v>
      </c>
      <c r="P1022" s="42" t="s">
        <v>60</v>
      </c>
      <c r="Q1022" s="42" t="s">
        <v>60</v>
      </c>
      <c r="R1022" s="46" t="s">
        <v>60</v>
      </c>
      <c r="S1022" s="43">
        <v>44232</v>
      </c>
      <c r="T1022" s="51">
        <f t="shared" si="42"/>
        <v>3</v>
      </c>
      <c r="U1022" s="52" t="str">
        <f t="shared" si="41"/>
        <v>Não Detectável</v>
      </c>
    </row>
    <row r="1023" spans="1:21" ht="25.5" customHeight="1" x14ac:dyDescent="0.2">
      <c r="A1023" s="51">
        <v>1022</v>
      </c>
      <c r="B1023" s="50" t="s">
        <v>2008</v>
      </c>
      <c r="C1023" s="51">
        <v>36</v>
      </c>
      <c r="D1023" s="51" t="s">
        <v>25</v>
      </c>
      <c r="E1023" s="43">
        <v>44230</v>
      </c>
      <c r="F1023" s="44" t="s">
        <v>60</v>
      </c>
      <c r="G1023" s="51">
        <v>382</v>
      </c>
      <c r="H1023" s="43">
        <v>44231</v>
      </c>
      <c r="I1023" s="42" t="s">
        <v>2005</v>
      </c>
      <c r="J1023" s="43">
        <v>44231</v>
      </c>
      <c r="K1023" s="42">
        <v>28.2</v>
      </c>
      <c r="L1023" s="42">
        <v>28.4</v>
      </c>
      <c r="M1023" s="48" t="s">
        <v>29</v>
      </c>
      <c r="N1023" s="42" t="s">
        <v>2009</v>
      </c>
      <c r="O1023" s="43">
        <v>44232</v>
      </c>
      <c r="P1023" s="42" t="s">
        <v>36</v>
      </c>
      <c r="Q1023" s="42">
        <v>29.7</v>
      </c>
      <c r="R1023" s="46" t="s">
        <v>31</v>
      </c>
      <c r="S1023" s="43">
        <v>44232</v>
      </c>
      <c r="T1023" s="51">
        <f t="shared" si="42"/>
        <v>3</v>
      </c>
      <c r="U1023" s="52" t="str">
        <f t="shared" si="41"/>
        <v>Não Detectável</v>
      </c>
    </row>
    <row r="1024" spans="1:21" ht="25.5" customHeight="1" x14ac:dyDescent="0.2">
      <c r="A1024" s="51">
        <v>1023</v>
      </c>
      <c r="B1024" s="50" t="s">
        <v>2010</v>
      </c>
      <c r="C1024" s="51">
        <v>36</v>
      </c>
      <c r="D1024" s="51" t="s">
        <v>25</v>
      </c>
      <c r="E1024" s="43">
        <v>44230</v>
      </c>
      <c r="F1024" s="44" t="s">
        <v>60</v>
      </c>
      <c r="G1024" s="51">
        <v>382</v>
      </c>
      <c r="H1024" s="43">
        <v>44231</v>
      </c>
      <c r="I1024" s="42" t="s">
        <v>2005</v>
      </c>
      <c r="J1024" s="43">
        <v>44231</v>
      </c>
      <c r="K1024" s="42">
        <v>28.2</v>
      </c>
      <c r="L1024" s="42">
        <v>28.4</v>
      </c>
      <c r="M1024" s="48" t="s">
        <v>29</v>
      </c>
      <c r="N1024" s="42" t="s">
        <v>2009</v>
      </c>
      <c r="O1024" s="43">
        <v>44232</v>
      </c>
      <c r="P1024" s="42">
        <v>25.4</v>
      </c>
      <c r="Q1024" s="42">
        <v>27.8</v>
      </c>
      <c r="R1024" s="46" t="s">
        <v>29</v>
      </c>
      <c r="S1024" s="43">
        <v>44232</v>
      </c>
      <c r="T1024" s="51">
        <f t="shared" si="42"/>
        <v>3</v>
      </c>
      <c r="U1024" s="52" t="str">
        <f t="shared" si="41"/>
        <v>Detectável</v>
      </c>
    </row>
    <row r="1025" spans="1:21" ht="25.5" customHeight="1" x14ac:dyDescent="0.2">
      <c r="A1025" s="51">
        <v>1024</v>
      </c>
      <c r="B1025" s="50" t="s">
        <v>2011</v>
      </c>
      <c r="C1025" s="51">
        <v>27</v>
      </c>
      <c r="D1025" s="51" t="s">
        <v>25</v>
      </c>
      <c r="E1025" s="43">
        <v>44230</v>
      </c>
      <c r="F1025" s="44" t="s">
        <v>60</v>
      </c>
      <c r="G1025" s="51">
        <v>382</v>
      </c>
      <c r="H1025" s="43">
        <v>44231</v>
      </c>
      <c r="I1025" s="42" t="s">
        <v>2005</v>
      </c>
      <c r="J1025" s="43">
        <v>44231</v>
      </c>
      <c r="K1025" s="42">
        <v>28.2</v>
      </c>
      <c r="L1025" s="42">
        <v>28.4</v>
      </c>
      <c r="M1025" s="48" t="s">
        <v>29</v>
      </c>
      <c r="N1025" s="42" t="s">
        <v>2009</v>
      </c>
      <c r="O1025" s="43">
        <v>44232</v>
      </c>
      <c r="P1025" s="42" t="s">
        <v>36</v>
      </c>
      <c r="Q1025" s="42">
        <v>27.2</v>
      </c>
      <c r="R1025" s="46" t="s">
        <v>31</v>
      </c>
      <c r="S1025" s="43">
        <v>44232</v>
      </c>
      <c r="T1025" s="51">
        <f t="shared" si="42"/>
        <v>3</v>
      </c>
      <c r="U1025" s="52" t="str">
        <f t="shared" si="41"/>
        <v>Não Detectável</v>
      </c>
    </row>
    <row r="1026" spans="1:21" ht="25.5" customHeight="1" x14ac:dyDescent="0.2">
      <c r="A1026" s="51">
        <v>1025</v>
      </c>
      <c r="B1026" s="50" t="s">
        <v>2012</v>
      </c>
      <c r="C1026" s="51">
        <v>24</v>
      </c>
      <c r="D1026" s="51" t="s">
        <v>34</v>
      </c>
      <c r="E1026" s="43">
        <v>44230</v>
      </c>
      <c r="F1026" s="44" t="s">
        <v>60</v>
      </c>
      <c r="G1026" s="51">
        <v>383</v>
      </c>
      <c r="H1026" s="43">
        <v>44231</v>
      </c>
      <c r="I1026" s="42" t="s">
        <v>2005</v>
      </c>
      <c r="J1026" s="43">
        <v>44231</v>
      </c>
      <c r="K1026" s="42">
        <v>37.299999999999997</v>
      </c>
      <c r="L1026" s="42">
        <v>27.5</v>
      </c>
      <c r="M1026" s="48" t="s">
        <v>29</v>
      </c>
      <c r="N1026" s="42" t="s">
        <v>2009</v>
      </c>
      <c r="O1026" s="43">
        <v>44232</v>
      </c>
      <c r="P1026" s="42" t="s">
        <v>36</v>
      </c>
      <c r="Q1026" s="42">
        <v>28.2</v>
      </c>
      <c r="R1026" s="46" t="s">
        <v>31</v>
      </c>
      <c r="S1026" s="43">
        <v>44232</v>
      </c>
      <c r="T1026" s="51">
        <f t="shared" si="42"/>
        <v>3</v>
      </c>
      <c r="U1026" s="52" t="str">
        <f t="shared" si="41"/>
        <v>Não Detectável</v>
      </c>
    </row>
    <row r="1027" spans="1:21" ht="25.5" customHeight="1" x14ac:dyDescent="0.2">
      <c r="A1027" s="51">
        <v>1026</v>
      </c>
      <c r="B1027" s="50" t="s">
        <v>2013</v>
      </c>
      <c r="C1027" s="51">
        <v>25</v>
      </c>
      <c r="D1027" s="51" t="s">
        <v>34</v>
      </c>
      <c r="E1027" s="43">
        <v>44230</v>
      </c>
      <c r="F1027" s="44" t="s">
        <v>60</v>
      </c>
      <c r="G1027" s="51">
        <v>383</v>
      </c>
      <c r="H1027" s="43">
        <v>44231</v>
      </c>
      <c r="I1027" s="42" t="s">
        <v>2005</v>
      </c>
      <c r="J1027" s="43">
        <v>44231</v>
      </c>
      <c r="K1027" s="42">
        <v>37.299999999999997</v>
      </c>
      <c r="L1027" s="42">
        <v>27.5</v>
      </c>
      <c r="M1027" s="48" t="s">
        <v>29</v>
      </c>
      <c r="N1027" s="42" t="s">
        <v>2009</v>
      </c>
      <c r="O1027" s="43">
        <v>44232</v>
      </c>
      <c r="P1027" s="42">
        <v>37.299999999999997</v>
      </c>
      <c r="Q1027" s="42">
        <v>27.4</v>
      </c>
      <c r="R1027" s="46" t="s">
        <v>201</v>
      </c>
      <c r="S1027" s="43">
        <v>44232</v>
      </c>
      <c r="T1027" s="51">
        <f t="shared" si="42"/>
        <v>3</v>
      </c>
      <c r="U1027" s="52" t="str">
        <f t="shared" si="41"/>
        <v>Inconclusivo</v>
      </c>
    </row>
    <row r="1028" spans="1:21" ht="25.5" customHeight="1" x14ac:dyDescent="0.2">
      <c r="A1028" s="51">
        <v>1027</v>
      </c>
      <c r="B1028" s="50" t="s">
        <v>2014</v>
      </c>
      <c r="C1028" s="51">
        <v>20</v>
      </c>
      <c r="D1028" s="51" t="s">
        <v>25</v>
      </c>
      <c r="E1028" s="43">
        <v>44230</v>
      </c>
      <c r="F1028" s="44" t="s">
        <v>60</v>
      </c>
      <c r="G1028" s="51">
        <v>383</v>
      </c>
      <c r="H1028" s="43">
        <v>44231</v>
      </c>
      <c r="I1028" s="42" t="s">
        <v>2005</v>
      </c>
      <c r="J1028" s="43">
        <v>44231</v>
      </c>
      <c r="K1028" s="42">
        <v>37.299999999999997</v>
      </c>
      <c r="L1028" s="42">
        <v>27.5</v>
      </c>
      <c r="M1028" s="48" t="s">
        <v>29</v>
      </c>
      <c r="N1028" s="42" t="s">
        <v>2009</v>
      </c>
      <c r="O1028" s="43">
        <v>44232</v>
      </c>
      <c r="P1028" s="42" t="s">
        <v>36</v>
      </c>
      <c r="Q1028" s="42">
        <v>26.7</v>
      </c>
      <c r="R1028" s="46" t="s">
        <v>31</v>
      </c>
      <c r="S1028" s="43">
        <v>44232</v>
      </c>
      <c r="T1028" s="51">
        <f t="shared" si="42"/>
        <v>3</v>
      </c>
      <c r="U1028" s="52" t="str">
        <f t="shared" si="41"/>
        <v>Não Detectável</v>
      </c>
    </row>
    <row r="1029" spans="1:21" ht="25.5" customHeight="1" x14ac:dyDescent="0.2">
      <c r="A1029" s="51">
        <v>1028</v>
      </c>
      <c r="B1029" s="50" t="s">
        <v>2015</v>
      </c>
      <c r="C1029" s="51">
        <v>21</v>
      </c>
      <c r="D1029" s="51" t="s">
        <v>25</v>
      </c>
      <c r="E1029" s="43">
        <v>44230</v>
      </c>
      <c r="F1029" s="44" t="s">
        <v>60</v>
      </c>
      <c r="G1029" s="51">
        <v>384</v>
      </c>
      <c r="H1029" s="43">
        <v>44231</v>
      </c>
      <c r="I1029" s="42" t="s">
        <v>2005</v>
      </c>
      <c r="J1029" s="43">
        <v>44231</v>
      </c>
      <c r="K1029" s="42" t="s">
        <v>36</v>
      </c>
      <c r="L1029" s="42">
        <v>28.3</v>
      </c>
      <c r="M1029" s="45" t="s">
        <v>31</v>
      </c>
      <c r="N1029" s="42" t="s">
        <v>60</v>
      </c>
      <c r="O1029" s="42" t="s">
        <v>60</v>
      </c>
      <c r="P1029" s="42" t="s">
        <v>60</v>
      </c>
      <c r="Q1029" s="42" t="s">
        <v>60</v>
      </c>
      <c r="R1029" s="46" t="s">
        <v>60</v>
      </c>
      <c r="S1029" s="43">
        <v>44232</v>
      </c>
      <c r="T1029" s="51">
        <f t="shared" si="42"/>
        <v>3</v>
      </c>
      <c r="U1029" s="52" t="str">
        <f t="shared" si="41"/>
        <v>Não Detectável</v>
      </c>
    </row>
    <row r="1030" spans="1:21" ht="25.5" customHeight="1" x14ac:dyDescent="0.2">
      <c r="A1030" s="51">
        <v>1029</v>
      </c>
      <c r="B1030" s="50" t="s">
        <v>2016</v>
      </c>
      <c r="C1030" s="51">
        <v>40</v>
      </c>
      <c r="D1030" s="51" t="s">
        <v>25</v>
      </c>
      <c r="E1030" s="43">
        <v>44230</v>
      </c>
      <c r="F1030" s="44" t="s">
        <v>60</v>
      </c>
      <c r="G1030" s="51">
        <v>384</v>
      </c>
      <c r="H1030" s="43">
        <v>44231</v>
      </c>
      <c r="I1030" s="42" t="s">
        <v>2005</v>
      </c>
      <c r="J1030" s="43">
        <v>44231</v>
      </c>
      <c r="K1030" s="42" t="s">
        <v>36</v>
      </c>
      <c r="L1030" s="42">
        <v>28.3</v>
      </c>
      <c r="M1030" s="45" t="s">
        <v>31</v>
      </c>
      <c r="N1030" s="42" t="s">
        <v>60</v>
      </c>
      <c r="O1030" s="42" t="s">
        <v>60</v>
      </c>
      <c r="P1030" s="42" t="s">
        <v>60</v>
      </c>
      <c r="Q1030" s="42" t="s">
        <v>60</v>
      </c>
      <c r="R1030" s="46" t="s">
        <v>60</v>
      </c>
      <c r="S1030" s="43">
        <v>44232</v>
      </c>
      <c r="T1030" s="51">
        <f t="shared" si="42"/>
        <v>3</v>
      </c>
      <c r="U1030" s="52" t="str">
        <f t="shared" si="41"/>
        <v>Não Detectável</v>
      </c>
    </row>
    <row r="1031" spans="1:21" ht="25.5" customHeight="1" x14ac:dyDescent="0.2">
      <c r="A1031" s="51">
        <v>1030</v>
      </c>
      <c r="B1031" s="50" t="s">
        <v>2017</v>
      </c>
      <c r="C1031" s="51">
        <v>61</v>
      </c>
      <c r="D1031" s="51" t="s">
        <v>34</v>
      </c>
      <c r="E1031" s="43">
        <v>44230</v>
      </c>
      <c r="F1031" s="44" t="s">
        <v>60</v>
      </c>
      <c r="G1031" s="51">
        <v>384</v>
      </c>
      <c r="H1031" s="43">
        <v>44231</v>
      </c>
      <c r="I1031" s="42" t="s">
        <v>2005</v>
      </c>
      <c r="J1031" s="43">
        <v>44231</v>
      </c>
      <c r="K1031" s="42" t="s">
        <v>36</v>
      </c>
      <c r="L1031" s="42">
        <v>28.3</v>
      </c>
      <c r="M1031" s="45" t="s">
        <v>31</v>
      </c>
      <c r="N1031" s="42" t="s">
        <v>60</v>
      </c>
      <c r="O1031" s="42" t="s">
        <v>60</v>
      </c>
      <c r="P1031" s="42" t="s">
        <v>60</v>
      </c>
      <c r="Q1031" s="42" t="s">
        <v>60</v>
      </c>
      <c r="R1031" s="46" t="s">
        <v>60</v>
      </c>
      <c r="S1031" s="43">
        <v>44232</v>
      </c>
      <c r="T1031" s="51">
        <f t="shared" si="42"/>
        <v>3</v>
      </c>
      <c r="U1031" s="52" t="str">
        <f t="shared" si="41"/>
        <v>Não Detectável</v>
      </c>
    </row>
    <row r="1032" spans="1:21" ht="25.5" customHeight="1" x14ac:dyDescent="0.2">
      <c r="A1032" s="51">
        <v>1031</v>
      </c>
      <c r="B1032" s="50" t="s">
        <v>2018</v>
      </c>
      <c r="C1032" s="51">
        <v>24</v>
      </c>
      <c r="D1032" s="51" t="s">
        <v>25</v>
      </c>
      <c r="E1032" s="43">
        <v>44230</v>
      </c>
      <c r="F1032" s="44" t="s">
        <v>60</v>
      </c>
      <c r="G1032" s="51">
        <v>385</v>
      </c>
      <c r="H1032" s="43">
        <v>44231</v>
      </c>
      <c r="I1032" s="42" t="s">
        <v>2005</v>
      </c>
      <c r="J1032" s="43">
        <v>44231</v>
      </c>
      <c r="K1032" s="42">
        <v>17.2</v>
      </c>
      <c r="L1032" s="42">
        <v>27</v>
      </c>
      <c r="M1032" s="48" t="s">
        <v>29</v>
      </c>
      <c r="N1032" s="42" t="s">
        <v>2009</v>
      </c>
      <c r="O1032" s="43">
        <v>44232</v>
      </c>
      <c r="P1032" s="42">
        <v>16.399999999999999</v>
      </c>
      <c r="Q1032" s="42">
        <v>26.8</v>
      </c>
      <c r="R1032" s="46" t="s">
        <v>29</v>
      </c>
      <c r="S1032" s="43">
        <v>44232</v>
      </c>
      <c r="T1032" s="51">
        <f t="shared" si="42"/>
        <v>3</v>
      </c>
      <c r="U1032" s="52" t="str">
        <f t="shared" si="41"/>
        <v>Detectável</v>
      </c>
    </row>
    <row r="1033" spans="1:21" ht="25.5" customHeight="1" x14ac:dyDescent="0.2">
      <c r="A1033" s="51">
        <v>1032</v>
      </c>
      <c r="B1033" s="50" t="s">
        <v>2019</v>
      </c>
      <c r="C1033" s="51">
        <v>35</v>
      </c>
      <c r="D1033" s="51" t="s">
        <v>25</v>
      </c>
      <c r="E1033" s="43">
        <v>44230</v>
      </c>
      <c r="F1033" s="44" t="s">
        <v>60</v>
      </c>
      <c r="G1033" s="51">
        <v>385</v>
      </c>
      <c r="H1033" s="43">
        <v>44231</v>
      </c>
      <c r="I1033" s="42" t="s">
        <v>2005</v>
      </c>
      <c r="J1033" s="43">
        <v>44231</v>
      </c>
      <c r="K1033" s="42">
        <v>17.2</v>
      </c>
      <c r="L1033" s="42">
        <v>27</v>
      </c>
      <c r="M1033" s="48" t="s">
        <v>29</v>
      </c>
      <c r="N1033" s="42" t="s">
        <v>2009</v>
      </c>
      <c r="O1033" s="43">
        <v>44232</v>
      </c>
      <c r="P1033" s="42">
        <v>18.600000000000001</v>
      </c>
      <c r="Q1033" s="42">
        <v>26.2</v>
      </c>
      <c r="R1033" s="46" t="s">
        <v>29</v>
      </c>
      <c r="S1033" s="43">
        <v>44232</v>
      </c>
      <c r="T1033" s="51">
        <f t="shared" si="42"/>
        <v>3</v>
      </c>
      <c r="U1033" s="52" t="str">
        <f t="shared" si="41"/>
        <v>Detectável</v>
      </c>
    </row>
    <row r="1034" spans="1:21" ht="25.5" customHeight="1" x14ac:dyDescent="0.2">
      <c r="A1034" s="51">
        <v>1033</v>
      </c>
      <c r="B1034" s="50" t="s">
        <v>2020</v>
      </c>
      <c r="C1034" s="51">
        <v>27</v>
      </c>
      <c r="D1034" s="51" t="s">
        <v>25</v>
      </c>
      <c r="E1034" s="43">
        <v>44230</v>
      </c>
      <c r="F1034" s="44" t="s">
        <v>60</v>
      </c>
      <c r="G1034" s="51">
        <v>385</v>
      </c>
      <c r="H1034" s="43">
        <v>44231</v>
      </c>
      <c r="I1034" s="42" t="s">
        <v>2005</v>
      </c>
      <c r="J1034" s="43">
        <v>44231</v>
      </c>
      <c r="K1034" s="42">
        <v>17.2</v>
      </c>
      <c r="L1034" s="42">
        <v>27</v>
      </c>
      <c r="M1034" s="48" t="s">
        <v>29</v>
      </c>
      <c r="N1034" s="42" t="s">
        <v>2009</v>
      </c>
      <c r="O1034" s="43">
        <v>44232</v>
      </c>
      <c r="P1034" s="42" t="s">
        <v>36</v>
      </c>
      <c r="Q1034" s="42">
        <v>27.4</v>
      </c>
      <c r="R1034" s="46" t="s">
        <v>31</v>
      </c>
      <c r="S1034" s="43">
        <v>44232</v>
      </c>
      <c r="T1034" s="51">
        <f t="shared" si="42"/>
        <v>3</v>
      </c>
      <c r="U1034" s="52" t="str">
        <f t="shared" si="41"/>
        <v>Não Detectável</v>
      </c>
    </row>
    <row r="1035" spans="1:21" ht="25.5" customHeight="1" x14ac:dyDescent="0.2">
      <c r="A1035" s="51">
        <v>1034</v>
      </c>
      <c r="B1035" s="50" t="s">
        <v>2021</v>
      </c>
      <c r="C1035" s="51">
        <v>57</v>
      </c>
      <c r="D1035" s="51" t="s">
        <v>25</v>
      </c>
      <c r="E1035" s="43">
        <v>44230</v>
      </c>
      <c r="F1035" s="44" t="s">
        <v>60</v>
      </c>
      <c r="G1035" s="51">
        <v>386</v>
      </c>
      <c r="H1035" s="43">
        <v>44231</v>
      </c>
      <c r="I1035" s="42" t="s">
        <v>2005</v>
      </c>
      <c r="J1035" s="43">
        <v>44231</v>
      </c>
      <c r="K1035" s="42">
        <v>36.299999999999997</v>
      </c>
      <c r="L1035" s="42">
        <v>28</v>
      </c>
      <c r="M1035" s="48" t="s">
        <v>29</v>
      </c>
      <c r="N1035" s="42" t="s">
        <v>2009</v>
      </c>
      <c r="O1035" s="43">
        <v>44232</v>
      </c>
      <c r="P1035" s="42" t="s">
        <v>36</v>
      </c>
      <c r="Q1035" s="42">
        <v>27.5</v>
      </c>
      <c r="R1035" s="46" t="s">
        <v>31</v>
      </c>
      <c r="S1035" s="43">
        <v>44232</v>
      </c>
      <c r="T1035" s="51">
        <f t="shared" si="42"/>
        <v>3</v>
      </c>
      <c r="U1035" s="52" t="str">
        <f t="shared" si="41"/>
        <v>Não Detectável</v>
      </c>
    </row>
    <row r="1036" spans="1:21" ht="25.5" customHeight="1" x14ac:dyDescent="0.2">
      <c r="A1036" s="51">
        <v>1035</v>
      </c>
      <c r="B1036" s="50" t="s">
        <v>2022</v>
      </c>
      <c r="C1036" s="51">
        <v>60</v>
      </c>
      <c r="D1036" s="51" t="s">
        <v>34</v>
      </c>
      <c r="E1036" s="43">
        <v>44230</v>
      </c>
      <c r="F1036" s="44" t="s">
        <v>60</v>
      </c>
      <c r="G1036" s="51">
        <v>386</v>
      </c>
      <c r="H1036" s="43">
        <v>44231</v>
      </c>
      <c r="I1036" s="42" t="s">
        <v>2005</v>
      </c>
      <c r="J1036" s="43">
        <v>44231</v>
      </c>
      <c r="K1036" s="42">
        <v>36.299999999999997</v>
      </c>
      <c r="L1036" s="42">
        <v>28</v>
      </c>
      <c r="M1036" s="48" t="s">
        <v>29</v>
      </c>
      <c r="N1036" s="42" t="s">
        <v>2009</v>
      </c>
      <c r="O1036" s="43">
        <v>44232</v>
      </c>
      <c r="P1036" s="42">
        <v>36.6</v>
      </c>
      <c r="Q1036" s="42">
        <v>28.8</v>
      </c>
      <c r="R1036" s="46" t="s">
        <v>201</v>
      </c>
      <c r="S1036" s="43">
        <v>44232</v>
      </c>
      <c r="T1036" s="51">
        <f t="shared" si="42"/>
        <v>3</v>
      </c>
      <c r="U1036" s="52" t="str">
        <f t="shared" si="41"/>
        <v>Inconclusivo</v>
      </c>
    </row>
    <row r="1037" spans="1:21" ht="25.5" customHeight="1" x14ac:dyDescent="0.2">
      <c r="A1037" s="51">
        <v>1036</v>
      </c>
      <c r="B1037" s="50" t="s">
        <v>2023</v>
      </c>
      <c r="C1037" s="51">
        <v>27</v>
      </c>
      <c r="D1037" s="51" t="s">
        <v>34</v>
      </c>
      <c r="E1037" s="43">
        <v>44230</v>
      </c>
      <c r="F1037" s="44" t="s">
        <v>60</v>
      </c>
      <c r="G1037" s="51">
        <v>386</v>
      </c>
      <c r="H1037" s="43">
        <v>44231</v>
      </c>
      <c r="I1037" s="42" t="s">
        <v>2005</v>
      </c>
      <c r="J1037" s="43">
        <v>44231</v>
      </c>
      <c r="K1037" s="42">
        <v>36.299999999999997</v>
      </c>
      <c r="L1037" s="42">
        <v>28</v>
      </c>
      <c r="M1037" s="48" t="s">
        <v>29</v>
      </c>
      <c r="N1037" s="42" t="s">
        <v>2009</v>
      </c>
      <c r="O1037" s="43">
        <v>44232</v>
      </c>
      <c r="P1037" s="42" t="s">
        <v>36</v>
      </c>
      <c r="Q1037" s="42">
        <v>29.3</v>
      </c>
      <c r="R1037" s="46" t="s">
        <v>31</v>
      </c>
      <c r="S1037" s="43">
        <v>44232</v>
      </c>
      <c r="T1037" s="51">
        <f t="shared" si="42"/>
        <v>3</v>
      </c>
      <c r="U1037" s="52" t="str">
        <f t="shared" si="41"/>
        <v>Não Detectável</v>
      </c>
    </row>
    <row r="1038" spans="1:21" ht="25.5" customHeight="1" x14ac:dyDescent="0.2">
      <c r="A1038" s="51">
        <v>1037</v>
      </c>
      <c r="B1038" s="50" t="s">
        <v>2024</v>
      </c>
      <c r="C1038" s="51">
        <v>24</v>
      </c>
      <c r="D1038" s="51" t="s">
        <v>25</v>
      </c>
      <c r="E1038" s="43">
        <v>44231</v>
      </c>
      <c r="F1038" s="44" t="s">
        <v>60</v>
      </c>
      <c r="G1038" s="51">
        <v>387</v>
      </c>
      <c r="H1038" s="43">
        <v>44232</v>
      </c>
      <c r="I1038" s="42" t="s">
        <v>2009</v>
      </c>
      <c r="J1038" s="43">
        <v>44232</v>
      </c>
      <c r="K1038" s="42">
        <v>14.9</v>
      </c>
      <c r="L1038" s="42">
        <v>27.3</v>
      </c>
      <c r="M1038" s="48" t="s">
        <v>29</v>
      </c>
      <c r="N1038" s="42" t="s">
        <v>2025</v>
      </c>
      <c r="O1038" s="43">
        <v>44235</v>
      </c>
      <c r="P1038" s="42">
        <v>37.200000000000003</v>
      </c>
      <c r="Q1038" s="42">
        <v>27.5</v>
      </c>
      <c r="R1038" s="46" t="s">
        <v>201</v>
      </c>
      <c r="S1038" s="43">
        <v>44235</v>
      </c>
      <c r="T1038" s="51">
        <f t="shared" si="42"/>
        <v>3</v>
      </c>
      <c r="U1038" s="52" t="str">
        <f t="shared" si="41"/>
        <v>Inconclusivo</v>
      </c>
    </row>
    <row r="1039" spans="1:21" ht="25.5" customHeight="1" x14ac:dyDescent="0.2">
      <c r="A1039" s="51">
        <v>1038</v>
      </c>
      <c r="B1039" s="50" t="s">
        <v>2026</v>
      </c>
      <c r="C1039" s="51">
        <v>38</v>
      </c>
      <c r="D1039" s="51" t="s">
        <v>25</v>
      </c>
      <c r="E1039" s="43">
        <v>44231</v>
      </c>
      <c r="F1039" s="44" t="s">
        <v>60</v>
      </c>
      <c r="G1039" s="51">
        <v>387</v>
      </c>
      <c r="H1039" s="43">
        <v>44232</v>
      </c>
      <c r="I1039" s="42" t="s">
        <v>2009</v>
      </c>
      <c r="J1039" s="43">
        <v>44232</v>
      </c>
      <c r="K1039" s="42">
        <v>14.9</v>
      </c>
      <c r="L1039" s="42">
        <v>27.3</v>
      </c>
      <c r="M1039" s="48" t="s">
        <v>29</v>
      </c>
      <c r="N1039" s="42" t="s">
        <v>2025</v>
      </c>
      <c r="O1039" s="43">
        <v>44235</v>
      </c>
      <c r="P1039" s="42" t="s">
        <v>36</v>
      </c>
      <c r="Q1039" s="42">
        <v>26.9</v>
      </c>
      <c r="R1039" s="46" t="s">
        <v>31</v>
      </c>
      <c r="S1039" s="43">
        <v>44235</v>
      </c>
      <c r="T1039" s="51">
        <f t="shared" si="42"/>
        <v>3</v>
      </c>
      <c r="U1039" s="52" t="str">
        <f t="shared" si="41"/>
        <v>Não Detectável</v>
      </c>
    </row>
    <row r="1040" spans="1:21" ht="25.5" customHeight="1" x14ac:dyDescent="0.2">
      <c r="A1040" s="51">
        <v>1039</v>
      </c>
      <c r="B1040" s="50" t="s">
        <v>2027</v>
      </c>
      <c r="C1040" s="51">
        <v>54</v>
      </c>
      <c r="D1040" s="51" t="s">
        <v>25</v>
      </c>
      <c r="E1040" s="43">
        <v>44231</v>
      </c>
      <c r="F1040" s="44" t="s">
        <v>60</v>
      </c>
      <c r="G1040" s="51">
        <v>387</v>
      </c>
      <c r="H1040" s="43">
        <v>44232</v>
      </c>
      <c r="I1040" s="42" t="s">
        <v>2009</v>
      </c>
      <c r="J1040" s="43">
        <v>44232</v>
      </c>
      <c r="K1040" s="42">
        <v>14.9</v>
      </c>
      <c r="L1040" s="42">
        <v>27.3</v>
      </c>
      <c r="M1040" s="48" t="s">
        <v>29</v>
      </c>
      <c r="N1040" s="42" t="s">
        <v>2025</v>
      </c>
      <c r="O1040" s="43">
        <v>44235</v>
      </c>
      <c r="P1040" s="42">
        <v>12.7</v>
      </c>
      <c r="Q1040" s="42">
        <v>26.6</v>
      </c>
      <c r="R1040" s="46" t="s">
        <v>29</v>
      </c>
      <c r="S1040" s="43">
        <v>44235</v>
      </c>
      <c r="T1040" s="51">
        <f t="shared" si="42"/>
        <v>3</v>
      </c>
      <c r="U1040" s="52" t="str">
        <f t="shared" si="41"/>
        <v>Detectável</v>
      </c>
    </row>
    <row r="1041" spans="1:21" ht="25.5" customHeight="1" x14ac:dyDescent="0.2">
      <c r="A1041" s="51">
        <v>1040</v>
      </c>
      <c r="B1041" s="50" t="s">
        <v>2028</v>
      </c>
      <c r="C1041" s="51">
        <v>22</v>
      </c>
      <c r="D1041" s="51" t="s">
        <v>34</v>
      </c>
      <c r="E1041" s="43">
        <v>44231</v>
      </c>
      <c r="F1041" s="44" t="s">
        <v>60</v>
      </c>
      <c r="G1041" s="51">
        <v>388</v>
      </c>
      <c r="H1041" s="43">
        <v>44232</v>
      </c>
      <c r="I1041" s="42" t="s">
        <v>2009</v>
      </c>
      <c r="J1041" s="43">
        <v>44232</v>
      </c>
      <c r="K1041" s="42">
        <v>39.5</v>
      </c>
      <c r="L1041" s="42">
        <v>26.9</v>
      </c>
      <c r="M1041" s="48" t="s">
        <v>201</v>
      </c>
      <c r="N1041" s="42" t="s">
        <v>2025</v>
      </c>
      <c r="O1041" s="43">
        <v>44235</v>
      </c>
      <c r="P1041" s="42">
        <v>36</v>
      </c>
      <c r="Q1041" s="42">
        <v>25.1</v>
      </c>
      <c r="R1041" s="46" t="s">
        <v>29</v>
      </c>
      <c r="S1041" s="43">
        <v>44235</v>
      </c>
      <c r="T1041" s="51">
        <f t="shared" si="42"/>
        <v>3</v>
      </c>
      <c r="U1041" s="52" t="str">
        <f t="shared" si="41"/>
        <v>Detectável</v>
      </c>
    </row>
    <row r="1042" spans="1:21" ht="25.5" customHeight="1" x14ac:dyDescent="0.2">
      <c r="A1042" s="51">
        <v>1041</v>
      </c>
      <c r="B1042" s="50" t="s">
        <v>2029</v>
      </c>
      <c r="C1042" s="51">
        <v>55</v>
      </c>
      <c r="D1042" s="51" t="s">
        <v>34</v>
      </c>
      <c r="E1042" s="43">
        <v>44231</v>
      </c>
      <c r="F1042" s="44" t="s">
        <v>60</v>
      </c>
      <c r="G1042" s="51">
        <v>388</v>
      </c>
      <c r="H1042" s="43">
        <v>44232</v>
      </c>
      <c r="I1042" s="42" t="s">
        <v>2009</v>
      </c>
      <c r="J1042" s="43">
        <v>44232</v>
      </c>
      <c r="K1042" s="42">
        <v>39.5</v>
      </c>
      <c r="L1042" s="42">
        <v>26.9</v>
      </c>
      <c r="M1042" s="48" t="s">
        <v>201</v>
      </c>
      <c r="N1042" s="42" t="s">
        <v>2025</v>
      </c>
      <c r="O1042" s="43">
        <v>44235</v>
      </c>
      <c r="P1042" s="42">
        <v>34.700000000000003</v>
      </c>
      <c r="Q1042" s="42">
        <v>27.5</v>
      </c>
      <c r="R1042" s="46" t="s">
        <v>29</v>
      </c>
      <c r="S1042" s="43">
        <v>44235</v>
      </c>
      <c r="T1042" s="51">
        <f t="shared" si="42"/>
        <v>3</v>
      </c>
      <c r="U1042" s="52" t="str">
        <f t="shared" si="41"/>
        <v>Detectável</v>
      </c>
    </row>
    <row r="1043" spans="1:21" ht="25.5" customHeight="1" x14ac:dyDescent="0.2">
      <c r="A1043" s="51">
        <v>1042</v>
      </c>
      <c r="B1043" s="50" t="s">
        <v>2030</v>
      </c>
      <c r="C1043" s="51">
        <v>19</v>
      </c>
      <c r="D1043" s="51" t="s">
        <v>25</v>
      </c>
      <c r="E1043" s="43">
        <v>44231</v>
      </c>
      <c r="F1043" s="44" t="s">
        <v>60</v>
      </c>
      <c r="G1043" s="51">
        <v>388</v>
      </c>
      <c r="H1043" s="43">
        <v>44232</v>
      </c>
      <c r="I1043" s="42" t="s">
        <v>2009</v>
      </c>
      <c r="J1043" s="43">
        <v>44232</v>
      </c>
      <c r="K1043" s="42">
        <v>39.5</v>
      </c>
      <c r="L1043" s="42">
        <v>26.9</v>
      </c>
      <c r="M1043" s="48" t="s">
        <v>201</v>
      </c>
      <c r="N1043" s="42" t="s">
        <v>2025</v>
      </c>
      <c r="O1043" s="43">
        <v>44235</v>
      </c>
      <c r="P1043" s="42" t="s">
        <v>36</v>
      </c>
      <c r="Q1043" s="42">
        <v>26.5</v>
      </c>
      <c r="R1043" s="46" t="s">
        <v>31</v>
      </c>
      <c r="S1043" s="43">
        <v>44235</v>
      </c>
      <c r="T1043" s="51">
        <f t="shared" si="42"/>
        <v>3</v>
      </c>
      <c r="U1043" s="52" t="str">
        <f t="shared" si="41"/>
        <v>Não Detectável</v>
      </c>
    </row>
    <row r="1044" spans="1:21" ht="25.5" customHeight="1" x14ac:dyDescent="0.2">
      <c r="A1044" s="51">
        <v>1043</v>
      </c>
      <c r="B1044" s="50" t="s">
        <v>2031</v>
      </c>
      <c r="C1044" s="51">
        <v>35</v>
      </c>
      <c r="D1044" s="51" t="s">
        <v>25</v>
      </c>
      <c r="E1044" s="43">
        <v>44231</v>
      </c>
      <c r="F1044" s="44" t="s">
        <v>60</v>
      </c>
      <c r="G1044" s="51">
        <v>389</v>
      </c>
      <c r="H1044" s="43">
        <v>44232</v>
      </c>
      <c r="I1044" s="42" t="s">
        <v>2009</v>
      </c>
      <c r="J1044" s="43">
        <v>44232</v>
      </c>
      <c r="K1044" s="42">
        <v>35.299999999999997</v>
      </c>
      <c r="L1044" s="42">
        <v>27</v>
      </c>
      <c r="M1044" s="48" t="s">
        <v>29</v>
      </c>
      <c r="N1044" s="42" t="s">
        <v>2025</v>
      </c>
      <c r="O1044" s="43">
        <v>44235</v>
      </c>
      <c r="P1044" s="42" t="s">
        <v>36</v>
      </c>
      <c r="Q1044" s="42">
        <v>27.5</v>
      </c>
      <c r="R1044" s="46" t="s">
        <v>31</v>
      </c>
      <c r="S1044" s="43">
        <v>44235</v>
      </c>
      <c r="T1044" s="51">
        <f t="shared" si="42"/>
        <v>3</v>
      </c>
      <c r="U1044" s="52" t="str">
        <f t="shared" si="41"/>
        <v>Não Detectável</v>
      </c>
    </row>
    <row r="1045" spans="1:21" ht="25.5" customHeight="1" x14ac:dyDescent="0.2">
      <c r="A1045" s="51">
        <v>1044</v>
      </c>
      <c r="B1045" s="50" t="s">
        <v>2032</v>
      </c>
      <c r="C1045" s="51">
        <v>21</v>
      </c>
      <c r="D1045" s="51" t="s">
        <v>34</v>
      </c>
      <c r="E1045" s="43">
        <v>44231</v>
      </c>
      <c r="F1045" s="44" t="s">
        <v>60</v>
      </c>
      <c r="G1045" s="51">
        <v>389</v>
      </c>
      <c r="H1045" s="43">
        <v>44232</v>
      </c>
      <c r="I1045" s="42" t="s">
        <v>2009</v>
      </c>
      <c r="J1045" s="43">
        <v>44232</v>
      </c>
      <c r="K1045" s="42">
        <v>35.299999999999997</v>
      </c>
      <c r="L1045" s="42">
        <v>27</v>
      </c>
      <c r="M1045" s="48" t="s">
        <v>29</v>
      </c>
      <c r="N1045" s="42" t="s">
        <v>2025</v>
      </c>
      <c r="O1045" s="43">
        <v>44235</v>
      </c>
      <c r="P1045" s="42">
        <v>37.299999999999997</v>
      </c>
      <c r="Q1045" s="42">
        <v>25.8</v>
      </c>
      <c r="R1045" s="46" t="s">
        <v>201</v>
      </c>
      <c r="S1045" s="43">
        <v>44235</v>
      </c>
      <c r="T1045" s="51">
        <f t="shared" si="42"/>
        <v>3</v>
      </c>
      <c r="U1045" s="52" t="str">
        <f t="shared" si="41"/>
        <v>Inconclusivo</v>
      </c>
    </row>
    <row r="1046" spans="1:21" ht="25.5" customHeight="1" x14ac:dyDescent="0.2">
      <c r="A1046" s="51">
        <v>1045</v>
      </c>
      <c r="B1046" s="50" t="s">
        <v>2033</v>
      </c>
      <c r="C1046" s="51">
        <v>32</v>
      </c>
      <c r="D1046" s="51" t="s">
        <v>34</v>
      </c>
      <c r="E1046" s="43">
        <v>44231</v>
      </c>
      <c r="F1046" s="44" t="s">
        <v>60</v>
      </c>
      <c r="G1046" s="51">
        <v>389</v>
      </c>
      <c r="H1046" s="43">
        <v>44232</v>
      </c>
      <c r="I1046" s="42" t="s">
        <v>2009</v>
      </c>
      <c r="J1046" s="43">
        <v>44232</v>
      </c>
      <c r="K1046" s="42">
        <v>35.299999999999997</v>
      </c>
      <c r="L1046" s="42">
        <v>27</v>
      </c>
      <c r="M1046" s="48" t="s">
        <v>29</v>
      </c>
      <c r="N1046" s="42" t="s">
        <v>2025</v>
      </c>
      <c r="O1046" s="43">
        <v>44235</v>
      </c>
      <c r="P1046" s="42">
        <v>37</v>
      </c>
      <c r="Q1046" s="42">
        <v>28.4</v>
      </c>
      <c r="R1046" s="46" t="s">
        <v>201</v>
      </c>
      <c r="S1046" s="43">
        <v>44235</v>
      </c>
      <c r="T1046" s="51">
        <f t="shared" si="42"/>
        <v>3</v>
      </c>
      <c r="U1046" s="52" t="str">
        <f t="shared" si="41"/>
        <v>Inconclusivo</v>
      </c>
    </row>
    <row r="1047" spans="1:21" ht="25.5" customHeight="1" x14ac:dyDescent="0.2">
      <c r="A1047" s="51">
        <v>1046</v>
      </c>
      <c r="B1047" s="50" t="s">
        <v>2034</v>
      </c>
      <c r="C1047" s="51">
        <v>20</v>
      </c>
      <c r="D1047" s="51" t="s">
        <v>34</v>
      </c>
      <c r="E1047" s="43">
        <v>44231</v>
      </c>
      <c r="F1047" s="44" t="s">
        <v>60</v>
      </c>
      <c r="G1047" s="51">
        <v>390</v>
      </c>
      <c r="H1047" s="43">
        <v>44232</v>
      </c>
      <c r="I1047" s="42" t="s">
        <v>2009</v>
      </c>
      <c r="J1047" s="43">
        <v>44232</v>
      </c>
      <c r="K1047" s="42">
        <v>24.2</v>
      </c>
      <c r="L1047" s="42">
        <v>27.4</v>
      </c>
      <c r="M1047" s="48" t="s">
        <v>29</v>
      </c>
      <c r="N1047" s="42" t="s">
        <v>2025</v>
      </c>
      <c r="O1047" s="43">
        <v>44235</v>
      </c>
      <c r="P1047" s="42" t="s">
        <v>36</v>
      </c>
      <c r="Q1047" s="42">
        <v>26.3</v>
      </c>
      <c r="R1047" s="46" t="s">
        <v>31</v>
      </c>
      <c r="S1047" s="43">
        <v>44235</v>
      </c>
      <c r="T1047" s="51">
        <f t="shared" si="42"/>
        <v>3</v>
      </c>
      <c r="U1047" s="52" t="str">
        <f t="shared" si="41"/>
        <v>Não Detectável</v>
      </c>
    </row>
    <row r="1048" spans="1:21" ht="25.5" customHeight="1" x14ac:dyDescent="0.2">
      <c r="A1048" s="51">
        <v>1047</v>
      </c>
      <c r="B1048" s="50" t="s">
        <v>2035</v>
      </c>
      <c r="C1048" s="51">
        <v>54</v>
      </c>
      <c r="D1048" s="51" t="s">
        <v>25</v>
      </c>
      <c r="E1048" s="43">
        <v>44231</v>
      </c>
      <c r="F1048" s="44" t="s">
        <v>60</v>
      </c>
      <c r="G1048" s="51">
        <v>390</v>
      </c>
      <c r="H1048" s="43">
        <v>44232</v>
      </c>
      <c r="I1048" s="42" t="s">
        <v>2009</v>
      </c>
      <c r="J1048" s="43">
        <v>44232</v>
      </c>
      <c r="K1048" s="42">
        <v>24.2</v>
      </c>
      <c r="L1048" s="42">
        <v>27.4</v>
      </c>
      <c r="M1048" s="48" t="s">
        <v>29</v>
      </c>
      <c r="N1048" s="42" t="s">
        <v>2025</v>
      </c>
      <c r="O1048" s="43">
        <v>44235</v>
      </c>
      <c r="P1048" s="42">
        <v>22.5</v>
      </c>
      <c r="Q1048" s="42">
        <v>28.8</v>
      </c>
      <c r="R1048" s="46" t="s">
        <v>29</v>
      </c>
      <c r="S1048" s="43">
        <v>44235</v>
      </c>
      <c r="T1048" s="51">
        <f t="shared" si="42"/>
        <v>3</v>
      </c>
      <c r="U1048" s="52" t="str">
        <f t="shared" si="41"/>
        <v>Detectável</v>
      </c>
    </row>
    <row r="1049" spans="1:21" ht="25.5" customHeight="1" x14ac:dyDescent="0.2">
      <c r="A1049" s="51">
        <v>1048</v>
      </c>
      <c r="B1049" s="50" t="s">
        <v>2036</v>
      </c>
      <c r="C1049" s="51">
        <v>31</v>
      </c>
      <c r="D1049" s="51" t="s">
        <v>25</v>
      </c>
      <c r="E1049" s="43">
        <v>44231</v>
      </c>
      <c r="F1049" s="44" t="s">
        <v>60</v>
      </c>
      <c r="G1049" s="51">
        <v>390</v>
      </c>
      <c r="H1049" s="43">
        <v>44232</v>
      </c>
      <c r="I1049" s="42" t="s">
        <v>2009</v>
      </c>
      <c r="J1049" s="43">
        <v>44232</v>
      </c>
      <c r="K1049" s="42">
        <v>24.2</v>
      </c>
      <c r="L1049" s="42">
        <v>27.4</v>
      </c>
      <c r="M1049" s="48" t="s">
        <v>29</v>
      </c>
      <c r="N1049" s="42" t="s">
        <v>2025</v>
      </c>
      <c r="O1049" s="43">
        <v>44235</v>
      </c>
      <c r="P1049" s="42" t="s">
        <v>36</v>
      </c>
      <c r="Q1049" s="42">
        <v>26.2</v>
      </c>
      <c r="R1049" s="46" t="s">
        <v>31</v>
      </c>
      <c r="S1049" s="43">
        <v>44235</v>
      </c>
      <c r="T1049" s="51">
        <f t="shared" si="42"/>
        <v>3</v>
      </c>
      <c r="U1049" s="52" t="str">
        <f t="shared" si="41"/>
        <v>Não Detectável</v>
      </c>
    </row>
    <row r="1050" spans="1:21" ht="25.5" customHeight="1" x14ac:dyDescent="0.2">
      <c r="A1050" s="51">
        <v>1049</v>
      </c>
      <c r="B1050" s="50" t="s">
        <v>2037</v>
      </c>
      <c r="C1050" s="51">
        <v>23</v>
      </c>
      <c r="D1050" s="51" t="s">
        <v>25</v>
      </c>
      <c r="E1050" s="43">
        <v>44232</v>
      </c>
      <c r="F1050" s="44" t="s">
        <v>60</v>
      </c>
      <c r="G1050" s="51">
        <v>391</v>
      </c>
      <c r="H1050" s="43">
        <v>44235</v>
      </c>
      <c r="I1050" s="42" t="s">
        <v>2025</v>
      </c>
      <c r="J1050" s="43">
        <v>44235</v>
      </c>
      <c r="K1050" s="42" t="s">
        <v>36</v>
      </c>
      <c r="L1050" s="42">
        <v>27.6</v>
      </c>
      <c r="M1050" s="45" t="s">
        <v>31</v>
      </c>
      <c r="N1050" s="42" t="s">
        <v>60</v>
      </c>
      <c r="O1050" s="43" t="s">
        <v>60</v>
      </c>
      <c r="P1050" s="42" t="s">
        <v>60</v>
      </c>
      <c r="Q1050" s="42" t="s">
        <v>60</v>
      </c>
      <c r="R1050" s="46" t="s">
        <v>60</v>
      </c>
      <c r="S1050" s="43">
        <v>44235</v>
      </c>
      <c r="T1050" s="51">
        <f t="shared" si="42"/>
        <v>3</v>
      </c>
      <c r="U1050" s="52" t="str">
        <f t="shared" si="41"/>
        <v>Não Detectável</v>
      </c>
    </row>
    <row r="1051" spans="1:21" ht="25.5" customHeight="1" x14ac:dyDescent="0.2">
      <c r="A1051" s="51">
        <v>1050</v>
      </c>
      <c r="B1051" s="50" t="s">
        <v>2038</v>
      </c>
      <c r="C1051" s="51">
        <v>30</v>
      </c>
      <c r="D1051" s="51" t="s">
        <v>25</v>
      </c>
      <c r="E1051" s="43">
        <v>44232</v>
      </c>
      <c r="F1051" s="44" t="s">
        <v>60</v>
      </c>
      <c r="G1051" s="51">
        <v>391</v>
      </c>
      <c r="H1051" s="43">
        <v>44235</v>
      </c>
      <c r="I1051" s="42" t="s">
        <v>2025</v>
      </c>
      <c r="J1051" s="43">
        <v>44235</v>
      </c>
      <c r="K1051" s="42" t="s">
        <v>36</v>
      </c>
      <c r="L1051" s="42">
        <v>27.6</v>
      </c>
      <c r="M1051" s="45" t="s">
        <v>31</v>
      </c>
      <c r="N1051" s="42" t="s">
        <v>60</v>
      </c>
      <c r="O1051" s="43" t="s">
        <v>60</v>
      </c>
      <c r="P1051" s="42" t="s">
        <v>60</v>
      </c>
      <c r="Q1051" s="42" t="s">
        <v>60</v>
      </c>
      <c r="R1051" s="46" t="s">
        <v>60</v>
      </c>
      <c r="S1051" s="43">
        <v>44235</v>
      </c>
      <c r="T1051" s="51">
        <f t="shared" si="42"/>
        <v>3</v>
      </c>
      <c r="U1051" s="52" t="str">
        <f t="shared" si="41"/>
        <v>Não Detectável</v>
      </c>
    </row>
    <row r="1052" spans="1:21" ht="25.5" customHeight="1" x14ac:dyDescent="0.2">
      <c r="A1052" s="51">
        <v>1051</v>
      </c>
      <c r="B1052" s="50" t="s">
        <v>2039</v>
      </c>
      <c r="C1052" s="51">
        <v>54</v>
      </c>
      <c r="D1052" s="51" t="s">
        <v>25</v>
      </c>
      <c r="E1052" s="43">
        <v>44232</v>
      </c>
      <c r="F1052" s="44" t="s">
        <v>60</v>
      </c>
      <c r="G1052" s="51">
        <v>391</v>
      </c>
      <c r="H1052" s="43">
        <v>44235</v>
      </c>
      <c r="I1052" s="42" t="s">
        <v>2025</v>
      </c>
      <c r="J1052" s="43">
        <v>44235</v>
      </c>
      <c r="K1052" s="42" t="s">
        <v>36</v>
      </c>
      <c r="L1052" s="42">
        <v>27.6</v>
      </c>
      <c r="M1052" s="45" t="s">
        <v>31</v>
      </c>
      <c r="N1052" s="42" t="s">
        <v>60</v>
      </c>
      <c r="O1052" s="43" t="s">
        <v>60</v>
      </c>
      <c r="P1052" s="42" t="s">
        <v>60</v>
      </c>
      <c r="Q1052" s="42" t="s">
        <v>60</v>
      </c>
      <c r="R1052" s="46" t="s">
        <v>60</v>
      </c>
      <c r="S1052" s="43">
        <v>44235</v>
      </c>
      <c r="T1052" s="51">
        <f t="shared" si="42"/>
        <v>3</v>
      </c>
      <c r="U1052" s="52" t="str">
        <f t="shared" si="41"/>
        <v>Não Detectável</v>
      </c>
    </row>
    <row r="1053" spans="1:21" ht="25.5" customHeight="1" x14ac:dyDescent="0.2">
      <c r="A1053" s="51">
        <v>1052</v>
      </c>
      <c r="B1053" s="50" t="s">
        <v>2040</v>
      </c>
      <c r="C1053" s="51">
        <v>26</v>
      </c>
      <c r="D1053" s="51" t="s">
        <v>25</v>
      </c>
      <c r="E1053" s="43">
        <v>44232</v>
      </c>
      <c r="F1053" s="44" t="s">
        <v>60</v>
      </c>
      <c r="G1053" s="51">
        <v>392</v>
      </c>
      <c r="H1053" s="43">
        <v>44235</v>
      </c>
      <c r="I1053" s="42" t="s">
        <v>2025</v>
      </c>
      <c r="J1053" s="43">
        <v>44235</v>
      </c>
      <c r="K1053" s="42" t="s">
        <v>36</v>
      </c>
      <c r="L1053" s="42">
        <v>27</v>
      </c>
      <c r="M1053" s="45" t="s">
        <v>31</v>
      </c>
      <c r="N1053" s="42" t="s">
        <v>60</v>
      </c>
      <c r="O1053" s="43" t="s">
        <v>60</v>
      </c>
      <c r="P1053" s="42" t="s">
        <v>60</v>
      </c>
      <c r="Q1053" s="42" t="s">
        <v>60</v>
      </c>
      <c r="R1053" s="46" t="s">
        <v>60</v>
      </c>
      <c r="S1053" s="43">
        <v>44235</v>
      </c>
      <c r="T1053" s="51">
        <f t="shared" si="42"/>
        <v>3</v>
      </c>
      <c r="U1053" s="52" t="str">
        <f t="shared" si="41"/>
        <v>Não Detectável</v>
      </c>
    </row>
    <row r="1054" spans="1:21" ht="25.5" customHeight="1" x14ac:dyDescent="0.2">
      <c r="A1054" s="51">
        <v>1053</v>
      </c>
      <c r="B1054" s="50" t="s">
        <v>2041</v>
      </c>
      <c r="C1054" s="51">
        <v>50</v>
      </c>
      <c r="D1054" s="51" t="s">
        <v>34</v>
      </c>
      <c r="E1054" s="43">
        <v>44232</v>
      </c>
      <c r="F1054" s="44" t="s">
        <v>60</v>
      </c>
      <c r="G1054" s="51">
        <v>392</v>
      </c>
      <c r="H1054" s="43">
        <v>44235</v>
      </c>
      <c r="I1054" s="42" t="s">
        <v>2025</v>
      </c>
      <c r="J1054" s="43">
        <v>44235</v>
      </c>
      <c r="K1054" s="42" t="s">
        <v>36</v>
      </c>
      <c r="L1054" s="42">
        <v>27</v>
      </c>
      <c r="M1054" s="45" t="s">
        <v>31</v>
      </c>
      <c r="N1054" s="42" t="s">
        <v>60</v>
      </c>
      <c r="O1054" s="43" t="s">
        <v>60</v>
      </c>
      <c r="P1054" s="42" t="s">
        <v>60</v>
      </c>
      <c r="Q1054" s="42" t="s">
        <v>60</v>
      </c>
      <c r="R1054" s="46" t="s">
        <v>60</v>
      </c>
      <c r="S1054" s="43">
        <v>44235</v>
      </c>
      <c r="T1054" s="51">
        <f t="shared" si="42"/>
        <v>3</v>
      </c>
      <c r="U1054" s="52" t="str">
        <f t="shared" si="41"/>
        <v>Não Detectável</v>
      </c>
    </row>
    <row r="1055" spans="1:21" ht="25.5" customHeight="1" x14ac:dyDescent="0.2">
      <c r="A1055" s="51">
        <v>1054</v>
      </c>
      <c r="B1055" s="50" t="s">
        <v>2042</v>
      </c>
      <c r="C1055" s="51">
        <v>19</v>
      </c>
      <c r="D1055" s="51" t="s">
        <v>34</v>
      </c>
      <c r="E1055" s="43">
        <v>44232</v>
      </c>
      <c r="F1055" s="44" t="s">
        <v>60</v>
      </c>
      <c r="G1055" s="51">
        <v>392</v>
      </c>
      <c r="H1055" s="43">
        <v>44235</v>
      </c>
      <c r="I1055" s="42" t="s">
        <v>2025</v>
      </c>
      <c r="J1055" s="43">
        <v>44235</v>
      </c>
      <c r="K1055" s="42" t="s">
        <v>36</v>
      </c>
      <c r="L1055" s="42">
        <v>27</v>
      </c>
      <c r="M1055" s="45" t="s">
        <v>31</v>
      </c>
      <c r="N1055" s="42" t="s">
        <v>60</v>
      </c>
      <c r="O1055" s="43" t="s">
        <v>60</v>
      </c>
      <c r="P1055" s="42" t="s">
        <v>60</v>
      </c>
      <c r="Q1055" s="42" t="s">
        <v>60</v>
      </c>
      <c r="R1055" s="46" t="s">
        <v>60</v>
      </c>
      <c r="S1055" s="43">
        <v>44235</v>
      </c>
      <c r="T1055" s="51">
        <f t="shared" si="42"/>
        <v>3</v>
      </c>
      <c r="U1055" s="52" t="str">
        <f t="shared" si="41"/>
        <v>Não Detectável</v>
      </c>
    </row>
    <row r="1056" spans="1:21" ht="25.5" customHeight="1" x14ac:dyDescent="0.2">
      <c r="A1056" s="51">
        <v>1055</v>
      </c>
      <c r="B1056" s="50" t="s">
        <v>2043</v>
      </c>
      <c r="C1056" s="51">
        <v>25</v>
      </c>
      <c r="D1056" s="51" t="s">
        <v>25</v>
      </c>
      <c r="E1056" s="43">
        <v>44232</v>
      </c>
      <c r="F1056" s="44" t="s">
        <v>60</v>
      </c>
      <c r="G1056" s="51">
        <v>393</v>
      </c>
      <c r="H1056" s="43">
        <v>44235</v>
      </c>
      <c r="I1056" s="42" t="s">
        <v>2025</v>
      </c>
      <c r="J1056" s="43">
        <v>44235</v>
      </c>
      <c r="K1056" s="42" t="s">
        <v>36</v>
      </c>
      <c r="L1056" s="42">
        <v>26.8</v>
      </c>
      <c r="M1056" s="45" t="s">
        <v>31</v>
      </c>
      <c r="N1056" s="42" t="s">
        <v>60</v>
      </c>
      <c r="O1056" s="43" t="s">
        <v>60</v>
      </c>
      <c r="P1056" s="42" t="s">
        <v>60</v>
      </c>
      <c r="Q1056" s="42" t="s">
        <v>60</v>
      </c>
      <c r="R1056" s="46" t="s">
        <v>60</v>
      </c>
      <c r="S1056" s="43">
        <v>44235</v>
      </c>
      <c r="T1056" s="51">
        <f t="shared" si="42"/>
        <v>3</v>
      </c>
      <c r="U1056" s="52" t="str">
        <f t="shared" si="41"/>
        <v>Não Detectável</v>
      </c>
    </row>
    <row r="1057" spans="1:21" ht="25.5" customHeight="1" x14ac:dyDescent="0.2">
      <c r="A1057" s="51">
        <v>1056</v>
      </c>
      <c r="B1057" s="50" t="s">
        <v>2044</v>
      </c>
      <c r="C1057" s="51">
        <v>22</v>
      </c>
      <c r="D1057" s="51" t="s">
        <v>25</v>
      </c>
      <c r="E1057" s="43">
        <v>44232</v>
      </c>
      <c r="F1057" s="44" t="s">
        <v>60</v>
      </c>
      <c r="G1057" s="51">
        <v>393</v>
      </c>
      <c r="H1057" s="43">
        <v>44235</v>
      </c>
      <c r="I1057" s="42" t="s">
        <v>2025</v>
      </c>
      <c r="J1057" s="43">
        <v>44235</v>
      </c>
      <c r="K1057" s="42" t="s">
        <v>36</v>
      </c>
      <c r="L1057" s="42">
        <v>26.8</v>
      </c>
      <c r="M1057" s="45" t="s">
        <v>31</v>
      </c>
      <c r="N1057" s="42" t="s">
        <v>60</v>
      </c>
      <c r="O1057" s="43" t="s">
        <v>60</v>
      </c>
      <c r="P1057" s="42" t="s">
        <v>60</v>
      </c>
      <c r="Q1057" s="42" t="s">
        <v>60</v>
      </c>
      <c r="R1057" s="46" t="s">
        <v>60</v>
      </c>
      <c r="S1057" s="43">
        <v>44235</v>
      </c>
      <c r="T1057" s="51">
        <f t="shared" si="42"/>
        <v>3</v>
      </c>
      <c r="U1057" s="52" t="str">
        <f t="shared" si="41"/>
        <v>Não Detectável</v>
      </c>
    </row>
    <row r="1058" spans="1:21" ht="25.5" customHeight="1" x14ac:dyDescent="0.2">
      <c r="A1058" s="51">
        <v>1057</v>
      </c>
      <c r="B1058" s="50" t="s">
        <v>2045</v>
      </c>
      <c r="C1058" s="51">
        <v>51</v>
      </c>
      <c r="D1058" s="51" t="s">
        <v>25</v>
      </c>
      <c r="E1058" s="43">
        <v>44232</v>
      </c>
      <c r="F1058" s="44" t="s">
        <v>60</v>
      </c>
      <c r="G1058" s="51">
        <v>393</v>
      </c>
      <c r="H1058" s="43">
        <v>44235</v>
      </c>
      <c r="I1058" s="42" t="s">
        <v>2025</v>
      </c>
      <c r="J1058" s="43">
        <v>44235</v>
      </c>
      <c r="K1058" s="42" t="s">
        <v>36</v>
      </c>
      <c r="L1058" s="42">
        <v>26.8</v>
      </c>
      <c r="M1058" s="45" t="s">
        <v>31</v>
      </c>
      <c r="N1058" s="42" t="s">
        <v>60</v>
      </c>
      <c r="O1058" s="43" t="s">
        <v>60</v>
      </c>
      <c r="P1058" s="42" t="s">
        <v>60</v>
      </c>
      <c r="Q1058" s="42" t="s">
        <v>60</v>
      </c>
      <c r="R1058" s="46" t="s">
        <v>60</v>
      </c>
      <c r="S1058" s="43">
        <v>44235</v>
      </c>
      <c r="T1058" s="51">
        <f t="shared" si="42"/>
        <v>3</v>
      </c>
      <c r="U1058" s="52" t="str">
        <f t="shared" si="41"/>
        <v>Não Detectável</v>
      </c>
    </row>
    <row r="1059" spans="1:21" ht="25.5" customHeight="1" x14ac:dyDescent="0.2">
      <c r="A1059" s="51">
        <v>1058</v>
      </c>
      <c r="B1059" s="50" t="s">
        <v>2046</v>
      </c>
      <c r="C1059" s="51">
        <v>26</v>
      </c>
      <c r="D1059" s="51" t="s">
        <v>25</v>
      </c>
      <c r="E1059" s="43">
        <v>44232</v>
      </c>
      <c r="F1059" s="44" t="s">
        <v>60</v>
      </c>
      <c r="G1059" s="51">
        <v>394</v>
      </c>
      <c r="H1059" s="43">
        <v>44235</v>
      </c>
      <c r="I1059" s="42" t="s">
        <v>2025</v>
      </c>
      <c r="J1059" s="43">
        <v>44235</v>
      </c>
      <c r="K1059" s="42">
        <v>21.3</v>
      </c>
      <c r="L1059" s="42">
        <v>27.1</v>
      </c>
      <c r="M1059" s="48" t="s">
        <v>29</v>
      </c>
      <c r="N1059" s="42" t="s">
        <v>2047</v>
      </c>
      <c r="O1059" s="43">
        <v>44236</v>
      </c>
      <c r="P1059" s="42" t="s">
        <v>36</v>
      </c>
      <c r="Q1059" s="42">
        <v>29.9</v>
      </c>
      <c r="R1059" s="46" t="s">
        <v>31</v>
      </c>
      <c r="S1059" s="43">
        <v>44236</v>
      </c>
      <c r="T1059" s="51">
        <f t="shared" si="42"/>
        <v>3</v>
      </c>
      <c r="U1059" s="52" t="str">
        <f t="shared" si="41"/>
        <v>Não Detectável</v>
      </c>
    </row>
    <row r="1060" spans="1:21" ht="25.5" customHeight="1" x14ac:dyDescent="0.2">
      <c r="A1060" s="51">
        <v>1059</v>
      </c>
      <c r="B1060" s="50" t="s">
        <v>2048</v>
      </c>
      <c r="C1060" s="51">
        <v>44</v>
      </c>
      <c r="D1060" s="51" t="s">
        <v>34</v>
      </c>
      <c r="E1060" s="43">
        <v>44232</v>
      </c>
      <c r="F1060" s="44" t="s">
        <v>60</v>
      </c>
      <c r="G1060" s="51">
        <v>394</v>
      </c>
      <c r="H1060" s="43">
        <v>44235</v>
      </c>
      <c r="I1060" s="42" t="s">
        <v>2025</v>
      </c>
      <c r="J1060" s="43">
        <v>44235</v>
      </c>
      <c r="K1060" s="42">
        <v>21.3</v>
      </c>
      <c r="L1060" s="42">
        <v>27.1</v>
      </c>
      <c r="M1060" s="48" t="s">
        <v>29</v>
      </c>
      <c r="N1060" s="42" t="s">
        <v>2047</v>
      </c>
      <c r="O1060" s="43">
        <v>44236</v>
      </c>
      <c r="P1060" s="42">
        <v>19</v>
      </c>
      <c r="Q1060" s="42">
        <v>30.4</v>
      </c>
      <c r="R1060" s="46" t="s">
        <v>29</v>
      </c>
      <c r="S1060" s="43">
        <v>44236</v>
      </c>
      <c r="T1060" s="51">
        <f t="shared" si="42"/>
        <v>3</v>
      </c>
      <c r="U1060" s="52" t="str">
        <f t="shared" si="41"/>
        <v>Detectável</v>
      </c>
    </row>
    <row r="1061" spans="1:21" ht="25.5" customHeight="1" x14ac:dyDescent="0.2">
      <c r="A1061" s="51">
        <v>1060</v>
      </c>
      <c r="B1061" s="50" t="s">
        <v>2049</v>
      </c>
      <c r="C1061" s="51">
        <v>24</v>
      </c>
      <c r="D1061" s="51" t="s">
        <v>34</v>
      </c>
      <c r="E1061" s="43">
        <v>44232</v>
      </c>
      <c r="F1061" s="44" t="s">
        <v>60</v>
      </c>
      <c r="G1061" s="51">
        <v>394</v>
      </c>
      <c r="H1061" s="43">
        <v>44235</v>
      </c>
      <c r="I1061" s="42" t="s">
        <v>2025</v>
      </c>
      <c r="J1061" s="43">
        <v>44235</v>
      </c>
      <c r="K1061" s="42">
        <v>21.3</v>
      </c>
      <c r="L1061" s="42">
        <v>27.1</v>
      </c>
      <c r="M1061" s="48" t="s">
        <v>29</v>
      </c>
      <c r="N1061" s="42" t="s">
        <v>2047</v>
      </c>
      <c r="O1061" s="43">
        <v>44236</v>
      </c>
      <c r="P1061" s="42">
        <v>32.5</v>
      </c>
      <c r="Q1061" s="42">
        <v>27.4</v>
      </c>
      <c r="R1061" s="46" t="s">
        <v>29</v>
      </c>
      <c r="S1061" s="43">
        <v>44236</v>
      </c>
      <c r="T1061" s="51">
        <f t="shared" si="42"/>
        <v>3</v>
      </c>
      <c r="U1061" s="52" t="str">
        <f t="shared" si="41"/>
        <v>Detectável</v>
      </c>
    </row>
    <row r="1062" spans="1:21" ht="25.5" customHeight="1" x14ac:dyDescent="0.2">
      <c r="A1062" s="51">
        <v>1061</v>
      </c>
      <c r="B1062" s="50" t="s">
        <v>2050</v>
      </c>
      <c r="C1062" s="51">
        <v>44</v>
      </c>
      <c r="D1062" s="51" t="s">
        <v>34</v>
      </c>
      <c r="E1062" s="43">
        <v>44232</v>
      </c>
      <c r="F1062" s="44" t="s">
        <v>60</v>
      </c>
      <c r="G1062" s="51">
        <v>395</v>
      </c>
      <c r="H1062" s="43">
        <v>44235</v>
      </c>
      <c r="I1062" s="42" t="s">
        <v>2025</v>
      </c>
      <c r="J1062" s="43">
        <v>44235</v>
      </c>
      <c r="K1062" s="42" t="s">
        <v>36</v>
      </c>
      <c r="L1062" s="42">
        <v>26.4</v>
      </c>
      <c r="M1062" s="45" t="s">
        <v>31</v>
      </c>
      <c r="N1062" s="42" t="s">
        <v>60</v>
      </c>
      <c r="O1062" s="43" t="s">
        <v>60</v>
      </c>
      <c r="P1062" s="42" t="s">
        <v>60</v>
      </c>
      <c r="Q1062" s="42" t="s">
        <v>60</v>
      </c>
      <c r="R1062" s="46" t="s">
        <v>60</v>
      </c>
      <c r="S1062" s="43">
        <v>44235</v>
      </c>
      <c r="T1062" s="51">
        <f t="shared" si="42"/>
        <v>3</v>
      </c>
      <c r="U1062" s="52" t="str">
        <f t="shared" si="41"/>
        <v>Não Detectável</v>
      </c>
    </row>
    <row r="1063" spans="1:21" ht="25.5" customHeight="1" x14ac:dyDescent="0.2">
      <c r="A1063" s="51">
        <v>1062</v>
      </c>
      <c r="B1063" s="50" t="s">
        <v>2051</v>
      </c>
      <c r="C1063" s="51">
        <v>21</v>
      </c>
      <c r="D1063" s="51" t="s">
        <v>34</v>
      </c>
      <c r="E1063" s="43">
        <v>44232</v>
      </c>
      <c r="F1063" s="44" t="s">
        <v>60</v>
      </c>
      <c r="G1063" s="51">
        <v>395</v>
      </c>
      <c r="H1063" s="43">
        <v>44235</v>
      </c>
      <c r="I1063" s="42" t="s">
        <v>2025</v>
      </c>
      <c r="J1063" s="43">
        <v>44235</v>
      </c>
      <c r="K1063" s="42" t="s">
        <v>36</v>
      </c>
      <c r="L1063" s="42">
        <v>26.4</v>
      </c>
      <c r="M1063" s="45" t="s">
        <v>31</v>
      </c>
      <c r="N1063" s="42" t="s">
        <v>60</v>
      </c>
      <c r="O1063" s="43" t="s">
        <v>60</v>
      </c>
      <c r="P1063" s="42" t="s">
        <v>60</v>
      </c>
      <c r="Q1063" s="42" t="s">
        <v>60</v>
      </c>
      <c r="R1063" s="46" t="s">
        <v>60</v>
      </c>
      <c r="S1063" s="43">
        <v>44235</v>
      </c>
      <c r="T1063" s="51">
        <f t="shared" si="42"/>
        <v>3</v>
      </c>
      <c r="U1063" s="52" t="str">
        <f t="shared" si="41"/>
        <v>Não Detectável</v>
      </c>
    </row>
    <row r="1064" spans="1:21" ht="25.5" customHeight="1" x14ac:dyDescent="0.2">
      <c r="A1064" s="51">
        <v>1063</v>
      </c>
      <c r="B1064" s="50" t="s">
        <v>2052</v>
      </c>
      <c r="C1064" s="51">
        <v>49</v>
      </c>
      <c r="D1064" s="51" t="s">
        <v>25</v>
      </c>
      <c r="E1064" s="43">
        <v>44232</v>
      </c>
      <c r="F1064" s="44" t="s">
        <v>60</v>
      </c>
      <c r="G1064" s="51">
        <v>395</v>
      </c>
      <c r="H1064" s="43">
        <v>44235</v>
      </c>
      <c r="I1064" s="42" t="s">
        <v>2025</v>
      </c>
      <c r="J1064" s="43">
        <v>44235</v>
      </c>
      <c r="K1064" s="42" t="s">
        <v>36</v>
      </c>
      <c r="L1064" s="42">
        <v>26.4</v>
      </c>
      <c r="M1064" s="45" t="s">
        <v>31</v>
      </c>
      <c r="N1064" s="42" t="s">
        <v>60</v>
      </c>
      <c r="O1064" s="43" t="s">
        <v>60</v>
      </c>
      <c r="P1064" s="42" t="s">
        <v>60</v>
      </c>
      <c r="Q1064" s="42" t="s">
        <v>60</v>
      </c>
      <c r="R1064" s="46" t="s">
        <v>60</v>
      </c>
      <c r="S1064" s="43">
        <v>44235</v>
      </c>
      <c r="T1064" s="51">
        <f t="shared" si="42"/>
        <v>3</v>
      </c>
      <c r="U1064" s="52" t="str">
        <f t="shared" si="41"/>
        <v>Não Detectável</v>
      </c>
    </row>
    <row r="1065" spans="1:21" ht="25.5" customHeight="1" x14ac:dyDescent="0.2">
      <c r="A1065" s="51">
        <v>1064</v>
      </c>
      <c r="B1065" s="50" t="s">
        <v>2053</v>
      </c>
      <c r="C1065" s="51">
        <v>20</v>
      </c>
      <c r="D1065" s="51" t="s">
        <v>25</v>
      </c>
      <c r="E1065" s="43">
        <v>44232</v>
      </c>
      <c r="F1065" s="44" t="s">
        <v>60</v>
      </c>
      <c r="G1065" s="51">
        <v>396</v>
      </c>
      <c r="H1065" s="43">
        <v>44235</v>
      </c>
      <c r="I1065" s="42" t="s">
        <v>2047</v>
      </c>
      <c r="J1065" s="43">
        <v>44236</v>
      </c>
      <c r="K1065" s="42" t="s">
        <v>36</v>
      </c>
      <c r="L1065" s="42">
        <v>29.3</v>
      </c>
      <c r="M1065" s="45" t="s">
        <v>31</v>
      </c>
      <c r="N1065" s="42" t="s">
        <v>60</v>
      </c>
      <c r="O1065" s="43" t="s">
        <v>60</v>
      </c>
      <c r="P1065" s="42" t="s">
        <v>60</v>
      </c>
      <c r="Q1065" s="42" t="s">
        <v>60</v>
      </c>
      <c r="R1065" s="46" t="s">
        <v>60</v>
      </c>
      <c r="S1065" s="43">
        <v>44236</v>
      </c>
      <c r="T1065" s="51">
        <f t="shared" si="42"/>
        <v>3</v>
      </c>
      <c r="U1065" s="52" t="str">
        <f t="shared" si="41"/>
        <v>Não Detectável</v>
      </c>
    </row>
    <row r="1066" spans="1:21" ht="25.5" customHeight="1" x14ac:dyDescent="0.2">
      <c r="A1066" s="51">
        <v>1065</v>
      </c>
      <c r="B1066" s="50" t="s">
        <v>2054</v>
      </c>
      <c r="C1066" s="51">
        <v>56</v>
      </c>
      <c r="D1066" s="51" t="s">
        <v>25</v>
      </c>
      <c r="E1066" s="43">
        <v>44235</v>
      </c>
      <c r="F1066" s="44" t="s">
        <v>60</v>
      </c>
      <c r="G1066" s="51">
        <v>396</v>
      </c>
      <c r="H1066" s="43">
        <v>44236</v>
      </c>
      <c r="I1066" s="42" t="s">
        <v>2047</v>
      </c>
      <c r="J1066" s="43">
        <v>44236</v>
      </c>
      <c r="K1066" s="42" t="s">
        <v>36</v>
      </c>
      <c r="L1066" s="42">
        <v>29.3</v>
      </c>
      <c r="M1066" s="45" t="s">
        <v>31</v>
      </c>
      <c r="N1066" s="42" t="s">
        <v>60</v>
      </c>
      <c r="O1066" s="43" t="s">
        <v>60</v>
      </c>
      <c r="P1066" s="42" t="s">
        <v>60</v>
      </c>
      <c r="Q1066" s="42" t="s">
        <v>60</v>
      </c>
      <c r="R1066" s="46" t="s">
        <v>60</v>
      </c>
      <c r="S1066" s="43">
        <v>44236</v>
      </c>
      <c r="T1066" s="51">
        <f t="shared" si="42"/>
        <v>3</v>
      </c>
      <c r="U1066" s="52" t="str">
        <f t="shared" si="41"/>
        <v>Não Detectável</v>
      </c>
    </row>
    <row r="1067" spans="1:21" ht="25.5" customHeight="1" x14ac:dyDescent="0.2">
      <c r="A1067" s="51">
        <v>1066</v>
      </c>
      <c r="B1067" s="50" t="s">
        <v>2055</v>
      </c>
      <c r="C1067" s="51">
        <v>31</v>
      </c>
      <c r="D1067" s="51" t="s">
        <v>34</v>
      </c>
      <c r="E1067" s="43">
        <v>44235</v>
      </c>
      <c r="F1067" s="44" t="s">
        <v>60</v>
      </c>
      <c r="G1067" s="51">
        <v>396</v>
      </c>
      <c r="H1067" s="43">
        <v>44236</v>
      </c>
      <c r="I1067" s="42" t="s">
        <v>2047</v>
      </c>
      <c r="J1067" s="43">
        <v>44236</v>
      </c>
      <c r="K1067" s="42" t="s">
        <v>36</v>
      </c>
      <c r="L1067" s="42">
        <v>29.3</v>
      </c>
      <c r="M1067" s="45" t="s">
        <v>31</v>
      </c>
      <c r="N1067" s="42" t="s">
        <v>60</v>
      </c>
      <c r="O1067" s="43" t="s">
        <v>60</v>
      </c>
      <c r="P1067" s="42" t="s">
        <v>60</v>
      </c>
      <c r="Q1067" s="42" t="s">
        <v>60</v>
      </c>
      <c r="R1067" s="46" t="s">
        <v>60</v>
      </c>
      <c r="S1067" s="43">
        <v>44236</v>
      </c>
      <c r="T1067" s="51">
        <f t="shared" si="42"/>
        <v>3</v>
      </c>
      <c r="U1067" s="52" t="str">
        <f t="shared" si="41"/>
        <v>Não Detectável</v>
      </c>
    </row>
    <row r="1068" spans="1:21" ht="25.5" customHeight="1" x14ac:dyDescent="0.2">
      <c r="A1068" s="51">
        <v>1067</v>
      </c>
      <c r="B1068" s="50" t="s">
        <v>2056</v>
      </c>
      <c r="C1068" s="51">
        <v>33</v>
      </c>
      <c r="D1068" s="51" t="s">
        <v>34</v>
      </c>
      <c r="E1068" s="43">
        <v>44235</v>
      </c>
      <c r="F1068" s="44" t="s">
        <v>60</v>
      </c>
      <c r="G1068" s="51">
        <v>397</v>
      </c>
      <c r="H1068" s="43">
        <v>44236</v>
      </c>
      <c r="I1068" s="42" t="s">
        <v>2047</v>
      </c>
      <c r="J1068" s="43">
        <v>44236</v>
      </c>
      <c r="K1068" s="42">
        <v>29.2</v>
      </c>
      <c r="L1068" s="42">
        <v>24.9</v>
      </c>
      <c r="M1068" s="48" t="s">
        <v>29</v>
      </c>
      <c r="N1068" s="42" t="s">
        <v>2057</v>
      </c>
      <c r="O1068" s="43">
        <v>44237</v>
      </c>
      <c r="P1068" s="42" t="s">
        <v>36</v>
      </c>
      <c r="Q1068" s="42">
        <v>29.5</v>
      </c>
      <c r="R1068" s="46" t="s">
        <v>31</v>
      </c>
      <c r="S1068" s="43">
        <v>44237</v>
      </c>
      <c r="T1068" s="51">
        <f t="shared" si="42"/>
        <v>3</v>
      </c>
      <c r="U1068" s="52" t="str">
        <f t="shared" si="41"/>
        <v>Não Detectável</v>
      </c>
    </row>
    <row r="1069" spans="1:21" ht="25.5" customHeight="1" x14ac:dyDescent="0.2">
      <c r="A1069" s="51">
        <v>1068</v>
      </c>
      <c r="B1069" s="50" t="s">
        <v>2058</v>
      </c>
      <c r="C1069" s="51">
        <v>48</v>
      </c>
      <c r="D1069" s="51" t="s">
        <v>34</v>
      </c>
      <c r="E1069" s="43">
        <v>44235</v>
      </c>
      <c r="F1069" s="44" t="s">
        <v>60</v>
      </c>
      <c r="G1069" s="51">
        <v>397</v>
      </c>
      <c r="H1069" s="43">
        <v>44236</v>
      </c>
      <c r="I1069" s="42" t="s">
        <v>2047</v>
      </c>
      <c r="J1069" s="43">
        <v>44236</v>
      </c>
      <c r="K1069" s="42">
        <v>29.2</v>
      </c>
      <c r="L1069" s="42">
        <v>24.9</v>
      </c>
      <c r="M1069" s="48" t="s">
        <v>29</v>
      </c>
      <c r="N1069" s="42" t="s">
        <v>2057</v>
      </c>
      <c r="O1069" s="43">
        <v>44237</v>
      </c>
      <c r="P1069" s="42">
        <v>24.6</v>
      </c>
      <c r="Q1069" s="42">
        <v>29.3</v>
      </c>
      <c r="R1069" s="46" t="s">
        <v>29</v>
      </c>
      <c r="S1069" s="43">
        <v>44237</v>
      </c>
      <c r="T1069" s="51">
        <f t="shared" si="42"/>
        <v>3</v>
      </c>
      <c r="U1069" s="52" t="str">
        <f t="shared" si="41"/>
        <v>Detectável</v>
      </c>
    </row>
    <row r="1070" spans="1:21" ht="25.5" customHeight="1" x14ac:dyDescent="0.2">
      <c r="A1070" s="51">
        <v>1069</v>
      </c>
      <c r="B1070" s="50" t="s">
        <v>2059</v>
      </c>
      <c r="C1070" s="51">
        <v>25</v>
      </c>
      <c r="D1070" s="51" t="s">
        <v>25</v>
      </c>
      <c r="E1070" s="43">
        <v>44235</v>
      </c>
      <c r="F1070" s="44" t="s">
        <v>60</v>
      </c>
      <c r="G1070" s="51">
        <v>397</v>
      </c>
      <c r="H1070" s="43">
        <v>44236</v>
      </c>
      <c r="I1070" s="42" t="s">
        <v>2047</v>
      </c>
      <c r="J1070" s="43">
        <v>44236</v>
      </c>
      <c r="K1070" s="42">
        <v>29.2</v>
      </c>
      <c r="L1070" s="42">
        <v>24.9</v>
      </c>
      <c r="M1070" s="48" t="s">
        <v>29</v>
      </c>
      <c r="N1070" s="42" t="s">
        <v>2057</v>
      </c>
      <c r="O1070" s="43">
        <v>44237</v>
      </c>
      <c r="P1070" s="42" t="s">
        <v>36</v>
      </c>
      <c r="Q1070" s="42">
        <v>29.2</v>
      </c>
      <c r="R1070" s="46" t="s">
        <v>31</v>
      </c>
      <c r="S1070" s="43">
        <v>44237</v>
      </c>
      <c r="T1070" s="51">
        <f t="shared" si="42"/>
        <v>3</v>
      </c>
      <c r="U1070" s="52" t="str">
        <f t="shared" si="41"/>
        <v>Não Detectável</v>
      </c>
    </row>
    <row r="1071" spans="1:21" ht="25.5" customHeight="1" x14ac:dyDescent="0.2">
      <c r="A1071" s="51">
        <v>1070</v>
      </c>
      <c r="B1071" s="50" t="s">
        <v>2060</v>
      </c>
      <c r="C1071" s="51">
        <v>26</v>
      </c>
      <c r="D1071" s="51" t="s">
        <v>25</v>
      </c>
      <c r="E1071" s="43">
        <v>44235</v>
      </c>
      <c r="F1071" s="44" t="s">
        <v>60</v>
      </c>
      <c r="G1071" s="51">
        <v>398</v>
      </c>
      <c r="H1071" s="43">
        <v>44236</v>
      </c>
      <c r="I1071" s="42" t="s">
        <v>2057</v>
      </c>
      <c r="J1071" s="43">
        <v>44237</v>
      </c>
      <c r="K1071" s="42">
        <v>24.2</v>
      </c>
      <c r="L1071" s="42">
        <v>28.6</v>
      </c>
      <c r="M1071" s="48" t="s">
        <v>29</v>
      </c>
      <c r="N1071" s="42" t="s">
        <v>2061</v>
      </c>
      <c r="O1071" s="43">
        <v>44238</v>
      </c>
      <c r="P1071" s="42" t="s">
        <v>36</v>
      </c>
      <c r="Q1071" s="42">
        <v>29.5</v>
      </c>
      <c r="R1071" s="46" t="s">
        <v>31</v>
      </c>
      <c r="S1071" s="43">
        <v>44239</v>
      </c>
      <c r="T1071" s="51">
        <f t="shared" si="42"/>
        <v>3</v>
      </c>
      <c r="U1071" s="52" t="str">
        <f t="shared" si="41"/>
        <v>Não Detectável</v>
      </c>
    </row>
    <row r="1072" spans="1:21" ht="25.5" customHeight="1" x14ac:dyDescent="0.2">
      <c r="A1072" s="51">
        <v>1071</v>
      </c>
      <c r="B1072" s="50" t="s">
        <v>2062</v>
      </c>
      <c r="C1072" s="51">
        <v>24</v>
      </c>
      <c r="D1072" s="51" t="s">
        <v>25</v>
      </c>
      <c r="E1072" s="43">
        <v>44236</v>
      </c>
      <c r="F1072" s="44" t="s">
        <v>60</v>
      </c>
      <c r="G1072" s="51">
        <v>398</v>
      </c>
      <c r="H1072" s="43">
        <v>44237</v>
      </c>
      <c r="I1072" s="42" t="s">
        <v>2057</v>
      </c>
      <c r="J1072" s="43">
        <v>44237</v>
      </c>
      <c r="K1072" s="42">
        <v>24.2</v>
      </c>
      <c r="L1072" s="42">
        <v>28.6</v>
      </c>
      <c r="M1072" s="48" t="s">
        <v>29</v>
      </c>
      <c r="N1072" s="42" t="s">
        <v>2061</v>
      </c>
      <c r="O1072" s="43">
        <v>44238</v>
      </c>
      <c r="P1072" s="42" t="s">
        <v>36</v>
      </c>
      <c r="Q1072" s="42">
        <v>27.9</v>
      </c>
      <c r="R1072" s="46" t="s">
        <v>31</v>
      </c>
      <c r="S1072" s="43">
        <v>44239</v>
      </c>
      <c r="T1072" s="51">
        <f t="shared" si="42"/>
        <v>3</v>
      </c>
      <c r="U1072" s="52" t="str">
        <f t="shared" si="41"/>
        <v>Não Detectável</v>
      </c>
    </row>
    <row r="1073" spans="1:21" ht="25.5" customHeight="1" x14ac:dyDescent="0.2">
      <c r="A1073" s="51">
        <v>1072</v>
      </c>
      <c r="B1073" s="50" t="s">
        <v>2063</v>
      </c>
      <c r="C1073" s="51">
        <v>49</v>
      </c>
      <c r="D1073" s="51" t="s">
        <v>34</v>
      </c>
      <c r="E1073" s="43">
        <v>44236</v>
      </c>
      <c r="F1073" s="44" t="s">
        <v>60</v>
      </c>
      <c r="G1073" s="51">
        <v>398</v>
      </c>
      <c r="H1073" s="43">
        <v>44237</v>
      </c>
      <c r="I1073" s="42" t="s">
        <v>2057</v>
      </c>
      <c r="J1073" s="43">
        <v>44237</v>
      </c>
      <c r="K1073" s="42">
        <v>24.2</v>
      </c>
      <c r="L1073" s="42">
        <v>28.6</v>
      </c>
      <c r="M1073" s="48" t="s">
        <v>29</v>
      </c>
      <c r="N1073" s="42" t="s">
        <v>2061</v>
      </c>
      <c r="O1073" s="43">
        <v>44238</v>
      </c>
      <c r="P1073" s="42">
        <v>23.9</v>
      </c>
      <c r="Q1073" s="42">
        <v>28.6</v>
      </c>
      <c r="R1073" s="46" t="s">
        <v>29</v>
      </c>
      <c r="S1073" s="43">
        <v>44239</v>
      </c>
      <c r="T1073" s="51">
        <f t="shared" si="42"/>
        <v>3</v>
      </c>
      <c r="U1073" s="52" t="str">
        <f t="shared" si="41"/>
        <v>Detectável</v>
      </c>
    </row>
    <row r="1074" spans="1:21" ht="25.5" customHeight="1" x14ac:dyDescent="0.2">
      <c r="A1074" s="51">
        <v>1073</v>
      </c>
      <c r="B1074" s="50" t="s">
        <v>2064</v>
      </c>
      <c r="C1074" s="51">
        <v>65</v>
      </c>
      <c r="D1074" s="51" t="s">
        <v>34</v>
      </c>
      <c r="E1074" s="43">
        <v>44236</v>
      </c>
      <c r="F1074" s="44" t="s">
        <v>60</v>
      </c>
      <c r="G1074" s="51">
        <v>399</v>
      </c>
      <c r="H1074" s="43">
        <v>44237</v>
      </c>
      <c r="I1074" s="42" t="s">
        <v>2057</v>
      </c>
      <c r="J1074" s="43">
        <v>44237</v>
      </c>
      <c r="K1074" s="42">
        <v>18.7</v>
      </c>
      <c r="L1074" s="42">
        <v>28.4</v>
      </c>
      <c r="M1074" s="48" t="s">
        <v>29</v>
      </c>
      <c r="N1074" s="42" t="s">
        <v>2061</v>
      </c>
      <c r="O1074" s="43">
        <v>44238</v>
      </c>
      <c r="P1074" s="42">
        <v>21.2</v>
      </c>
      <c r="Q1074" s="42">
        <v>29.3</v>
      </c>
      <c r="R1074" s="46" t="s">
        <v>29</v>
      </c>
      <c r="S1074" s="43">
        <v>44239</v>
      </c>
      <c r="T1074" s="51">
        <f t="shared" si="42"/>
        <v>3</v>
      </c>
      <c r="U1074" s="52" t="str">
        <f t="shared" si="41"/>
        <v>Detectável</v>
      </c>
    </row>
    <row r="1075" spans="1:21" ht="25.5" customHeight="1" x14ac:dyDescent="0.2">
      <c r="A1075" s="51">
        <v>1074</v>
      </c>
      <c r="B1075" s="50" t="s">
        <v>2065</v>
      </c>
      <c r="C1075" s="51">
        <v>34</v>
      </c>
      <c r="D1075" s="51" t="s">
        <v>25</v>
      </c>
      <c r="E1075" s="43">
        <v>44236</v>
      </c>
      <c r="F1075" s="44" t="s">
        <v>60</v>
      </c>
      <c r="G1075" s="51">
        <v>399</v>
      </c>
      <c r="H1075" s="43">
        <v>44237</v>
      </c>
      <c r="I1075" s="42" t="s">
        <v>2057</v>
      </c>
      <c r="J1075" s="43">
        <v>44237</v>
      </c>
      <c r="K1075" s="42">
        <v>18.7</v>
      </c>
      <c r="L1075" s="42">
        <v>28.4</v>
      </c>
      <c r="M1075" s="48" t="s">
        <v>29</v>
      </c>
      <c r="N1075" s="42" t="s">
        <v>2061</v>
      </c>
      <c r="O1075" s="43">
        <v>44238</v>
      </c>
      <c r="P1075" s="42">
        <v>17.7</v>
      </c>
      <c r="Q1075" s="42">
        <v>27.8</v>
      </c>
      <c r="R1075" s="46" t="s">
        <v>29</v>
      </c>
      <c r="S1075" s="43">
        <v>44239</v>
      </c>
      <c r="T1075" s="51">
        <f t="shared" si="42"/>
        <v>3</v>
      </c>
      <c r="U1075" s="52" t="str">
        <f t="shared" si="41"/>
        <v>Detectável</v>
      </c>
    </row>
    <row r="1076" spans="1:21" ht="25.5" customHeight="1" x14ac:dyDescent="0.2">
      <c r="A1076" s="51">
        <v>1075</v>
      </c>
      <c r="B1076" s="50" t="s">
        <v>2066</v>
      </c>
      <c r="C1076" s="51">
        <v>25</v>
      </c>
      <c r="D1076" s="51" t="s">
        <v>2067</v>
      </c>
      <c r="E1076" s="43">
        <v>44236</v>
      </c>
      <c r="F1076" s="44" t="s">
        <v>60</v>
      </c>
      <c r="G1076" s="51">
        <v>399</v>
      </c>
      <c r="H1076" s="43">
        <v>44237</v>
      </c>
      <c r="I1076" s="42" t="s">
        <v>2057</v>
      </c>
      <c r="J1076" s="43">
        <v>44237</v>
      </c>
      <c r="K1076" s="42">
        <v>18.7</v>
      </c>
      <c r="L1076" s="42">
        <v>28.4</v>
      </c>
      <c r="M1076" s="48" t="s">
        <v>29</v>
      </c>
      <c r="N1076" s="42" t="s">
        <v>2061</v>
      </c>
      <c r="O1076" s="43">
        <v>44238</v>
      </c>
      <c r="P1076" s="42">
        <v>20.6</v>
      </c>
      <c r="Q1076" s="42">
        <v>28.4</v>
      </c>
      <c r="R1076" s="46" t="s">
        <v>29</v>
      </c>
      <c r="S1076" s="43">
        <v>44239</v>
      </c>
      <c r="T1076" s="51">
        <f t="shared" si="42"/>
        <v>3</v>
      </c>
      <c r="U1076" s="52" t="str">
        <f t="shared" ref="U1076:U1139" si="43">IF(M1076="Não Detectável","Não Detectável",IF(R1076="","",R1076))</f>
        <v>Detectável</v>
      </c>
    </row>
    <row r="1077" spans="1:21" ht="25.5" customHeight="1" x14ac:dyDescent="0.2">
      <c r="A1077" s="51">
        <v>1076</v>
      </c>
      <c r="B1077" s="50" t="s">
        <v>2068</v>
      </c>
      <c r="C1077" s="51">
        <v>21</v>
      </c>
      <c r="D1077" s="51" t="s">
        <v>34</v>
      </c>
      <c r="E1077" s="43">
        <v>44236</v>
      </c>
      <c r="F1077" s="44" t="s">
        <v>60</v>
      </c>
      <c r="G1077" s="51">
        <v>400</v>
      </c>
      <c r="H1077" s="43">
        <v>44237</v>
      </c>
      <c r="I1077" s="42" t="s">
        <v>2057</v>
      </c>
      <c r="J1077" s="43">
        <v>44237</v>
      </c>
      <c r="K1077" s="42">
        <v>16.5</v>
      </c>
      <c r="L1077" s="42">
        <v>28.8</v>
      </c>
      <c r="M1077" s="48" t="s">
        <v>29</v>
      </c>
      <c r="N1077" s="42" t="s">
        <v>2061</v>
      </c>
      <c r="O1077" s="43">
        <v>44238</v>
      </c>
      <c r="P1077" s="42">
        <v>36.200000000000003</v>
      </c>
      <c r="Q1077" s="42">
        <v>29.2</v>
      </c>
      <c r="R1077" s="46" t="s">
        <v>201</v>
      </c>
      <c r="S1077" s="43">
        <v>44239</v>
      </c>
      <c r="T1077" s="51">
        <f t="shared" ref="T1077:T1140" si="44">COUNTIF(G:G,G1077)</f>
        <v>3</v>
      </c>
      <c r="U1077" s="52" t="str">
        <f t="shared" si="43"/>
        <v>Inconclusivo</v>
      </c>
    </row>
    <row r="1078" spans="1:21" ht="25.5" customHeight="1" x14ac:dyDescent="0.2">
      <c r="A1078" s="51">
        <v>1077</v>
      </c>
      <c r="B1078" s="50" t="s">
        <v>2069</v>
      </c>
      <c r="C1078" s="51">
        <v>63</v>
      </c>
      <c r="D1078" s="51" t="s">
        <v>34</v>
      </c>
      <c r="E1078" s="43">
        <v>44236</v>
      </c>
      <c r="F1078" s="44" t="s">
        <v>60</v>
      </c>
      <c r="G1078" s="51">
        <v>400</v>
      </c>
      <c r="H1078" s="43">
        <v>44237</v>
      </c>
      <c r="I1078" s="42" t="s">
        <v>2057</v>
      </c>
      <c r="J1078" s="43">
        <v>44237</v>
      </c>
      <c r="K1078" s="42">
        <v>16.5</v>
      </c>
      <c r="L1078" s="42">
        <v>28.8</v>
      </c>
      <c r="M1078" s="48" t="s">
        <v>29</v>
      </c>
      <c r="N1078" s="42" t="s">
        <v>2061</v>
      </c>
      <c r="O1078" s="43">
        <v>44238</v>
      </c>
      <c r="P1078" s="42">
        <v>37.299999999999997</v>
      </c>
      <c r="Q1078" s="42">
        <v>29.1</v>
      </c>
      <c r="R1078" s="46" t="s">
        <v>201</v>
      </c>
      <c r="S1078" s="43">
        <v>44239</v>
      </c>
      <c r="T1078" s="51">
        <f t="shared" si="44"/>
        <v>3</v>
      </c>
      <c r="U1078" s="52" t="str">
        <f t="shared" si="43"/>
        <v>Inconclusivo</v>
      </c>
    </row>
    <row r="1079" spans="1:21" ht="25.5" customHeight="1" x14ac:dyDescent="0.2">
      <c r="A1079" s="51">
        <v>1078</v>
      </c>
      <c r="B1079" s="50" t="s">
        <v>2070</v>
      </c>
      <c r="C1079" s="51">
        <v>38</v>
      </c>
      <c r="D1079" s="51" t="s">
        <v>25</v>
      </c>
      <c r="E1079" s="43">
        <v>44236</v>
      </c>
      <c r="F1079" s="44" t="s">
        <v>60</v>
      </c>
      <c r="G1079" s="51">
        <v>400</v>
      </c>
      <c r="H1079" s="43">
        <v>44237</v>
      </c>
      <c r="I1079" s="42" t="s">
        <v>2057</v>
      </c>
      <c r="J1079" s="43">
        <v>44237</v>
      </c>
      <c r="K1079" s="42">
        <v>16.5</v>
      </c>
      <c r="L1079" s="42">
        <v>28.8</v>
      </c>
      <c r="M1079" s="48" t="s">
        <v>29</v>
      </c>
      <c r="N1079" s="42" t="s">
        <v>2061</v>
      </c>
      <c r="O1079" s="43">
        <v>44238</v>
      </c>
      <c r="P1079" s="42">
        <v>15.6</v>
      </c>
      <c r="Q1079" s="42">
        <v>29.2</v>
      </c>
      <c r="R1079" s="46" t="s">
        <v>29</v>
      </c>
      <c r="S1079" s="43">
        <v>44239</v>
      </c>
      <c r="T1079" s="51">
        <f t="shared" si="44"/>
        <v>3</v>
      </c>
      <c r="U1079" s="52" t="str">
        <f t="shared" si="43"/>
        <v>Detectável</v>
      </c>
    </row>
    <row r="1080" spans="1:21" ht="25.5" customHeight="1" x14ac:dyDescent="0.2">
      <c r="A1080" s="51">
        <v>1079</v>
      </c>
      <c r="B1080" s="50" t="s">
        <v>2071</v>
      </c>
      <c r="C1080" s="51">
        <v>44</v>
      </c>
      <c r="D1080" s="51" t="s">
        <v>25</v>
      </c>
      <c r="E1080" s="43">
        <v>44237</v>
      </c>
      <c r="F1080" s="44" t="s">
        <v>60</v>
      </c>
      <c r="G1080" s="51">
        <v>401</v>
      </c>
      <c r="H1080" s="43">
        <v>44238</v>
      </c>
      <c r="I1080" s="42" t="s">
        <v>2061</v>
      </c>
      <c r="J1080" s="43">
        <v>44238</v>
      </c>
      <c r="K1080" s="42">
        <v>18.899999999999999</v>
      </c>
      <c r="L1080" s="42">
        <v>29.1</v>
      </c>
      <c r="M1080" s="48" t="s">
        <v>29</v>
      </c>
      <c r="N1080" s="42" t="s">
        <v>2072</v>
      </c>
      <c r="O1080" s="43">
        <v>44239</v>
      </c>
      <c r="P1080" s="42">
        <v>16.899999999999999</v>
      </c>
      <c r="Q1080" s="42">
        <v>29.6</v>
      </c>
      <c r="R1080" s="46" t="s">
        <v>29</v>
      </c>
      <c r="S1080" s="43">
        <v>44239</v>
      </c>
      <c r="T1080" s="51">
        <f t="shared" si="44"/>
        <v>3</v>
      </c>
      <c r="U1080" s="52" t="str">
        <f t="shared" si="43"/>
        <v>Detectável</v>
      </c>
    </row>
    <row r="1081" spans="1:21" ht="25.5" customHeight="1" x14ac:dyDescent="0.2">
      <c r="A1081" s="51">
        <v>1080</v>
      </c>
      <c r="B1081" s="50" t="s">
        <v>2073</v>
      </c>
      <c r="C1081" s="51">
        <v>38</v>
      </c>
      <c r="D1081" s="51" t="s">
        <v>25</v>
      </c>
      <c r="E1081" s="43">
        <v>44237</v>
      </c>
      <c r="F1081" s="44" t="s">
        <v>60</v>
      </c>
      <c r="G1081" s="51">
        <v>401</v>
      </c>
      <c r="H1081" s="43">
        <v>44238</v>
      </c>
      <c r="I1081" s="42" t="s">
        <v>2061</v>
      </c>
      <c r="J1081" s="43">
        <v>44238</v>
      </c>
      <c r="K1081" s="42">
        <v>18.899999999999999</v>
      </c>
      <c r="L1081" s="42">
        <v>29.1</v>
      </c>
      <c r="M1081" s="48" t="s">
        <v>29</v>
      </c>
      <c r="N1081" s="42" t="s">
        <v>2072</v>
      </c>
      <c r="O1081" s="43">
        <v>44239</v>
      </c>
      <c r="P1081" s="42" t="s">
        <v>36</v>
      </c>
      <c r="Q1081" s="42">
        <v>28.8</v>
      </c>
      <c r="R1081" s="46" t="s">
        <v>31</v>
      </c>
      <c r="S1081" s="43">
        <v>44239</v>
      </c>
      <c r="T1081" s="51">
        <f t="shared" si="44"/>
        <v>3</v>
      </c>
      <c r="U1081" s="52" t="str">
        <f t="shared" si="43"/>
        <v>Não Detectável</v>
      </c>
    </row>
    <row r="1082" spans="1:21" ht="25.5" customHeight="1" x14ac:dyDescent="0.2">
      <c r="A1082" s="51">
        <v>1081</v>
      </c>
      <c r="B1082" s="50" t="s">
        <v>2074</v>
      </c>
      <c r="C1082" s="51">
        <v>38</v>
      </c>
      <c r="D1082" s="51" t="s">
        <v>25</v>
      </c>
      <c r="E1082" s="43">
        <v>44237</v>
      </c>
      <c r="F1082" s="44" t="s">
        <v>60</v>
      </c>
      <c r="G1082" s="51">
        <v>401</v>
      </c>
      <c r="H1082" s="43">
        <v>44238</v>
      </c>
      <c r="I1082" s="42" t="s">
        <v>2061</v>
      </c>
      <c r="J1082" s="43">
        <v>44238</v>
      </c>
      <c r="K1082" s="42">
        <v>18.899999999999999</v>
      </c>
      <c r="L1082" s="42">
        <v>29.1</v>
      </c>
      <c r="M1082" s="48" t="s">
        <v>29</v>
      </c>
      <c r="N1082" s="42" t="s">
        <v>2072</v>
      </c>
      <c r="O1082" s="43">
        <v>44239</v>
      </c>
      <c r="P1082" s="42" t="s">
        <v>36</v>
      </c>
      <c r="Q1082" s="42">
        <v>29.3</v>
      </c>
      <c r="R1082" s="46" t="s">
        <v>31</v>
      </c>
      <c r="S1082" s="43">
        <v>44239</v>
      </c>
      <c r="T1082" s="51">
        <f t="shared" si="44"/>
        <v>3</v>
      </c>
      <c r="U1082" s="52" t="str">
        <f t="shared" si="43"/>
        <v>Não Detectável</v>
      </c>
    </row>
    <row r="1083" spans="1:21" ht="25.5" customHeight="1" x14ac:dyDescent="0.2">
      <c r="A1083" s="51">
        <v>1082</v>
      </c>
      <c r="B1083" s="50" t="s">
        <v>2075</v>
      </c>
      <c r="C1083" s="51">
        <v>22</v>
      </c>
      <c r="D1083" s="51" t="s">
        <v>34</v>
      </c>
      <c r="E1083" s="43">
        <v>44237</v>
      </c>
      <c r="F1083" s="44" t="s">
        <v>60</v>
      </c>
      <c r="G1083" s="51">
        <v>402</v>
      </c>
      <c r="H1083" s="43">
        <v>44238</v>
      </c>
      <c r="I1083" s="42" t="s">
        <v>2061</v>
      </c>
      <c r="J1083" s="43">
        <v>44238</v>
      </c>
      <c r="K1083" s="42">
        <v>17.8</v>
      </c>
      <c r="L1083" s="42">
        <v>29.6</v>
      </c>
      <c r="M1083" s="48" t="s">
        <v>29</v>
      </c>
      <c r="N1083" s="42" t="s">
        <v>2072</v>
      </c>
      <c r="O1083" s="43">
        <v>44239</v>
      </c>
      <c r="P1083" s="42">
        <v>16.3</v>
      </c>
      <c r="Q1083" s="42">
        <v>30.4</v>
      </c>
      <c r="R1083" s="46" t="s">
        <v>29</v>
      </c>
      <c r="S1083" s="43">
        <v>44239</v>
      </c>
      <c r="T1083" s="51">
        <f t="shared" si="44"/>
        <v>3</v>
      </c>
      <c r="U1083" s="52" t="str">
        <f t="shared" si="43"/>
        <v>Detectável</v>
      </c>
    </row>
    <row r="1084" spans="1:21" ht="25.5" customHeight="1" x14ac:dyDescent="0.2">
      <c r="A1084" s="51">
        <v>1083</v>
      </c>
      <c r="B1084" s="50" t="s">
        <v>2076</v>
      </c>
      <c r="C1084" s="51">
        <v>33</v>
      </c>
      <c r="D1084" s="51" t="s">
        <v>34</v>
      </c>
      <c r="E1084" s="43">
        <v>44237</v>
      </c>
      <c r="F1084" s="44" t="s">
        <v>60</v>
      </c>
      <c r="G1084" s="51">
        <v>402</v>
      </c>
      <c r="H1084" s="43">
        <v>44238</v>
      </c>
      <c r="I1084" s="42" t="s">
        <v>2061</v>
      </c>
      <c r="J1084" s="43">
        <v>44238</v>
      </c>
      <c r="K1084" s="42">
        <v>17.8</v>
      </c>
      <c r="L1084" s="42">
        <v>29.6</v>
      </c>
      <c r="M1084" s="48" t="s">
        <v>29</v>
      </c>
      <c r="N1084" s="42" t="s">
        <v>2072</v>
      </c>
      <c r="O1084" s="43">
        <v>44239</v>
      </c>
      <c r="P1084" s="42" t="s">
        <v>36</v>
      </c>
      <c r="Q1084" s="42">
        <v>30.2</v>
      </c>
      <c r="R1084" s="46" t="s">
        <v>31</v>
      </c>
      <c r="S1084" s="43">
        <v>44239</v>
      </c>
      <c r="T1084" s="51">
        <f t="shared" si="44"/>
        <v>3</v>
      </c>
      <c r="U1084" s="52" t="str">
        <f t="shared" si="43"/>
        <v>Não Detectável</v>
      </c>
    </row>
    <row r="1085" spans="1:21" ht="25.5" customHeight="1" x14ac:dyDescent="0.2">
      <c r="A1085" s="51">
        <v>1084</v>
      </c>
      <c r="B1085" s="50" t="s">
        <v>2077</v>
      </c>
      <c r="C1085" s="51">
        <v>19</v>
      </c>
      <c r="D1085" s="51" t="s">
        <v>34</v>
      </c>
      <c r="E1085" s="43">
        <v>44237</v>
      </c>
      <c r="F1085" s="44" t="s">
        <v>60</v>
      </c>
      <c r="G1085" s="51">
        <v>402</v>
      </c>
      <c r="H1085" s="43">
        <v>44238</v>
      </c>
      <c r="I1085" s="42" t="s">
        <v>2061</v>
      </c>
      <c r="J1085" s="43">
        <v>44238</v>
      </c>
      <c r="K1085" s="42">
        <v>17.8</v>
      </c>
      <c r="L1085" s="42">
        <v>29.6</v>
      </c>
      <c r="M1085" s="48" t="s">
        <v>29</v>
      </c>
      <c r="N1085" s="42" t="s">
        <v>2072</v>
      </c>
      <c r="O1085" s="43">
        <v>44239</v>
      </c>
      <c r="P1085" s="42" t="s">
        <v>36</v>
      </c>
      <c r="Q1085" s="42">
        <v>32.200000000000003</v>
      </c>
      <c r="R1085" s="46" t="s">
        <v>31</v>
      </c>
      <c r="S1085" s="43">
        <v>44239</v>
      </c>
      <c r="T1085" s="51">
        <f t="shared" si="44"/>
        <v>3</v>
      </c>
      <c r="U1085" s="52" t="str">
        <f t="shared" si="43"/>
        <v>Não Detectável</v>
      </c>
    </row>
    <row r="1086" spans="1:21" ht="25.5" customHeight="1" x14ac:dyDescent="0.2">
      <c r="A1086" s="51">
        <v>1085</v>
      </c>
      <c r="B1086" s="50" t="s">
        <v>2078</v>
      </c>
      <c r="C1086" s="51">
        <v>21</v>
      </c>
      <c r="D1086" s="51" t="s">
        <v>34</v>
      </c>
      <c r="E1086" s="43">
        <v>44237</v>
      </c>
      <c r="F1086" s="44" t="s">
        <v>60</v>
      </c>
      <c r="G1086" s="51">
        <v>403</v>
      </c>
      <c r="H1086" s="43">
        <v>44238</v>
      </c>
      <c r="I1086" s="42" t="s">
        <v>2061</v>
      </c>
      <c r="J1086" s="43">
        <v>44238</v>
      </c>
      <c r="K1086" s="42">
        <v>26.8</v>
      </c>
      <c r="L1086" s="42">
        <v>29.2</v>
      </c>
      <c r="M1086" s="48" t="s">
        <v>29</v>
      </c>
      <c r="N1086" s="42" t="s">
        <v>2072</v>
      </c>
      <c r="O1086" s="43">
        <v>44239</v>
      </c>
      <c r="P1086" s="42" t="s">
        <v>36</v>
      </c>
      <c r="Q1086" s="42">
        <v>29.4</v>
      </c>
      <c r="R1086" s="46" t="s">
        <v>31</v>
      </c>
      <c r="S1086" s="43">
        <v>44239</v>
      </c>
      <c r="T1086" s="51">
        <f t="shared" si="44"/>
        <v>3</v>
      </c>
      <c r="U1086" s="52" t="str">
        <f t="shared" si="43"/>
        <v>Não Detectável</v>
      </c>
    </row>
    <row r="1087" spans="1:21" ht="25.5" customHeight="1" x14ac:dyDescent="0.2">
      <c r="A1087" s="51">
        <v>1086</v>
      </c>
      <c r="B1087" s="50" t="s">
        <v>2079</v>
      </c>
      <c r="C1087" s="51">
        <v>48</v>
      </c>
      <c r="D1087" s="51" t="s">
        <v>34</v>
      </c>
      <c r="E1087" s="43">
        <v>44237</v>
      </c>
      <c r="F1087" s="44" t="s">
        <v>60</v>
      </c>
      <c r="G1087" s="51">
        <v>403</v>
      </c>
      <c r="H1087" s="43">
        <v>44238</v>
      </c>
      <c r="I1087" s="42" t="s">
        <v>2061</v>
      </c>
      <c r="J1087" s="43">
        <v>44238</v>
      </c>
      <c r="K1087" s="42">
        <v>26.8</v>
      </c>
      <c r="L1087" s="42">
        <v>29.2</v>
      </c>
      <c r="M1087" s="48" t="s">
        <v>29</v>
      </c>
      <c r="N1087" s="42" t="s">
        <v>2072</v>
      </c>
      <c r="O1087" s="43">
        <v>44239</v>
      </c>
      <c r="P1087" s="42" t="s">
        <v>36</v>
      </c>
      <c r="Q1087" s="42">
        <v>29.7</v>
      </c>
      <c r="R1087" s="46" t="s">
        <v>31</v>
      </c>
      <c r="S1087" s="43">
        <v>44239</v>
      </c>
      <c r="T1087" s="51">
        <f t="shared" si="44"/>
        <v>3</v>
      </c>
      <c r="U1087" s="52" t="str">
        <f t="shared" si="43"/>
        <v>Não Detectável</v>
      </c>
    </row>
    <row r="1088" spans="1:21" ht="25.5" customHeight="1" x14ac:dyDescent="0.2">
      <c r="A1088" s="51">
        <v>1087</v>
      </c>
      <c r="B1088" s="50" t="s">
        <v>2080</v>
      </c>
      <c r="C1088" s="51">
        <v>46</v>
      </c>
      <c r="D1088" s="51" t="s">
        <v>25</v>
      </c>
      <c r="E1088" s="43">
        <v>44237</v>
      </c>
      <c r="F1088" s="44" t="s">
        <v>60</v>
      </c>
      <c r="G1088" s="51">
        <v>403</v>
      </c>
      <c r="H1088" s="43">
        <v>44238</v>
      </c>
      <c r="I1088" s="42" t="s">
        <v>2061</v>
      </c>
      <c r="J1088" s="43">
        <v>44238</v>
      </c>
      <c r="K1088" s="42">
        <v>26.8</v>
      </c>
      <c r="L1088" s="42">
        <v>29.2</v>
      </c>
      <c r="M1088" s="48" t="s">
        <v>29</v>
      </c>
      <c r="N1088" s="42" t="s">
        <v>2072</v>
      </c>
      <c r="O1088" s="43">
        <v>44239</v>
      </c>
      <c r="P1088" s="42">
        <v>25.4</v>
      </c>
      <c r="Q1088" s="42">
        <v>30.1</v>
      </c>
      <c r="R1088" s="46" t="s">
        <v>29</v>
      </c>
      <c r="S1088" s="43">
        <v>44239</v>
      </c>
      <c r="T1088" s="51">
        <f t="shared" si="44"/>
        <v>3</v>
      </c>
      <c r="U1088" s="52" t="str">
        <f t="shared" si="43"/>
        <v>Detectável</v>
      </c>
    </row>
    <row r="1089" spans="1:21" ht="25.5" customHeight="1" x14ac:dyDescent="0.2">
      <c r="A1089" s="51">
        <v>1088</v>
      </c>
      <c r="B1089" s="50" t="s">
        <v>2081</v>
      </c>
      <c r="C1089" s="51">
        <v>24</v>
      </c>
      <c r="D1089" s="51" t="s">
        <v>25</v>
      </c>
      <c r="E1089" s="43">
        <v>44237</v>
      </c>
      <c r="F1089" s="44" t="s">
        <v>60</v>
      </c>
      <c r="G1089" s="51">
        <v>404</v>
      </c>
      <c r="H1089" s="43">
        <v>44238</v>
      </c>
      <c r="I1089" s="42" t="s">
        <v>2061</v>
      </c>
      <c r="J1089" s="43">
        <v>44238</v>
      </c>
      <c r="K1089" s="42">
        <v>24.7</v>
      </c>
      <c r="L1089" s="42">
        <v>29.3</v>
      </c>
      <c r="M1089" s="48" t="s">
        <v>29</v>
      </c>
      <c r="N1089" s="42" t="s">
        <v>2072</v>
      </c>
      <c r="O1089" s="43">
        <v>44239</v>
      </c>
      <c r="P1089" s="42">
        <v>37.4</v>
      </c>
      <c r="Q1089" s="42">
        <v>29.6</v>
      </c>
      <c r="R1089" s="46" t="s">
        <v>201</v>
      </c>
      <c r="S1089" s="43">
        <v>44239</v>
      </c>
      <c r="T1089" s="51">
        <f t="shared" si="44"/>
        <v>3</v>
      </c>
      <c r="U1089" s="52" t="str">
        <f t="shared" si="43"/>
        <v>Inconclusivo</v>
      </c>
    </row>
    <row r="1090" spans="1:21" ht="25.5" customHeight="1" x14ac:dyDescent="0.2">
      <c r="A1090" s="51">
        <v>1089</v>
      </c>
      <c r="B1090" s="50" t="s">
        <v>2082</v>
      </c>
      <c r="C1090" s="51">
        <v>60</v>
      </c>
      <c r="D1090" s="51" t="s">
        <v>25</v>
      </c>
      <c r="E1090" s="43">
        <v>44237</v>
      </c>
      <c r="F1090" s="44" t="s">
        <v>60</v>
      </c>
      <c r="G1090" s="51">
        <v>404</v>
      </c>
      <c r="H1090" s="43">
        <v>44238</v>
      </c>
      <c r="I1090" s="42" t="s">
        <v>2061</v>
      </c>
      <c r="J1090" s="43">
        <v>44238</v>
      </c>
      <c r="K1090" s="42">
        <v>24.7</v>
      </c>
      <c r="L1090" s="42">
        <v>29.3</v>
      </c>
      <c r="M1090" s="48" t="s">
        <v>29</v>
      </c>
      <c r="N1090" s="42" t="s">
        <v>2072</v>
      </c>
      <c r="O1090" s="43">
        <v>44239</v>
      </c>
      <c r="P1090" s="42" t="s">
        <v>36</v>
      </c>
      <c r="Q1090" s="42">
        <v>30.2</v>
      </c>
      <c r="R1090" s="46" t="s">
        <v>31</v>
      </c>
      <c r="S1090" s="43">
        <v>44239</v>
      </c>
      <c r="T1090" s="51">
        <f t="shared" si="44"/>
        <v>3</v>
      </c>
      <c r="U1090" s="52" t="str">
        <f t="shared" si="43"/>
        <v>Não Detectável</v>
      </c>
    </row>
    <row r="1091" spans="1:21" ht="25.5" customHeight="1" x14ac:dyDescent="0.2">
      <c r="A1091" s="51">
        <v>1090</v>
      </c>
      <c r="B1091" s="50" t="s">
        <v>2083</v>
      </c>
      <c r="C1091" s="51">
        <v>54</v>
      </c>
      <c r="D1091" s="51" t="s">
        <v>25</v>
      </c>
      <c r="E1091" s="43">
        <v>44237</v>
      </c>
      <c r="F1091" s="44" t="s">
        <v>60</v>
      </c>
      <c r="G1091" s="51">
        <v>404</v>
      </c>
      <c r="H1091" s="43">
        <v>44238</v>
      </c>
      <c r="I1091" s="42" t="s">
        <v>2061</v>
      </c>
      <c r="J1091" s="43">
        <v>44238</v>
      </c>
      <c r="K1091" s="42">
        <v>24.7</v>
      </c>
      <c r="L1091" s="42">
        <v>29.3</v>
      </c>
      <c r="M1091" s="48" t="s">
        <v>29</v>
      </c>
      <c r="N1091" s="42" t="s">
        <v>2072</v>
      </c>
      <c r="O1091" s="43">
        <v>44239</v>
      </c>
      <c r="P1091" s="42" t="s">
        <v>36</v>
      </c>
      <c r="Q1091" s="42">
        <v>30.2</v>
      </c>
      <c r="R1091" s="46" t="s">
        <v>31</v>
      </c>
      <c r="S1091" s="43">
        <v>44239</v>
      </c>
      <c r="T1091" s="51">
        <f t="shared" si="44"/>
        <v>3</v>
      </c>
      <c r="U1091" s="52" t="str">
        <f t="shared" si="43"/>
        <v>Não Detectável</v>
      </c>
    </row>
    <row r="1092" spans="1:21" ht="25.5" customHeight="1" x14ac:dyDescent="0.2">
      <c r="A1092" s="51">
        <v>1091</v>
      </c>
      <c r="B1092" s="50" t="s">
        <v>2084</v>
      </c>
      <c r="C1092" s="51">
        <v>16</v>
      </c>
      <c r="D1092" s="51" t="s">
        <v>34</v>
      </c>
      <c r="E1092" s="43">
        <v>44237</v>
      </c>
      <c r="F1092" s="44" t="s">
        <v>60</v>
      </c>
      <c r="G1092" s="51">
        <v>405</v>
      </c>
      <c r="H1092" s="43">
        <v>44238</v>
      </c>
      <c r="I1092" s="42" t="s">
        <v>2061</v>
      </c>
      <c r="J1092" s="43">
        <v>44238</v>
      </c>
      <c r="K1092" s="42">
        <v>36.200000000000003</v>
      </c>
      <c r="L1092" s="42">
        <v>29.6</v>
      </c>
      <c r="M1092" s="48" t="s">
        <v>29</v>
      </c>
      <c r="N1092" s="42" t="s">
        <v>2072</v>
      </c>
      <c r="O1092" s="43">
        <v>44239</v>
      </c>
      <c r="P1092" s="42" t="s">
        <v>36</v>
      </c>
      <c r="Q1092" s="42">
        <v>30.6</v>
      </c>
      <c r="R1092" s="46" t="s">
        <v>31</v>
      </c>
      <c r="S1092" s="43">
        <v>44239</v>
      </c>
      <c r="T1092" s="51">
        <f t="shared" si="44"/>
        <v>3</v>
      </c>
      <c r="U1092" s="52" t="str">
        <f t="shared" si="43"/>
        <v>Não Detectável</v>
      </c>
    </row>
    <row r="1093" spans="1:21" ht="25.5" customHeight="1" x14ac:dyDescent="0.2">
      <c r="A1093" s="51">
        <v>1092</v>
      </c>
      <c r="B1093" s="50" t="s">
        <v>2085</v>
      </c>
      <c r="C1093" s="51">
        <v>76</v>
      </c>
      <c r="D1093" s="51" t="s">
        <v>34</v>
      </c>
      <c r="E1093" s="43">
        <v>44237</v>
      </c>
      <c r="F1093" s="44" t="s">
        <v>60</v>
      </c>
      <c r="G1093" s="51">
        <v>405</v>
      </c>
      <c r="H1093" s="43">
        <v>44238</v>
      </c>
      <c r="I1093" s="42" t="s">
        <v>2061</v>
      </c>
      <c r="J1093" s="43">
        <v>44238</v>
      </c>
      <c r="K1093" s="42">
        <v>36.200000000000003</v>
      </c>
      <c r="L1093" s="42">
        <v>29.6</v>
      </c>
      <c r="M1093" s="48" t="s">
        <v>29</v>
      </c>
      <c r="N1093" s="42" t="s">
        <v>2072</v>
      </c>
      <c r="O1093" s="43">
        <v>44239</v>
      </c>
      <c r="P1093" s="42">
        <v>35.299999999999997</v>
      </c>
      <c r="Q1093" s="42">
        <v>29.7</v>
      </c>
      <c r="R1093" s="46" t="s">
        <v>29</v>
      </c>
      <c r="S1093" s="43">
        <v>44239</v>
      </c>
      <c r="T1093" s="51">
        <f t="shared" si="44"/>
        <v>3</v>
      </c>
      <c r="U1093" s="52" t="str">
        <f t="shared" si="43"/>
        <v>Detectável</v>
      </c>
    </row>
    <row r="1094" spans="1:21" ht="25.5" customHeight="1" x14ac:dyDescent="0.2">
      <c r="A1094" s="51">
        <v>1093</v>
      </c>
      <c r="B1094" s="50" t="s">
        <v>2086</v>
      </c>
      <c r="C1094" s="51">
        <v>54</v>
      </c>
      <c r="D1094" s="51" t="s">
        <v>25</v>
      </c>
      <c r="E1094" s="43">
        <v>44237</v>
      </c>
      <c r="F1094" s="44" t="s">
        <v>60</v>
      </c>
      <c r="G1094" s="51">
        <v>405</v>
      </c>
      <c r="H1094" s="43">
        <v>44238</v>
      </c>
      <c r="I1094" s="42" t="s">
        <v>2061</v>
      </c>
      <c r="J1094" s="43">
        <v>44238</v>
      </c>
      <c r="K1094" s="42">
        <v>36.200000000000003</v>
      </c>
      <c r="L1094" s="42">
        <v>29.6</v>
      </c>
      <c r="M1094" s="48" t="s">
        <v>29</v>
      </c>
      <c r="N1094" s="42" t="s">
        <v>2072</v>
      </c>
      <c r="O1094" s="43">
        <v>44239</v>
      </c>
      <c r="P1094" s="42">
        <v>22.5</v>
      </c>
      <c r="Q1094" s="42">
        <v>29.5</v>
      </c>
      <c r="R1094" s="46" t="s">
        <v>29</v>
      </c>
      <c r="S1094" s="43">
        <v>44239</v>
      </c>
      <c r="T1094" s="51">
        <f t="shared" si="44"/>
        <v>3</v>
      </c>
      <c r="U1094" s="52" t="str">
        <f t="shared" si="43"/>
        <v>Detectável</v>
      </c>
    </row>
    <row r="1095" spans="1:21" ht="25.5" customHeight="1" x14ac:dyDescent="0.2">
      <c r="A1095" s="51">
        <v>1094</v>
      </c>
      <c r="B1095" s="50" t="s">
        <v>2087</v>
      </c>
      <c r="C1095" s="51">
        <v>22</v>
      </c>
      <c r="D1095" s="51" t="s">
        <v>34</v>
      </c>
      <c r="E1095" s="43">
        <v>44237</v>
      </c>
      <c r="F1095" s="44" t="s">
        <v>60</v>
      </c>
      <c r="G1095" s="51">
        <v>406</v>
      </c>
      <c r="H1095" s="43">
        <v>44238</v>
      </c>
      <c r="I1095" s="42" t="s">
        <v>2061</v>
      </c>
      <c r="J1095" s="43">
        <v>44238</v>
      </c>
      <c r="K1095" s="42">
        <v>19.5</v>
      </c>
      <c r="L1095" s="42">
        <v>28.9</v>
      </c>
      <c r="M1095" s="48" t="s">
        <v>29</v>
      </c>
      <c r="N1095" s="42" t="s">
        <v>2072</v>
      </c>
      <c r="O1095" s="43">
        <v>44239</v>
      </c>
      <c r="P1095" s="42">
        <v>21.6</v>
      </c>
      <c r="Q1095" s="42">
        <v>29.9</v>
      </c>
      <c r="R1095" s="46" t="s">
        <v>29</v>
      </c>
      <c r="S1095" s="43">
        <v>44239</v>
      </c>
      <c r="T1095" s="51">
        <f t="shared" si="44"/>
        <v>3</v>
      </c>
      <c r="U1095" s="52" t="str">
        <f t="shared" si="43"/>
        <v>Detectável</v>
      </c>
    </row>
    <row r="1096" spans="1:21" ht="25.5" customHeight="1" x14ac:dyDescent="0.2">
      <c r="A1096" s="51">
        <v>1095</v>
      </c>
      <c r="B1096" s="50" t="s">
        <v>2088</v>
      </c>
      <c r="C1096" s="51">
        <v>25</v>
      </c>
      <c r="D1096" s="51" t="s">
        <v>34</v>
      </c>
      <c r="E1096" s="43">
        <v>44237</v>
      </c>
      <c r="F1096" s="44" t="s">
        <v>60</v>
      </c>
      <c r="G1096" s="51">
        <v>406</v>
      </c>
      <c r="H1096" s="43">
        <v>44238</v>
      </c>
      <c r="I1096" s="42" t="s">
        <v>2061</v>
      </c>
      <c r="J1096" s="43">
        <v>44238</v>
      </c>
      <c r="K1096" s="42">
        <v>19.5</v>
      </c>
      <c r="L1096" s="42">
        <v>28.9</v>
      </c>
      <c r="M1096" s="48" t="s">
        <v>29</v>
      </c>
      <c r="N1096" s="42" t="s">
        <v>2072</v>
      </c>
      <c r="O1096" s="43">
        <v>44239</v>
      </c>
      <c r="P1096" s="42">
        <v>19.3</v>
      </c>
      <c r="Q1096" s="42">
        <v>29.7</v>
      </c>
      <c r="R1096" s="46" t="s">
        <v>29</v>
      </c>
      <c r="S1096" s="43">
        <v>44239</v>
      </c>
      <c r="T1096" s="51">
        <f t="shared" si="44"/>
        <v>3</v>
      </c>
      <c r="U1096" s="52" t="str">
        <f t="shared" si="43"/>
        <v>Detectável</v>
      </c>
    </row>
    <row r="1097" spans="1:21" ht="25.5" customHeight="1" x14ac:dyDescent="0.2">
      <c r="A1097" s="51">
        <v>1096</v>
      </c>
      <c r="B1097" s="50" t="s">
        <v>2089</v>
      </c>
      <c r="C1097" s="51">
        <v>39</v>
      </c>
      <c r="D1097" s="51" t="s">
        <v>34</v>
      </c>
      <c r="E1097" s="43">
        <v>44237</v>
      </c>
      <c r="F1097" s="44" t="s">
        <v>60</v>
      </c>
      <c r="G1097" s="51">
        <v>406</v>
      </c>
      <c r="H1097" s="43">
        <v>44238</v>
      </c>
      <c r="I1097" s="42" t="s">
        <v>2061</v>
      </c>
      <c r="J1097" s="43">
        <v>44238</v>
      </c>
      <c r="K1097" s="42">
        <v>19.5</v>
      </c>
      <c r="L1097" s="42">
        <v>28.9</v>
      </c>
      <c r="M1097" s="48" t="s">
        <v>29</v>
      </c>
      <c r="N1097" s="42" t="s">
        <v>2072</v>
      </c>
      <c r="O1097" s="43">
        <v>44239</v>
      </c>
      <c r="P1097" s="42" t="s">
        <v>36</v>
      </c>
      <c r="Q1097" s="42">
        <v>30.4</v>
      </c>
      <c r="R1097" s="46" t="s">
        <v>31</v>
      </c>
      <c r="S1097" s="43">
        <v>44239</v>
      </c>
      <c r="T1097" s="51">
        <f t="shared" si="44"/>
        <v>3</v>
      </c>
      <c r="U1097" s="52" t="str">
        <f t="shared" si="43"/>
        <v>Não Detectável</v>
      </c>
    </row>
    <row r="1098" spans="1:21" ht="25.5" customHeight="1" x14ac:dyDescent="0.2">
      <c r="A1098" s="51">
        <v>1097</v>
      </c>
      <c r="B1098" s="50" t="s">
        <v>2090</v>
      </c>
      <c r="C1098" s="51">
        <v>22</v>
      </c>
      <c r="D1098" s="51" t="s">
        <v>25</v>
      </c>
      <c r="E1098" s="43">
        <v>44237</v>
      </c>
      <c r="F1098" s="44" t="s">
        <v>60</v>
      </c>
      <c r="G1098" s="51">
        <v>407</v>
      </c>
      <c r="H1098" s="43">
        <v>44238</v>
      </c>
      <c r="I1098" s="42" t="s">
        <v>2072</v>
      </c>
      <c r="J1098" s="43">
        <v>44239</v>
      </c>
      <c r="K1098" s="42">
        <v>37</v>
      </c>
      <c r="L1098" s="42">
        <v>30.9</v>
      </c>
      <c r="M1098" s="48" t="s">
        <v>29</v>
      </c>
      <c r="N1098" s="42" t="s">
        <v>2091</v>
      </c>
      <c r="O1098" s="43">
        <v>44239</v>
      </c>
      <c r="P1098" s="42" t="s">
        <v>36</v>
      </c>
      <c r="Q1098" s="42">
        <v>30.1</v>
      </c>
      <c r="R1098" s="46" t="s">
        <v>31</v>
      </c>
      <c r="S1098" s="43">
        <v>44239</v>
      </c>
      <c r="T1098" s="51">
        <f t="shared" si="44"/>
        <v>3</v>
      </c>
      <c r="U1098" s="52" t="str">
        <f t="shared" si="43"/>
        <v>Não Detectável</v>
      </c>
    </row>
    <row r="1099" spans="1:21" ht="25.5" customHeight="1" x14ac:dyDescent="0.2">
      <c r="A1099" s="51">
        <v>1098</v>
      </c>
      <c r="B1099" s="50" t="s">
        <v>2092</v>
      </c>
      <c r="C1099" s="51">
        <v>43</v>
      </c>
      <c r="D1099" s="51" t="s">
        <v>25</v>
      </c>
      <c r="E1099" s="43">
        <v>44237</v>
      </c>
      <c r="F1099" s="44" t="s">
        <v>60</v>
      </c>
      <c r="G1099" s="51">
        <v>407</v>
      </c>
      <c r="H1099" s="43">
        <v>44238</v>
      </c>
      <c r="I1099" s="42" t="s">
        <v>2072</v>
      </c>
      <c r="J1099" s="43">
        <v>44239</v>
      </c>
      <c r="K1099" s="42">
        <v>37</v>
      </c>
      <c r="L1099" s="42">
        <v>30.9</v>
      </c>
      <c r="M1099" s="48" t="s">
        <v>29</v>
      </c>
      <c r="N1099" s="42" t="s">
        <v>2091</v>
      </c>
      <c r="O1099" s="43">
        <v>44239</v>
      </c>
      <c r="P1099" s="42" t="s">
        <v>36</v>
      </c>
      <c r="Q1099" s="42">
        <v>30</v>
      </c>
      <c r="R1099" s="46" t="s">
        <v>31</v>
      </c>
      <c r="S1099" s="43">
        <v>44239</v>
      </c>
      <c r="T1099" s="51">
        <f t="shared" si="44"/>
        <v>3</v>
      </c>
      <c r="U1099" s="52" t="str">
        <f t="shared" si="43"/>
        <v>Não Detectável</v>
      </c>
    </row>
    <row r="1100" spans="1:21" ht="25.5" customHeight="1" x14ac:dyDescent="0.2">
      <c r="A1100" s="51">
        <v>1099</v>
      </c>
      <c r="B1100" s="50" t="s">
        <v>2093</v>
      </c>
      <c r="C1100" s="51">
        <v>67</v>
      </c>
      <c r="D1100" s="51" t="s">
        <v>34</v>
      </c>
      <c r="E1100" s="43">
        <v>44238</v>
      </c>
      <c r="F1100" s="44" t="s">
        <v>60</v>
      </c>
      <c r="G1100" s="51">
        <v>407</v>
      </c>
      <c r="H1100" s="43">
        <v>44239</v>
      </c>
      <c r="I1100" s="42" t="s">
        <v>2072</v>
      </c>
      <c r="J1100" s="43">
        <v>44239</v>
      </c>
      <c r="K1100" s="42">
        <v>37</v>
      </c>
      <c r="L1100" s="42">
        <v>30.9</v>
      </c>
      <c r="M1100" s="48" t="s">
        <v>29</v>
      </c>
      <c r="N1100" s="42" t="s">
        <v>2091</v>
      </c>
      <c r="O1100" s="43">
        <v>44239</v>
      </c>
      <c r="P1100" s="42" t="s">
        <v>36</v>
      </c>
      <c r="Q1100" s="42">
        <v>31.5</v>
      </c>
      <c r="R1100" s="46" t="s">
        <v>31</v>
      </c>
      <c r="S1100" s="43">
        <v>44239</v>
      </c>
      <c r="T1100" s="51">
        <f t="shared" si="44"/>
        <v>3</v>
      </c>
      <c r="U1100" s="52" t="str">
        <f t="shared" si="43"/>
        <v>Não Detectável</v>
      </c>
    </row>
    <row r="1101" spans="1:21" ht="25.5" customHeight="1" x14ac:dyDescent="0.2">
      <c r="A1101" s="51">
        <v>1100</v>
      </c>
      <c r="B1101" s="50" t="s">
        <v>2094</v>
      </c>
      <c r="C1101" s="51">
        <v>27</v>
      </c>
      <c r="D1101" s="51" t="s">
        <v>25</v>
      </c>
      <c r="E1101" s="43">
        <v>44238</v>
      </c>
      <c r="F1101" s="44" t="s">
        <v>60</v>
      </c>
      <c r="G1101" s="51">
        <v>408</v>
      </c>
      <c r="H1101" s="43">
        <v>44239</v>
      </c>
      <c r="I1101" s="42" t="s">
        <v>2072</v>
      </c>
      <c r="J1101" s="43">
        <v>44239</v>
      </c>
      <c r="K1101" s="42" t="s">
        <v>36</v>
      </c>
      <c r="L1101" s="42">
        <v>30.3</v>
      </c>
      <c r="M1101" s="45" t="s">
        <v>31</v>
      </c>
      <c r="N1101" s="42" t="s">
        <v>60</v>
      </c>
      <c r="O1101" s="43" t="s">
        <v>60</v>
      </c>
      <c r="P1101" s="42" t="s">
        <v>60</v>
      </c>
      <c r="Q1101" s="42" t="s">
        <v>60</v>
      </c>
      <c r="R1101" s="46" t="s">
        <v>60</v>
      </c>
      <c r="S1101" s="43">
        <v>44239</v>
      </c>
      <c r="T1101" s="51">
        <f t="shared" si="44"/>
        <v>3</v>
      </c>
      <c r="U1101" s="52" t="str">
        <f t="shared" si="43"/>
        <v>Não Detectável</v>
      </c>
    </row>
    <row r="1102" spans="1:21" ht="25.5" customHeight="1" x14ac:dyDescent="0.2">
      <c r="A1102" s="51">
        <v>1101</v>
      </c>
      <c r="B1102" s="50" t="s">
        <v>2095</v>
      </c>
      <c r="C1102" s="51">
        <v>23</v>
      </c>
      <c r="D1102" s="51" t="s">
        <v>25</v>
      </c>
      <c r="E1102" s="43">
        <v>44238</v>
      </c>
      <c r="F1102" s="44" t="s">
        <v>60</v>
      </c>
      <c r="G1102" s="51">
        <v>408</v>
      </c>
      <c r="H1102" s="43">
        <v>44239</v>
      </c>
      <c r="I1102" s="42" t="s">
        <v>2072</v>
      </c>
      <c r="J1102" s="43">
        <v>44239</v>
      </c>
      <c r="K1102" s="42" t="s">
        <v>36</v>
      </c>
      <c r="L1102" s="42">
        <v>30.3</v>
      </c>
      <c r="M1102" s="45" t="s">
        <v>31</v>
      </c>
      <c r="N1102" s="42" t="s">
        <v>60</v>
      </c>
      <c r="O1102" s="43" t="s">
        <v>60</v>
      </c>
      <c r="P1102" s="42" t="s">
        <v>60</v>
      </c>
      <c r="Q1102" s="42" t="s">
        <v>60</v>
      </c>
      <c r="R1102" s="46" t="s">
        <v>60</v>
      </c>
      <c r="S1102" s="43">
        <v>44239</v>
      </c>
      <c r="T1102" s="51">
        <f t="shared" si="44"/>
        <v>3</v>
      </c>
      <c r="U1102" s="52" t="str">
        <f t="shared" si="43"/>
        <v>Não Detectável</v>
      </c>
    </row>
    <row r="1103" spans="1:21" ht="25.5" customHeight="1" x14ac:dyDescent="0.2">
      <c r="A1103" s="51">
        <v>1102</v>
      </c>
      <c r="B1103" s="50" t="s">
        <v>2096</v>
      </c>
      <c r="C1103" s="51">
        <v>28</v>
      </c>
      <c r="D1103" s="51" t="s">
        <v>25</v>
      </c>
      <c r="E1103" s="43">
        <v>44238</v>
      </c>
      <c r="F1103" s="44" t="s">
        <v>60</v>
      </c>
      <c r="G1103" s="51">
        <v>408</v>
      </c>
      <c r="H1103" s="43">
        <v>44239</v>
      </c>
      <c r="I1103" s="42" t="s">
        <v>2072</v>
      </c>
      <c r="J1103" s="43">
        <v>44239</v>
      </c>
      <c r="K1103" s="42" t="s">
        <v>36</v>
      </c>
      <c r="L1103" s="42">
        <v>30.3</v>
      </c>
      <c r="M1103" s="45" t="s">
        <v>31</v>
      </c>
      <c r="N1103" s="42" t="s">
        <v>60</v>
      </c>
      <c r="O1103" s="43" t="s">
        <v>60</v>
      </c>
      <c r="P1103" s="42" t="s">
        <v>60</v>
      </c>
      <c r="Q1103" s="42" t="s">
        <v>60</v>
      </c>
      <c r="R1103" s="46" t="s">
        <v>60</v>
      </c>
      <c r="S1103" s="43">
        <v>44239</v>
      </c>
      <c r="T1103" s="51">
        <f t="shared" si="44"/>
        <v>3</v>
      </c>
      <c r="U1103" s="52" t="str">
        <f t="shared" si="43"/>
        <v>Não Detectável</v>
      </c>
    </row>
    <row r="1104" spans="1:21" ht="25.5" customHeight="1" x14ac:dyDescent="0.2">
      <c r="A1104" s="51">
        <v>1103</v>
      </c>
      <c r="B1104" s="50" t="s">
        <v>2097</v>
      </c>
      <c r="C1104" s="51">
        <v>41</v>
      </c>
      <c r="D1104" s="51" t="s">
        <v>25</v>
      </c>
      <c r="E1104" s="43">
        <v>44238</v>
      </c>
      <c r="F1104" s="44" t="s">
        <v>60</v>
      </c>
      <c r="G1104" s="51">
        <v>409</v>
      </c>
      <c r="H1104" s="43">
        <v>44239</v>
      </c>
      <c r="I1104" s="42" t="s">
        <v>2072</v>
      </c>
      <c r="J1104" s="43">
        <v>44239</v>
      </c>
      <c r="K1104" s="42" t="s">
        <v>36</v>
      </c>
      <c r="L1104" s="42">
        <f>AVERAGE(29.338,29.384)</f>
        <v>29.361000000000001</v>
      </c>
      <c r="M1104" s="45" t="s">
        <v>31</v>
      </c>
      <c r="N1104" s="42" t="s">
        <v>60</v>
      </c>
      <c r="O1104" s="43" t="s">
        <v>60</v>
      </c>
      <c r="P1104" s="42" t="s">
        <v>60</v>
      </c>
      <c r="Q1104" s="42" t="s">
        <v>60</v>
      </c>
      <c r="R1104" s="46" t="s">
        <v>60</v>
      </c>
      <c r="S1104" s="43">
        <v>44239</v>
      </c>
      <c r="T1104" s="51">
        <f t="shared" si="44"/>
        <v>3</v>
      </c>
      <c r="U1104" s="52" t="str">
        <f t="shared" si="43"/>
        <v>Não Detectável</v>
      </c>
    </row>
    <row r="1105" spans="1:21" ht="25.5" customHeight="1" x14ac:dyDescent="0.2">
      <c r="A1105" s="51">
        <v>1104</v>
      </c>
      <c r="B1105" s="50" t="s">
        <v>2098</v>
      </c>
      <c r="C1105" s="51">
        <v>31</v>
      </c>
      <c r="D1105" s="51" t="s">
        <v>25</v>
      </c>
      <c r="E1105" s="43">
        <v>44238</v>
      </c>
      <c r="F1105" s="44" t="s">
        <v>60</v>
      </c>
      <c r="G1105" s="51">
        <v>409</v>
      </c>
      <c r="H1105" s="43">
        <v>44239</v>
      </c>
      <c r="I1105" s="42" t="s">
        <v>2072</v>
      </c>
      <c r="J1105" s="43">
        <v>44239</v>
      </c>
      <c r="K1105" s="42" t="s">
        <v>36</v>
      </c>
      <c r="L1105" s="42">
        <f>AVERAGE(29.338,29.384)</f>
        <v>29.361000000000001</v>
      </c>
      <c r="M1105" s="45" t="s">
        <v>31</v>
      </c>
      <c r="N1105" s="42" t="s">
        <v>60</v>
      </c>
      <c r="O1105" s="43" t="s">
        <v>60</v>
      </c>
      <c r="P1105" s="42" t="s">
        <v>60</v>
      </c>
      <c r="Q1105" s="42" t="s">
        <v>60</v>
      </c>
      <c r="R1105" s="46" t="s">
        <v>60</v>
      </c>
      <c r="S1105" s="43">
        <v>44239</v>
      </c>
      <c r="T1105" s="51">
        <f t="shared" si="44"/>
        <v>3</v>
      </c>
      <c r="U1105" s="52" t="str">
        <f t="shared" si="43"/>
        <v>Não Detectável</v>
      </c>
    </row>
    <row r="1106" spans="1:21" ht="25.5" customHeight="1" x14ac:dyDescent="0.2">
      <c r="A1106" s="51">
        <v>1105</v>
      </c>
      <c r="B1106" s="50" t="s">
        <v>2099</v>
      </c>
      <c r="C1106" s="51">
        <v>47</v>
      </c>
      <c r="D1106" s="51" t="s">
        <v>34</v>
      </c>
      <c r="E1106" s="43">
        <v>44238</v>
      </c>
      <c r="F1106" s="44" t="s">
        <v>60</v>
      </c>
      <c r="G1106" s="51">
        <v>409</v>
      </c>
      <c r="H1106" s="43">
        <v>44239</v>
      </c>
      <c r="I1106" s="42" t="s">
        <v>2072</v>
      </c>
      <c r="J1106" s="43">
        <v>44239</v>
      </c>
      <c r="K1106" s="42" t="s">
        <v>36</v>
      </c>
      <c r="L1106" s="42">
        <f>AVERAGE(29.338,29.384)</f>
        <v>29.361000000000001</v>
      </c>
      <c r="M1106" s="45" t="s">
        <v>31</v>
      </c>
      <c r="N1106" s="42" t="s">
        <v>60</v>
      </c>
      <c r="O1106" s="43" t="s">
        <v>60</v>
      </c>
      <c r="P1106" s="42" t="s">
        <v>60</v>
      </c>
      <c r="Q1106" s="42" t="s">
        <v>60</v>
      </c>
      <c r="R1106" s="46" t="s">
        <v>60</v>
      </c>
      <c r="S1106" s="43">
        <v>44239</v>
      </c>
      <c r="T1106" s="51">
        <f t="shared" si="44"/>
        <v>3</v>
      </c>
      <c r="U1106" s="52" t="str">
        <f t="shared" si="43"/>
        <v>Não Detectável</v>
      </c>
    </row>
    <row r="1107" spans="1:21" ht="25.5" customHeight="1" x14ac:dyDescent="0.2">
      <c r="A1107" s="51">
        <v>1106</v>
      </c>
      <c r="B1107" s="50" t="s">
        <v>2100</v>
      </c>
      <c r="C1107" s="51">
        <v>31</v>
      </c>
      <c r="D1107" s="51" t="s">
        <v>25</v>
      </c>
      <c r="E1107" s="43">
        <v>44238</v>
      </c>
      <c r="F1107" s="44" t="s">
        <v>60</v>
      </c>
      <c r="G1107" s="51">
        <v>410</v>
      </c>
      <c r="H1107" s="43">
        <v>44239</v>
      </c>
      <c r="I1107" s="42" t="s">
        <v>2101</v>
      </c>
      <c r="J1107" s="43">
        <v>44244</v>
      </c>
      <c r="K1107" s="42">
        <v>37</v>
      </c>
      <c r="L1107" s="42">
        <v>31</v>
      </c>
      <c r="M1107" s="48" t="s">
        <v>29</v>
      </c>
      <c r="N1107" s="42" t="s">
        <v>2102</v>
      </c>
      <c r="O1107" s="43">
        <v>44244</v>
      </c>
      <c r="P1107" s="42" t="s">
        <v>36</v>
      </c>
      <c r="Q1107" s="42">
        <v>30.1</v>
      </c>
      <c r="R1107" s="46" t="s">
        <v>31</v>
      </c>
      <c r="S1107" s="43">
        <v>44244</v>
      </c>
      <c r="T1107" s="51">
        <f t="shared" si="44"/>
        <v>3</v>
      </c>
      <c r="U1107" s="52" t="str">
        <f t="shared" si="43"/>
        <v>Não Detectável</v>
      </c>
    </row>
    <row r="1108" spans="1:21" ht="25.5" customHeight="1" x14ac:dyDescent="0.2">
      <c r="A1108" s="51">
        <v>1107</v>
      </c>
      <c r="B1108" s="50" t="s">
        <v>2103</v>
      </c>
      <c r="C1108" s="51">
        <v>24</v>
      </c>
      <c r="D1108" s="51" t="s">
        <v>34</v>
      </c>
      <c r="E1108" s="43">
        <v>44239</v>
      </c>
      <c r="F1108" s="44" t="s">
        <v>60</v>
      </c>
      <c r="G1108" s="51">
        <v>410</v>
      </c>
      <c r="H1108" s="43">
        <v>44239</v>
      </c>
      <c r="I1108" s="42" t="s">
        <v>2101</v>
      </c>
      <c r="J1108" s="43">
        <v>44244</v>
      </c>
      <c r="K1108" s="42">
        <v>37</v>
      </c>
      <c r="L1108" s="42">
        <v>31</v>
      </c>
      <c r="M1108" s="48" t="s">
        <v>29</v>
      </c>
      <c r="N1108" s="42" t="s">
        <v>2102</v>
      </c>
      <c r="O1108" s="43">
        <v>44244</v>
      </c>
      <c r="P1108" s="42">
        <v>37.6</v>
      </c>
      <c r="Q1108" s="42">
        <v>29.8</v>
      </c>
      <c r="R1108" s="46" t="s">
        <v>201</v>
      </c>
      <c r="S1108" s="43">
        <v>44244</v>
      </c>
      <c r="T1108" s="51">
        <f t="shared" si="44"/>
        <v>3</v>
      </c>
      <c r="U1108" s="52" t="str">
        <f t="shared" si="43"/>
        <v>Inconclusivo</v>
      </c>
    </row>
    <row r="1109" spans="1:21" ht="25.5" customHeight="1" x14ac:dyDescent="0.2">
      <c r="A1109" s="51">
        <v>1108</v>
      </c>
      <c r="B1109" s="50" t="s">
        <v>2104</v>
      </c>
      <c r="C1109" s="51">
        <v>41</v>
      </c>
      <c r="D1109" s="51" t="s">
        <v>34</v>
      </c>
      <c r="E1109" s="43">
        <v>44239</v>
      </c>
      <c r="F1109" s="44" t="s">
        <v>60</v>
      </c>
      <c r="G1109" s="51">
        <v>410</v>
      </c>
      <c r="H1109" s="43">
        <v>44239</v>
      </c>
      <c r="I1109" s="42" t="s">
        <v>2101</v>
      </c>
      <c r="J1109" s="43">
        <v>44244</v>
      </c>
      <c r="K1109" s="42">
        <v>37</v>
      </c>
      <c r="L1109" s="42">
        <v>31</v>
      </c>
      <c r="M1109" s="48" t="s">
        <v>29</v>
      </c>
      <c r="N1109" s="42" t="s">
        <v>2102</v>
      </c>
      <c r="O1109" s="43">
        <v>44244</v>
      </c>
      <c r="P1109" s="42" t="s">
        <v>36</v>
      </c>
      <c r="Q1109" s="42">
        <v>31.7</v>
      </c>
      <c r="R1109" s="46" t="s">
        <v>31</v>
      </c>
      <c r="S1109" s="43">
        <v>44244</v>
      </c>
      <c r="T1109" s="51">
        <f t="shared" si="44"/>
        <v>3</v>
      </c>
      <c r="U1109" s="52" t="str">
        <f t="shared" si="43"/>
        <v>Não Detectável</v>
      </c>
    </row>
    <row r="1110" spans="1:21" ht="25.5" customHeight="1" x14ac:dyDescent="0.2">
      <c r="A1110" s="51">
        <v>1109</v>
      </c>
      <c r="B1110" s="50" t="s">
        <v>2105</v>
      </c>
      <c r="C1110" s="51">
        <v>34</v>
      </c>
      <c r="D1110" s="51" t="s">
        <v>25</v>
      </c>
      <c r="E1110" s="43">
        <v>44239</v>
      </c>
      <c r="F1110" s="44" t="s">
        <v>60</v>
      </c>
      <c r="G1110" s="51">
        <v>411</v>
      </c>
      <c r="H1110" s="43">
        <v>44239</v>
      </c>
      <c r="I1110" s="42" t="s">
        <v>2101</v>
      </c>
      <c r="J1110" s="43">
        <v>44244</v>
      </c>
      <c r="K1110" s="42" t="s">
        <v>36</v>
      </c>
      <c r="L1110" s="42">
        <v>29.4</v>
      </c>
      <c r="M1110" s="45" t="s">
        <v>31</v>
      </c>
      <c r="N1110" s="42" t="s">
        <v>60</v>
      </c>
      <c r="O1110" s="43" t="s">
        <v>60</v>
      </c>
      <c r="P1110" s="42" t="s">
        <v>60</v>
      </c>
      <c r="Q1110" s="42" t="s">
        <v>60</v>
      </c>
      <c r="R1110" s="46" t="s">
        <v>60</v>
      </c>
      <c r="S1110" s="43">
        <v>44244</v>
      </c>
      <c r="T1110" s="51">
        <f t="shared" si="44"/>
        <v>3</v>
      </c>
      <c r="U1110" s="52" t="str">
        <f t="shared" si="43"/>
        <v>Não Detectável</v>
      </c>
    </row>
    <row r="1111" spans="1:21" ht="25.5" customHeight="1" x14ac:dyDescent="0.2">
      <c r="A1111" s="51">
        <v>1110</v>
      </c>
      <c r="B1111" s="50" t="s">
        <v>2106</v>
      </c>
      <c r="C1111" s="51">
        <v>55</v>
      </c>
      <c r="D1111" s="51" t="s">
        <v>25</v>
      </c>
      <c r="E1111" s="43">
        <v>44239</v>
      </c>
      <c r="F1111" s="44" t="s">
        <v>60</v>
      </c>
      <c r="G1111" s="51">
        <v>411</v>
      </c>
      <c r="H1111" s="43">
        <v>44239</v>
      </c>
      <c r="I1111" s="42" t="s">
        <v>2101</v>
      </c>
      <c r="J1111" s="43">
        <v>44244</v>
      </c>
      <c r="K1111" s="42" t="s">
        <v>36</v>
      </c>
      <c r="L1111" s="42">
        <v>29.4</v>
      </c>
      <c r="M1111" s="45" t="s">
        <v>31</v>
      </c>
      <c r="N1111" s="42" t="s">
        <v>60</v>
      </c>
      <c r="O1111" s="43" t="s">
        <v>60</v>
      </c>
      <c r="P1111" s="42" t="s">
        <v>60</v>
      </c>
      <c r="Q1111" s="42" t="s">
        <v>60</v>
      </c>
      <c r="R1111" s="46" t="s">
        <v>60</v>
      </c>
      <c r="S1111" s="43">
        <v>44244</v>
      </c>
      <c r="T1111" s="51">
        <f t="shared" si="44"/>
        <v>3</v>
      </c>
      <c r="U1111" s="52" t="str">
        <f t="shared" si="43"/>
        <v>Não Detectável</v>
      </c>
    </row>
    <row r="1112" spans="1:21" ht="25.5" customHeight="1" x14ac:dyDescent="0.2">
      <c r="A1112" s="51">
        <v>1111</v>
      </c>
      <c r="B1112" s="50" t="s">
        <v>2107</v>
      </c>
      <c r="C1112" s="51">
        <v>16</v>
      </c>
      <c r="D1112" s="51" t="s">
        <v>34</v>
      </c>
      <c r="E1112" s="43">
        <v>44239</v>
      </c>
      <c r="F1112" s="44" t="s">
        <v>60</v>
      </c>
      <c r="G1112" s="51">
        <v>411</v>
      </c>
      <c r="H1112" s="43">
        <v>44239</v>
      </c>
      <c r="I1112" s="42" t="s">
        <v>2101</v>
      </c>
      <c r="J1112" s="43">
        <v>44244</v>
      </c>
      <c r="K1112" s="42" t="s">
        <v>36</v>
      </c>
      <c r="L1112" s="42">
        <v>29.4</v>
      </c>
      <c r="M1112" s="45" t="s">
        <v>31</v>
      </c>
      <c r="N1112" s="42" t="s">
        <v>60</v>
      </c>
      <c r="O1112" s="43" t="s">
        <v>60</v>
      </c>
      <c r="P1112" s="42" t="s">
        <v>60</v>
      </c>
      <c r="Q1112" s="42" t="s">
        <v>60</v>
      </c>
      <c r="R1112" s="46" t="s">
        <v>60</v>
      </c>
      <c r="S1112" s="43">
        <v>44244</v>
      </c>
      <c r="T1112" s="51">
        <f t="shared" si="44"/>
        <v>3</v>
      </c>
      <c r="U1112" s="52" t="str">
        <f t="shared" si="43"/>
        <v>Não Detectável</v>
      </c>
    </row>
    <row r="1113" spans="1:21" ht="25.5" customHeight="1" x14ac:dyDescent="0.2">
      <c r="A1113" s="51">
        <v>1112</v>
      </c>
      <c r="B1113" s="50" t="s">
        <v>2108</v>
      </c>
      <c r="C1113" s="51">
        <v>44</v>
      </c>
      <c r="D1113" s="51" t="s">
        <v>25</v>
      </c>
      <c r="E1113" s="43">
        <v>44239</v>
      </c>
      <c r="F1113" s="44" t="s">
        <v>60</v>
      </c>
      <c r="G1113" s="51">
        <v>412</v>
      </c>
      <c r="H1113" s="43">
        <v>44239</v>
      </c>
      <c r="I1113" s="42" t="s">
        <v>2101</v>
      </c>
      <c r="J1113" s="43">
        <v>44244</v>
      </c>
      <c r="K1113" s="42">
        <v>17.7</v>
      </c>
      <c r="L1113" s="42">
        <v>30.1</v>
      </c>
      <c r="M1113" s="48" t="s">
        <v>29</v>
      </c>
      <c r="N1113" s="42" t="s">
        <v>2102</v>
      </c>
      <c r="O1113" s="43">
        <v>44244</v>
      </c>
      <c r="P1113" s="42" t="s">
        <v>36</v>
      </c>
      <c r="Q1113" s="42">
        <v>30.9</v>
      </c>
      <c r="R1113" s="46" t="s">
        <v>31</v>
      </c>
      <c r="S1113" s="43">
        <v>44244</v>
      </c>
      <c r="T1113" s="51">
        <f t="shared" si="44"/>
        <v>3</v>
      </c>
      <c r="U1113" s="52" t="str">
        <f t="shared" si="43"/>
        <v>Não Detectável</v>
      </c>
    </row>
    <row r="1114" spans="1:21" ht="25.5" customHeight="1" x14ac:dyDescent="0.2">
      <c r="A1114" s="51">
        <v>1113</v>
      </c>
      <c r="B1114" s="50" t="s">
        <v>2109</v>
      </c>
      <c r="C1114" s="51">
        <v>43</v>
      </c>
      <c r="D1114" s="51" t="s">
        <v>25</v>
      </c>
      <c r="E1114" s="43">
        <v>44239</v>
      </c>
      <c r="F1114" s="44" t="s">
        <v>60</v>
      </c>
      <c r="G1114" s="51">
        <v>412</v>
      </c>
      <c r="H1114" s="43">
        <v>44239</v>
      </c>
      <c r="I1114" s="42" t="s">
        <v>2101</v>
      </c>
      <c r="J1114" s="43">
        <v>44244</v>
      </c>
      <c r="K1114" s="42">
        <v>17.7</v>
      </c>
      <c r="L1114" s="42">
        <v>30.1</v>
      </c>
      <c r="M1114" s="48" t="s">
        <v>29</v>
      </c>
      <c r="N1114" s="42" t="s">
        <v>2102</v>
      </c>
      <c r="O1114" s="43">
        <v>44244</v>
      </c>
      <c r="P1114" s="42">
        <v>36.299999999999997</v>
      </c>
      <c r="Q1114" s="42">
        <v>29.4</v>
      </c>
      <c r="R1114" s="46" t="s">
        <v>201</v>
      </c>
      <c r="S1114" s="43">
        <v>44244</v>
      </c>
      <c r="T1114" s="51">
        <f t="shared" si="44"/>
        <v>3</v>
      </c>
      <c r="U1114" s="52" t="str">
        <f t="shared" si="43"/>
        <v>Inconclusivo</v>
      </c>
    </row>
    <row r="1115" spans="1:21" ht="25.5" customHeight="1" x14ac:dyDescent="0.2">
      <c r="A1115" s="51">
        <v>1114</v>
      </c>
      <c r="B1115" s="50" t="s">
        <v>2110</v>
      </c>
      <c r="C1115" s="51">
        <v>58</v>
      </c>
      <c r="D1115" s="51" t="s">
        <v>25</v>
      </c>
      <c r="E1115" s="43">
        <v>44239</v>
      </c>
      <c r="F1115" s="44" t="s">
        <v>60</v>
      </c>
      <c r="G1115" s="51">
        <v>412</v>
      </c>
      <c r="H1115" s="43">
        <v>44239</v>
      </c>
      <c r="I1115" s="42" t="s">
        <v>2101</v>
      </c>
      <c r="J1115" s="43">
        <v>44244</v>
      </c>
      <c r="K1115" s="42">
        <v>17.7</v>
      </c>
      <c r="L1115" s="42">
        <v>30.1</v>
      </c>
      <c r="M1115" s="48" t="s">
        <v>29</v>
      </c>
      <c r="N1115" s="42" t="s">
        <v>2102</v>
      </c>
      <c r="O1115" s="43">
        <v>44244</v>
      </c>
      <c r="P1115" s="42">
        <v>17.399999999999999</v>
      </c>
      <c r="Q1115" s="42">
        <v>30</v>
      </c>
      <c r="R1115" s="46" t="s">
        <v>29</v>
      </c>
      <c r="S1115" s="43">
        <v>44244</v>
      </c>
      <c r="T1115" s="51">
        <f t="shared" si="44"/>
        <v>3</v>
      </c>
      <c r="U1115" s="52" t="str">
        <f t="shared" si="43"/>
        <v>Detectável</v>
      </c>
    </row>
    <row r="1116" spans="1:21" ht="25.5" customHeight="1" x14ac:dyDescent="0.2">
      <c r="A1116" s="51">
        <v>1115</v>
      </c>
      <c r="B1116" s="50" t="s">
        <v>2111</v>
      </c>
      <c r="C1116" s="51">
        <v>27</v>
      </c>
      <c r="D1116" s="51" t="s">
        <v>34</v>
      </c>
      <c r="E1116" s="43" t="s">
        <v>2112</v>
      </c>
      <c r="F1116" s="44" t="s">
        <v>60</v>
      </c>
      <c r="G1116" s="51">
        <v>413</v>
      </c>
      <c r="H1116" s="43">
        <v>44245</v>
      </c>
      <c r="I1116" s="42" t="s">
        <v>2113</v>
      </c>
      <c r="J1116" s="43">
        <v>44245</v>
      </c>
      <c r="K1116" s="42">
        <v>20.6</v>
      </c>
      <c r="L1116" s="42">
        <v>29</v>
      </c>
      <c r="M1116" s="48" t="s">
        <v>29</v>
      </c>
      <c r="N1116" s="42" t="s">
        <v>2114</v>
      </c>
      <c r="O1116" s="43">
        <v>44245</v>
      </c>
      <c r="P1116" s="42" t="s">
        <v>36</v>
      </c>
      <c r="Q1116" s="42">
        <v>29.8</v>
      </c>
      <c r="R1116" s="46" t="s">
        <v>31</v>
      </c>
      <c r="S1116" s="43">
        <v>44245</v>
      </c>
      <c r="T1116" s="51">
        <f t="shared" si="44"/>
        <v>3</v>
      </c>
      <c r="U1116" s="52" t="str">
        <f t="shared" si="43"/>
        <v>Não Detectável</v>
      </c>
    </row>
    <row r="1117" spans="1:21" ht="25.5" customHeight="1" x14ac:dyDescent="0.2">
      <c r="A1117" s="51">
        <v>1116</v>
      </c>
      <c r="B1117" s="50" t="s">
        <v>2115</v>
      </c>
      <c r="C1117" s="51">
        <v>30</v>
      </c>
      <c r="D1117" s="51" t="s">
        <v>25</v>
      </c>
      <c r="E1117" s="43" t="s">
        <v>2112</v>
      </c>
      <c r="F1117" s="44" t="s">
        <v>60</v>
      </c>
      <c r="G1117" s="51">
        <v>413</v>
      </c>
      <c r="H1117" s="43">
        <v>44245</v>
      </c>
      <c r="I1117" s="42" t="s">
        <v>2113</v>
      </c>
      <c r="J1117" s="43">
        <v>44245</v>
      </c>
      <c r="K1117" s="42">
        <v>20.6</v>
      </c>
      <c r="L1117" s="42">
        <v>29</v>
      </c>
      <c r="M1117" s="48" t="s">
        <v>29</v>
      </c>
      <c r="N1117" s="42" t="s">
        <v>2114</v>
      </c>
      <c r="O1117" s="43">
        <v>44245</v>
      </c>
      <c r="P1117" s="42" t="s">
        <v>36</v>
      </c>
      <c r="Q1117" s="42">
        <v>29.6</v>
      </c>
      <c r="R1117" s="46" t="s">
        <v>31</v>
      </c>
      <c r="S1117" s="43">
        <v>44245</v>
      </c>
      <c r="T1117" s="51">
        <f t="shared" si="44"/>
        <v>3</v>
      </c>
      <c r="U1117" s="52" t="str">
        <f t="shared" si="43"/>
        <v>Não Detectável</v>
      </c>
    </row>
    <row r="1118" spans="1:21" ht="25.5" customHeight="1" x14ac:dyDescent="0.2">
      <c r="A1118" s="51">
        <v>1117</v>
      </c>
      <c r="B1118" s="50" t="s">
        <v>2116</v>
      </c>
      <c r="C1118" s="51">
        <v>37</v>
      </c>
      <c r="D1118" s="51" t="s">
        <v>34</v>
      </c>
      <c r="E1118" s="43" t="s">
        <v>2112</v>
      </c>
      <c r="F1118" s="44" t="s">
        <v>60</v>
      </c>
      <c r="G1118" s="51">
        <v>413</v>
      </c>
      <c r="H1118" s="43">
        <v>44245</v>
      </c>
      <c r="I1118" s="42" t="s">
        <v>2113</v>
      </c>
      <c r="J1118" s="43">
        <v>44245</v>
      </c>
      <c r="K1118" s="42">
        <v>20.6</v>
      </c>
      <c r="L1118" s="42">
        <v>29</v>
      </c>
      <c r="M1118" s="48" t="s">
        <v>29</v>
      </c>
      <c r="N1118" s="42" t="s">
        <v>2114</v>
      </c>
      <c r="O1118" s="43">
        <v>44245</v>
      </c>
      <c r="P1118" s="42">
        <v>19.8</v>
      </c>
      <c r="Q1118" s="42">
        <v>30.2</v>
      </c>
      <c r="R1118" s="46" t="s">
        <v>29</v>
      </c>
      <c r="S1118" s="43">
        <v>44245</v>
      </c>
      <c r="T1118" s="51">
        <f t="shared" si="44"/>
        <v>3</v>
      </c>
      <c r="U1118" s="52" t="str">
        <f t="shared" si="43"/>
        <v>Detectável</v>
      </c>
    </row>
    <row r="1119" spans="1:21" ht="25.5" customHeight="1" x14ac:dyDescent="0.2">
      <c r="A1119" s="51">
        <v>1118</v>
      </c>
      <c r="B1119" s="50" t="s">
        <v>2117</v>
      </c>
      <c r="C1119" s="51">
        <v>38</v>
      </c>
      <c r="D1119" s="51" t="s">
        <v>25</v>
      </c>
      <c r="E1119" s="43" t="s">
        <v>2112</v>
      </c>
      <c r="F1119" s="44" t="s">
        <v>60</v>
      </c>
      <c r="G1119" s="51">
        <v>414</v>
      </c>
      <c r="H1119" s="43">
        <v>44245</v>
      </c>
      <c r="I1119" s="42" t="s">
        <v>2113</v>
      </c>
      <c r="J1119" s="43">
        <v>44245</v>
      </c>
      <c r="K1119" s="42">
        <v>17.3</v>
      </c>
      <c r="L1119" s="42">
        <v>29.1</v>
      </c>
      <c r="M1119" s="48" t="s">
        <v>29</v>
      </c>
      <c r="N1119" s="42" t="s">
        <v>2114</v>
      </c>
      <c r="O1119" s="43">
        <v>44245</v>
      </c>
      <c r="P1119" s="42">
        <v>18.8</v>
      </c>
      <c r="Q1119" s="42">
        <v>30</v>
      </c>
      <c r="R1119" s="46" t="s">
        <v>29</v>
      </c>
      <c r="S1119" s="43">
        <v>44245</v>
      </c>
      <c r="T1119" s="51">
        <f t="shared" si="44"/>
        <v>3</v>
      </c>
      <c r="U1119" s="52" t="str">
        <f t="shared" si="43"/>
        <v>Detectável</v>
      </c>
    </row>
    <row r="1120" spans="1:21" ht="25.5" customHeight="1" x14ac:dyDescent="0.2">
      <c r="A1120" s="51">
        <v>1119</v>
      </c>
      <c r="B1120" s="50" t="s">
        <v>2118</v>
      </c>
      <c r="C1120" s="51">
        <v>58</v>
      </c>
      <c r="D1120" s="51" t="s">
        <v>25</v>
      </c>
      <c r="E1120" s="43" t="s">
        <v>2112</v>
      </c>
      <c r="F1120" s="44" t="s">
        <v>60</v>
      </c>
      <c r="G1120" s="51">
        <v>414</v>
      </c>
      <c r="H1120" s="43">
        <v>44245</v>
      </c>
      <c r="I1120" s="42" t="s">
        <v>2113</v>
      </c>
      <c r="J1120" s="43">
        <v>44245</v>
      </c>
      <c r="K1120" s="42">
        <v>17.3</v>
      </c>
      <c r="L1120" s="42">
        <v>29.1</v>
      </c>
      <c r="M1120" s="48" t="s">
        <v>29</v>
      </c>
      <c r="N1120" s="42" t="s">
        <v>2114</v>
      </c>
      <c r="O1120" s="43">
        <v>44245</v>
      </c>
      <c r="P1120" s="42">
        <v>17.5</v>
      </c>
      <c r="Q1120" s="42">
        <v>29.9</v>
      </c>
      <c r="R1120" s="46" t="s">
        <v>29</v>
      </c>
      <c r="S1120" s="43">
        <v>44245</v>
      </c>
      <c r="T1120" s="51">
        <f t="shared" si="44"/>
        <v>3</v>
      </c>
      <c r="U1120" s="52" t="str">
        <f t="shared" si="43"/>
        <v>Detectável</v>
      </c>
    </row>
    <row r="1121" spans="1:21" ht="25.5" customHeight="1" x14ac:dyDescent="0.2">
      <c r="A1121" s="51">
        <v>1120</v>
      </c>
      <c r="B1121" s="50" t="s">
        <v>2119</v>
      </c>
      <c r="C1121" s="51">
        <v>50</v>
      </c>
      <c r="D1121" s="51" t="s">
        <v>34</v>
      </c>
      <c r="E1121" s="43" t="s">
        <v>2112</v>
      </c>
      <c r="F1121" s="44" t="s">
        <v>60</v>
      </c>
      <c r="G1121" s="51">
        <v>414</v>
      </c>
      <c r="H1121" s="43">
        <v>44245</v>
      </c>
      <c r="I1121" s="42" t="s">
        <v>2113</v>
      </c>
      <c r="J1121" s="43">
        <v>44245</v>
      </c>
      <c r="K1121" s="42">
        <v>17.3</v>
      </c>
      <c r="L1121" s="42">
        <v>29.1</v>
      </c>
      <c r="M1121" s="48" t="s">
        <v>29</v>
      </c>
      <c r="N1121" s="42" t="s">
        <v>2114</v>
      </c>
      <c r="O1121" s="43">
        <v>44245</v>
      </c>
      <c r="P1121" s="42" t="s">
        <v>36</v>
      </c>
      <c r="Q1121" s="42">
        <v>31.3</v>
      </c>
      <c r="R1121" s="46" t="s">
        <v>31</v>
      </c>
      <c r="S1121" s="43">
        <v>44245</v>
      </c>
      <c r="T1121" s="51">
        <f t="shared" si="44"/>
        <v>3</v>
      </c>
      <c r="U1121" s="52" t="str">
        <f t="shared" si="43"/>
        <v>Não Detectável</v>
      </c>
    </row>
    <row r="1122" spans="1:21" ht="25.5" customHeight="1" x14ac:dyDescent="0.2">
      <c r="A1122" s="51">
        <v>1121</v>
      </c>
      <c r="B1122" s="50" t="s">
        <v>2120</v>
      </c>
      <c r="C1122" s="51">
        <v>37</v>
      </c>
      <c r="D1122" s="51" t="s">
        <v>25</v>
      </c>
      <c r="E1122" s="43" t="s">
        <v>2112</v>
      </c>
      <c r="F1122" s="44" t="s">
        <v>60</v>
      </c>
      <c r="G1122" s="51">
        <v>415</v>
      </c>
      <c r="H1122" s="43">
        <v>44245</v>
      </c>
      <c r="I1122" s="42" t="s">
        <v>2121</v>
      </c>
      <c r="J1122" s="43">
        <v>44246</v>
      </c>
      <c r="K1122" s="42">
        <v>26.6</v>
      </c>
      <c r="L1122" s="42">
        <v>28.2</v>
      </c>
      <c r="M1122" s="48" t="s">
        <v>29</v>
      </c>
      <c r="N1122" s="42" t="s">
        <v>2114</v>
      </c>
      <c r="O1122" s="43">
        <v>44245</v>
      </c>
      <c r="P1122" s="42" t="s">
        <v>36</v>
      </c>
      <c r="Q1122" s="42">
        <v>28.6</v>
      </c>
      <c r="R1122" s="46" t="s">
        <v>31</v>
      </c>
      <c r="S1122" s="43">
        <v>44245</v>
      </c>
      <c r="T1122" s="51">
        <f t="shared" si="44"/>
        <v>3</v>
      </c>
      <c r="U1122" s="52" t="str">
        <f t="shared" si="43"/>
        <v>Não Detectável</v>
      </c>
    </row>
    <row r="1123" spans="1:21" ht="25.5" customHeight="1" x14ac:dyDescent="0.2">
      <c r="A1123" s="51">
        <v>1122</v>
      </c>
      <c r="B1123" s="50" t="s">
        <v>2122</v>
      </c>
      <c r="C1123" s="51">
        <v>27</v>
      </c>
      <c r="D1123" s="51" t="s">
        <v>25</v>
      </c>
      <c r="E1123" s="43" t="s">
        <v>2112</v>
      </c>
      <c r="F1123" s="44" t="s">
        <v>60</v>
      </c>
      <c r="G1123" s="51">
        <v>415</v>
      </c>
      <c r="H1123" s="43">
        <v>44245</v>
      </c>
      <c r="I1123" s="42" t="s">
        <v>2121</v>
      </c>
      <c r="J1123" s="43">
        <v>44246</v>
      </c>
      <c r="K1123" s="42">
        <v>26.6</v>
      </c>
      <c r="L1123" s="42">
        <v>28.2</v>
      </c>
      <c r="M1123" s="48" t="s">
        <v>29</v>
      </c>
      <c r="N1123" s="42" t="s">
        <v>2114</v>
      </c>
      <c r="O1123" s="43">
        <v>44245</v>
      </c>
      <c r="P1123" s="42" t="s">
        <v>36</v>
      </c>
      <c r="Q1123" s="42">
        <v>29.6</v>
      </c>
      <c r="R1123" s="46" t="s">
        <v>31</v>
      </c>
      <c r="S1123" s="43">
        <v>44245</v>
      </c>
      <c r="T1123" s="51">
        <f t="shared" si="44"/>
        <v>3</v>
      </c>
      <c r="U1123" s="52" t="str">
        <f t="shared" si="43"/>
        <v>Não Detectável</v>
      </c>
    </row>
    <row r="1124" spans="1:21" ht="25.5" customHeight="1" x14ac:dyDescent="0.2">
      <c r="A1124" s="51">
        <v>1123</v>
      </c>
      <c r="B1124" s="50" t="s">
        <v>2123</v>
      </c>
      <c r="C1124" s="51">
        <v>31</v>
      </c>
      <c r="D1124" s="51" t="s">
        <v>25</v>
      </c>
      <c r="E1124" s="43" t="s">
        <v>2112</v>
      </c>
      <c r="F1124" s="44" t="s">
        <v>60</v>
      </c>
      <c r="G1124" s="51">
        <v>415</v>
      </c>
      <c r="H1124" s="43">
        <v>44245</v>
      </c>
      <c r="I1124" s="42" t="s">
        <v>2121</v>
      </c>
      <c r="J1124" s="43">
        <v>44246</v>
      </c>
      <c r="K1124" s="42">
        <v>26.6</v>
      </c>
      <c r="L1124" s="42">
        <v>28.2</v>
      </c>
      <c r="M1124" s="48" t="s">
        <v>29</v>
      </c>
      <c r="N1124" s="42" t="s">
        <v>2114</v>
      </c>
      <c r="O1124" s="43">
        <v>44245</v>
      </c>
      <c r="P1124" s="42">
        <v>24.5</v>
      </c>
      <c r="Q1124" s="42">
        <v>28</v>
      </c>
      <c r="R1124" s="46" t="s">
        <v>29</v>
      </c>
      <c r="S1124" s="43">
        <v>44245</v>
      </c>
      <c r="T1124" s="51">
        <f t="shared" si="44"/>
        <v>3</v>
      </c>
      <c r="U1124" s="52" t="str">
        <f t="shared" si="43"/>
        <v>Detectável</v>
      </c>
    </row>
    <row r="1125" spans="1:21" ht="25.5" customHeight="1" x14ac:dyDescent="0.2">
      <c r="A1125" s="51">
        <v>1124</v>
      </c>
      <c r="B1125" s="50" t="s">
        <v>2124</v>
      </c>
      <c r="C1125" s="51">
        <v>62</v>
      </c>
      <c r="D1125" s="51" t="s">
        <v>25</v>
      </c>
      <c r="E1125" s="43" t="s">
        <v>2125</v>
      </c>
      <c r="F1125" s="44" t="s">
        <v>60</v>
      </c>
      <c r="G1125" s="51">
        <v>416</v>
      </c>
      <c r="H1125" s="43">
        <v>44246</v>
      </c>
      <c r="I1125" s="42" t="s">
        <v>2121</v>
      </c>
      <c r="J1125" s="43">
        <v>44246</v>
      </c>
      <c r="K1125" s="42">
        <v>31.6</v>
      </c>
      <c r="L1125" s="42">
        <v>29.1</v>
      </c>
      <c r="M1125" s="48" t="s">
        <v>29</v>
      </c>
      <c r="N1125" s="42" t="s">
        <v>2126</v>
      </c>
      <c r="O1125" s="43">
        <v>44246</v>
      </c>
      <c r="P1125" s="42">
        <v>29.9</v>
      </c>
      <c r="Q1125" s="42">
        <v>30</v>
      </c>
      <c r="R1125" s="46" t="s">
        <v>29</v>
      </c>
      <c r="S1125" s="43">
        <v>44246</v>
      </c>
      <c r="T1125" s="51">
        <f t="shared" si="44"/>
        <v>3</v>
      </c>
      <c r="U1125" s="52" t="str">
        <f t="shared" si="43"/>
        <v>Detectável</v>
      </c>
    </row>
    <row r="1126" spans="1:21" ht="25.5" customHeight="1" x14ac:dyDescent="0.2">
      <c r="A1126" s="51">
        <v>1125</v>
      </c>
      <c r="B1126" s="50" t="s">
        <v>2127</v>
      </c>
      <c r="C1126" s="51">
        <v>37</v>
      </c>
      <c r="D1126" s="51" t="s">
        <v>34</v>
      </c>
      <c r="E1126" s="43" t="s">
        <v>2125</v>
      </c>
      <c r="F1126" s="44" t="s">
        <v>60</v>
      </c>
      <c r="G1126" s="51">
        <v>416</v>
      </c>
      <c r="H1126" s="43">
        <v>44246</v>
      </c>
      <c r="I1126" s="42" t="s">
        <v>2121</v>
      </c>
      <c r="J1126" s="43">
        <v>44246</v>
      </c>
      <c r="K1126" s="42">
        <v>31.6</v>
      </c>
      <c r="L1126" s="42">
        <v>29.1</v>
      </c>
      <c r="M1126" s="48" t="s">
        <v>29</v>
      </c>
      <c r="N1126" s="42" t="s">
        <v>2126</v>
      </c>
      <c r="O1126" s="43">
        <v>44246</v>
      </c>
      <c r="P1126" s="42" t="s">
        <v>36</v>
      </c>
      <c r="Q1126" s="42">
        <v>29</v>
      </c>
      <c r="R1126" s="46" t="s">
        <v>31</v>
      </c>
      <c r="S1126" s="43">
        <v>44246</v>
      </c>
      <c r="T1126" s="51">
        <f t="shared" si="44"/>
        <v>3</v>
      </c>
      <c r="U1126" s="52" t="str">
        <f t="shared" si="43"/>
        <v>Não Detectável</v>
      </c>
    </row>
    <row r="1127" spans="1:21" ht="25.5" customHeight="1" x14ac:dyDescent="0.2">
      <c r="A1127" s="51">
        <v>1126</v>
      </c>
      <c r="B1127" s="50" t="s">
        <v>2128</v>
      </c>
      <c r="C1127" s="51">
        <v>39</v>
      </c>
      <c r="D1127" s="51" t="s">
        <v>34</v>
      </c>
      <c r="E1127" s="43" t="s">
        <v>2125</v>
      </c>
      <c r="F1127" s="44" t="s">
        <v>60</v>
      </c>
      <c r="G1127" s="51">
        <v>416</v>
      </c>
      <c r="H1127" s="43">
        <v>44246</v>
      </c>
      <c r="I1127" s="42" t="s">
        <v>2121</v>
      </c>
      <c r="J1127" s="43">
        <v>44246</v>
      </c>
      <c r="K1127" s="42">
        <v>31.6</v>
      </c>
      <c r="L1127" s="42">
        <v>29.1</v>
      </c>
      <c r="M1127" s="48" t="s">
        <v>29</v>
      </c>
      <c r="N1127" s="42" t="s">
        <v>2126</v>
      </c>
      <c r="O1127" s="43">
        <v>44246</v>
      </c>
      <c r="P1127" s="42" t="s">
        <v>36</v>
      </c>
      <c r="Q1127" s="42">
        <f>AVERAGE(27.683,27.654)</f>
        <v>27.668500000000002</v>
      </c>
      <c r="R1127" s="46" t="s">
        <v>31</v>
      </c>
      <c r="S1127" s="43">
        <v>44246</v>
      </c>
      <c r="T1127" s="51">
        <f t="shared" si="44"/>
        <v>3</v>
      </c>
      <c r="U1127" s="52" t="str">
        <f t="shared" si="43"/>
        <v>Não Detectável</v>
      </c>
    </row>
    <row r="1128" spans="1:21" ht="25.5" customHeight="1" x14ac:dyDescent="0.2">
      <c r="A1128" s="51">
        <v>1127</v>
      </c>
      <c r="B1128" s="50" t="s">
        <v>2129</v>
      </c>
      <c r="C1128" s="51">
        <v>35</v>
      </c>
      <c r="D1128" s="51" t="s">
        <v>34</v>
      </c>
      <c r="E1128" s="43" t="s">
        <v>2125</v>
      </c>
      <c r="F1128" s="44" t="s">
        <v>60</v>
      </c>
      <c r="G1128" s="51">
        <v>417</v>
      </c>
      <c r="H1128" s="43">
        <v>44246</v>
      </c>
      <c r="I1128" s="42" t="s">
        <v>2121</v>
      </c>
      <c r="J1128" s="43">
        <v>44246</v>
      </c>
      <c r="K1128" s="42" t="s">
        <v>36</v>
      </c>
      <c r="L1128" s="42">
        <v>27.4</v>
      </c>
      <c r="M1128" s="45" t="s">
        <v>31</v>
      </c>
      <c r="N1128" s="42" t="s">
        <v>60</v>
      </c>
      <c r="O1128" s="43" t="s">
        <v>60</v>
      </c>
      <c r="P1128" s="42" t="s">
        <v>60</v>
      </c>
      <c r="Q1128" s="42" t="s">
        <v>60</v>
      </c>
      <c r="R1128" s="46" t="s">
        <v>60</v>
      </c>
      <c r="S1128" s="43">
        <v>44246</v>
      </c>
      <c r="T1128" s="51">
        <f t="shared" si="44"/>
        <v>3</v>
      </c>
      <c r="U1128" s="52" t="str">
        <f t="shared" si="43"/>
        <v>Não Detectável</v>
      </c>
    </row>
    <row r="1129" spans="1:21" ht="25.5" customHeight="1" x14ac:dyDescent="0.2">
      <c r="A1129" s="51">
        <v>1128</v>
      </c>
      <c r="B1129" s="50" t="s">
        <v>2130</v>
      </c>
      <c r="C1129" s="51">
        <v>26</v>
      </c>
      <c r="D1129" s="51" t="s">
        <v>25</v>
      </c>
      <c r="E1129" s="43" t="s">
        <v>2125</v>
      </c>
      <c r="F1129" s="44" t="s">
        <v>60</v>
      </c>
      <c r="G1129" s="51">
        <v>417</v>
      </c>
      <c r="H1129" s="43">
        <v>44246</v>
      </c>
      <c r="I1129" s="42" t="s">
        <v>2121</v>
      </c>
      <c r="J1129" s="43">
        <v>44246</v>
      </c>
      <c r="K1129" s="42" t="s">
        <v>36</v>
      </c>
      <c r="L1129" s="42">
        <v>27.4</v>
      </c>
      <c r="M1129" s="45" t="s">
        <v>31</v>
      </c>
      <c r="N1129" s="42" t="s">
        <v>60</v>
      </c>
      <c r="O1129" s="43" t="s">
        <v>60</v>
      </c>
      <c r="P1129" s="42" t="s">
        <v>60</v>
      </c>
      <c r="Q1129" s="42" t="s">
        <v>60</v>
      </c>
      <c r="R1129" s="46" t="s">
        <v>60</v>
      </c>
      <c r="S1129" s="43">
        <v>44246</v>
      </c>
      <c r="T1129" s="51">
        <f t="shared" si="44"/>
        <v>3</v>
      </c>
      <c r="U1129" s="52" t="str">
        <f t="shared" si="43"/>
        <v>Não Detectável</v>
      </c>
    </row>
    <row r="1130" spans="1:21" ht="25.5" customHeight="1" x14ac:dyDescent="0.2">
      <c r="A1130" s="51">
        <v>1129</v>
      </c>
      <c r="B1130" s="50" t="s">
        <v>2131</v>
      </c>
      <c r="C1130" s="51">
        <v>25</v>
      </c>
      <c r="D1130" s="51" t="s">
        <v>34</v>
      </c>
      <c r="E1130" s="43" t="s">
        <v>2125</v>
      </c>
      <c r="F1130" s="44" t="s">
        <v>60</v>
      </c>
      <c r="G1130" s="51">
        <v>417</v>
      </c>
      <c r="H1130" s="43">
        <v>44246</v>
      </c>
      <c r="I1130" s="42" t="s">
        <v>2121</v>
      </c>
      <c r="J1130" s="43">
        <v>44246</v>
      </c>
      <c r="K1130" s="42" t="s">
        <v>36</v>
      </c>
      <c r="L1130" s="42">
        <v>27.4</v>
      </c>
      <c r="M1130" s="45" t="s">
        <v>31</v>
      </c>
      <c r="N1130" s="42" t="s">
        <v>60</v>
      </c>
      <c r="O1130" s="43" t="s">
        <v>60</v>
      </c>
      <c r="P1130" s="42" t="s">
        <v>60</v>
      </c>
      <c r="Q1130" s="42" t="s">
        <v>60</v>
      </c>
      <c r="R1130" s="46" t="s">
        <v>60</v>
      </c>
      <c r="S1130" s="43">
        <v>44246</v>
      </c>
      <c r="T1130" s="51">
        <f t="shared" si="44"/>
        <v>3</v>
      </c>
      <c r="U1130" s="52" t="str">
        <f t="shared" si="43"/>
        <v>Não Detectável</v>
      </c>
    </row>
    <row r="1131" spans="1:21" ht="25.5" customHeight="1" x14ac:dyDescent="0.2">
      <c r="A1131" s="51">
        <v>1130</v>
      </c>
      <c r="B1131" s="50" t="s">
        <v>2132</v>
      </c>
      <c r="C1131" s="51">
        <v>23</v>
      </c>
      <c r="D1131" s="51" t="s">
        <v>25</v>
      </c>
      <c r="E1131" s="43">
        <v>44246</v>
      </c>
      <c r="F1131" s="44" t="s">
        <v>60</v>
      </c>
      <c r="G1131" s="51">
        <v>418</v>
      </c>
      <c r="H1131" s="43">
        <v>44249</v>
      </c>
      <c r="I1131" s="42" t="s">
        <v>2133</v>
      </c>
      <c r="J1131" s="43">
        <v>44249</v>
      </c>
      <c r="K1131" s="42">
        <v>15.7</v>
      </c>
      <c r="L1131" s="42">
        <v>27.8</v>
      </c>
      <c r="M1131" s="48" t="s">
        <v>29</v>
      </c>
      <c r="N1131" s="42" t="s">
        <v>2134</v>
      </c>
      <c r="O1131" s="43">
        <v>44249</v>
      </c>
      <c r="P1131" s="42" t="s">
        <v>36</v>
      </c>
      <c r="Q1131" s="42">
        <v>30.3</v>
      </c>
      <c r="R1131" s="46" t="s">
        <v>31</v>
      </c>
      <c r="S1131" s="43">
        <v>44249</v>
      </c>
      <c r="T1131" s="51">
        <f t="shared" si="44"/>
        <v>3</v>
      </c>
      <c r="U1131" s="52" t="str">
        <f t="shared" si="43"/>
        <v>Não Detectável</v>
      </c>
    </row>
    <row r="1132" spans="1:21" ht="25.5" customHeight="1" x14ac:dyDescent="0.2">
      <c r="A1132" s="51">
        <v>1131</v>
      </c>
      <c r="B1132" s="50" t="s">
        <v>2135</v>
      </c>
      <c r="C1132" s="51">
        <v>26</v>
      </c>
      <c r="D1132" s="51" t="s">
        <v>25</v>
      </c>
      <c r="E1132" s="43">
        <v>44246</v>
      </c>
      <c r="F1132" s="44" t="s">
        <v>60</v>
      </c>
      <c r="G1132" s="51">
        <v>418</v>
      </c>
      <c r="H1132" s="43">
        <v>44249</v>
      </c>
      <c r="I1132" s="42" t="s">
        <v>2133</v>
      </c>
      <c r="J1132" s="43">
        <v>44249</v>
      </c>
      <c r="K1132" s="42">
        <v>15.7</v>
      </c>
      <c r="L1132" s="42">
        <v>27.8</v>
      </c>
      <c r="M1132" s="48" t="s">
        <v>29</v>
      </c>
      <c r="N1132" s="42" t="s">
        <v>2134</v>
      </c>
      <c r="O1132" s="43">
        <v>44249</v>
      </c>
      <c r="P1132" s="42">
        <v>24.5</v>
      </c>
      <c r="Q1132" s="42">
        <v>27.9</v>
      </c>
      <c r="R1132" s="46" t="s">
        <v>29</v>
      </c>
      <c r="S1132" s="43">
        <v>44249</v>
      </c>
      <c r="T1132" s="51">
        <f t="shared" si="44"/>
        <v>3</v>
      </c>
      <c r="U1132" s="52" t="str">
        <f t="shared" si="43"/>
        <v>Detectável</v>
      </c>
    </row>
    <row r="1133" spans="1:21" ht="25.5" customHeight="1" x14ac:dyDescent="0.2">
      <c r="A1133" s="51">
        <v>1132</v>
      </c>
      <c r="B1133" s="50" t="s">
        <v>2136</v>
      </c>
      <c r="C1133" s="51">
        <v>38</v>
      </c>
      <c r="D1133" s="51" t="s">
        <v>34</v>
      </c>
      <c r="E1133" s="43">
        <v>44246</v>
      </c>
      <c r="F1133" s="44" t="s">
        <v>60</v>
      </c>
      <c r="G1133" s="51">
        <v>418</v>
      </c>
      <c r="H1133" s="43">
        <v>44249</v>
      </c>
      <c r="I1133" s="42" t="s">
        <v>2133</v>
      </c>
      <c r="J1133" s="43">
        <v>44249</v>
      </c>
      <c r="K1133" s="42">
        <v>15.7</v>
      </c>
      <c r="L1133" s="42">
        <v>27.8</v>
      </c>
      <c r="M1133" s="48" t="s">
        <v>29</v>
      </c>
      <c r="N1133" s="42" t="s">
        <v>2134</v>
      </c>
      <c r="O1133" s="43">
        <v>44249</v>
      </c>
      <c r="P1133" s="42">
        <v>14.9</v>
      </c>
      <c r="Q1133" s="42">
        <v>28.8</v>
      </c>
      <c r="R1133" s="46" t="s">
        <v>29</v>
      </c>
      <c r="S1133" s="43">
        <v>44249</v>
      </c>
      <c r="T1133" s="51">
        <f t="shared" si="44"/>
        <v>3</v>
      </c>
      <c r="U1133" s="52" t="str">
        <f t="shared" si="43"/>
        <v>Detectável</v>
      </c>
    </row>
    <row r="1134" spans="1:21" ht="25.5" customHeight="1" x14ac:dyDescent="0.2">
      <c r="A1134" s="51">
        <v>1133</v>
      </c>
      <c r="B1134" s="50" t="s">
        <v>2137</v>
      </c>
      <c r="C1134" s="51">
        <v>43</v>
      </c>
      <c r="D1134" s="51" t="s">
        <v>34</v>
      </c>
      <c r="E1134" s="43">
        <v>44246</v>
      </c>
      <c r="F1134" s="44" t="s">
        <v>60</v>
      </c>
      <c r="G1134" s="51">
        <v>419</v>
      </c>
      <c r="H1134" s="43">
        <v>44249</v>
      </c>
      <c r="I1134" s="42" t="s">
        <v>2133</v>
      </c>
      <c r="J1134" s="43">
        <v>44249</v>
      </c>
      <c r="K1134" s="42" t="s">
        <v>36</v>
      </c>
      <c r="L1134" s="42">
        <v>27.8</v>
      </c>
      <c r="M1134" s="45" t="s">
        <v>31</v>
      </c>
      <c r="N1134" s="42" t="s">
        <v>60</v>
      </c>
      <c r="O1134" s="43" t="s">
        <v>60</v>
      </c>
      <c r="P1134" s="42" t="s">
        <v>60</v>
      </c>
      <c r="Q1134" s="42" t="s">
        <v>60</v>
      </c>
      <c r="R1134" s="46" t="s">
        <v>60</v>
      </c>
      <c r="S1134" s="43">
        <v>44249</v>
      </c>
      <c r="T1134" s="51">
        <f t="shared" si="44"/>
        <v>3</v>
      </c>
      <c r="U1134" s="52" t="str">
        <f t="shared" si="43"/>
        <v>Não Detectável</v>
      </c>
    </row>
    <row r="1135" spans="1:21" ht="25.5" customHeight="1" x14ac:dyDescent="0.2">
      <c r="A1135" s="51">
        <v>1134</v>
      </c>
      <c r="B1135" s="50" t="s">
        <v>2138</v>
      </c>
      <c r="C1135" s="51">
        <v>20</v>
      </c>
      <c r="D1135" s="51" t="s">
        <v>25</v>
      </c>
      <c r="E1135" s="43">
        <v>44246</v>
      </c>
      <c r="F1135" s="44" t="s">
        <v>60</v>
      </c>
      <c r="G1135" s="51">
        <v>419</v>
      </c>
      <c r="H1135" s="43">
        <v>44249</v>
      </c>
      <c r="I1135" s="42" t="s">
        <v>2133</v>
      </c>
      <c r="J1135" s="43">
        <v>44249</v>
      </c>
      <c r="K1135" s="42" t="s">
        <v>36</v>
      </c>
      <c r="L1135" s="42">
        <v>27.8</v>
      </c>
      <c r="M1135" s="45" t="s">
        <v>31</v>
      </c>
      <c r="N1135" s="42" t="s">
        <v>60</v>
      </c>
      <c r="O1135" s="43" t="s">
        <v>60</v>
      </c>
      <c r="P1135" s="42" t="s">
        <v>60</v>
      </c>
      <c r="Q1135" s="42" t="s">
        <v>60</v>
      </c>
      <c r="R1135" s="46" t="s">
        <v>60</v>
      </c>
      <c r="S1135" s="43">
        <v>44249</v>
      </c>
      <c r="T1135" s="51">
        <f t="shared" si="44"/>
        <v>3</v>
      </c>
      <c r="U1135" s="52" t="str">
        <f t="shared" si="43"/>
        <v>Não Detectável</v>
      </c>
    </row>
    <row r="1136" spans="1:21" ht="25.5" customHeight="1" x14ac:dyDescent="0.2">
      <c r="A1136" s="51">
        <v>1135</v>
      </c>
      <c r="B1136" s="50" t="s">
        <v>2139</v>
      </c>
      <c r="C1136" s="51">
        <v>18</v>
      </c>
      <c r="D1136" s="51" t="s">
        <v>34</v>
      </c>
      <c r="E1136" s="43">
        <v>44246</v>
      </c>
      <c r="F1136" s="44" t="s">
        <v>60</v>
      </c>
      <c r="G1136" s="51">
        <v>419</v>
      </c>
      <c r="H1136" s="43">
        <v>44249</v>
      </c>
      <c r="I1136" s="42" t="s">
        <v>2133</v>
      </c>
      <c r="J1136" s="43">
        <v>44249</v>
      </c>
      <c r="K1136" s="42" t="s">
        <v>36</v>
      </c>
      <c r="L1136" s="42">
        <v>27.8</v>
      </c>
      <c r="M1136" s="45" t="s">
        <v>31</v>
      </c>
      <c r="N1136" s="42" t="s">
        <v>60</v>
      </c>
      <c r="O1136" s="43" t="s">
        <v>60</v>
      </c>
      <c r="P1136" s="42" t="s">
        <v>60</v>
      </c>
      <c r="Q1136" s="42" t="s">
        <v>60</v>
      </c>
      <c r="R1136" s="46" t="s">
        <v>60</v>
      </c>
      <c r="S1136" s="43">
        <v>44249</v>
      </c>
      <c r="T1136" s="51">
        <f t="shared" si="44"/>
        <v>3</v>
      </c>
      <c r="U1136" s="52" t="str">
        <f t="shared" si="43"/>
        <v>Não Detectável</v>
      </c>
    </row>
    <row r="1137" spans="1:21" ht="25.5" customHeight="1" x14ac:dyDescent="0.2">
      <c r="A1137" s="51">
        <v>1136</v>
      </c>
      <c r="B1137" s="50" t="s">
        <v>2140</v>
      </c>
      <c r="C1137" s="51">
        <v>45</v>
      </c>
      <c r="D1137" s="51" t="s">
        <v>34</v>
      </c>
      <c r="E1137" s="43">
        <v>44246</v>
      </c>
      <c r="F1137" s="44" t="s">
        <v>60</v>
      </c>
      <c r="G1137" s="51">
        <v>420</v>
      </c>
      <c r="H1137" s="43">
        <v>44249</v>
      </c>
      <c r="I1137" s="42" t="s">
        <v>2133</v>
      </c>
      <c r="J1137" s="43">
        <v>44249</v>
      </c>
      <c r="K1137" s="42" t="s">
        <v>36</v>
      </c>
      <c r="L1137" s="42">
        <v>28.6</v>
      </c>
      <c r="M1137" s="45" t="s">
        <v>31</v>
      </c>
      <c r="N1137" s="42" t="s">
        <v>60</v>
      </c>
      <c r="O1137" s="43" t="s">
        <v>60</v>
      </c>
      <c r="P1137" s="42" t="s">
        <v>60</v>
      </c>
      <c r="Q1137" s="42" t="s">
        <v>60</v>
      </c>
      <c r="R1137" s="46" t="s">
        <v>60</v>
      </c>
      <c r="S1137" s="43">
        <v>44249</v>
      </c>
      <c r="T1137" s="51">
        <f t="shared" si="44"/>
        <v>3</v>
      </c>
      <c r="U1137" s="52" t="str">
        <f t="shared" si="43"/>
        <v>Não Detectável</v>
      </c>
    </row>
    <row r="1138" spans="1:21" ht="25.5" customHeight="1" x14ac:dyDescent="0.2">
      <c r="A1138" s="51">
        <v>1137</v>
      </c>
      <c r="B1138" s="50" t="s">
        <v>2141</v>
      </c>
      <c r="C1138" s="51">
        <v>23</v>
      </c>
      <c r="D1138" s="51" t="s">
        <v>25</v>
      </c>
      <c r="E1138" s="43">
        <v>44246</v>
      </c>
      <c r="F1138" s="44" t="s">
        <v>60</v>
      </c>
      <c r="G1138" s="51">
        <v>420</v>
      </c>
      <c r="H1138" s="43">
        <v>44249</v>
      </c>
      <c r="I1138" s="42" t="s">
        <v>2133</v>
      </c>
      <c r="J1138" s="43">
        <v>44249</v>
      </c>
      <c r="K1138" s="42" t="s">
        <v>36</v>
      </c>
      <c r="L1138" s="42">
        <v>28.6</v>
      </c>
      <c r="M1138" s="45" t="s">
        <v>31</v>
      </c>
      <c r="N1138" s="42" t="s">
        <v>60</v>
      </c>
      <c r="O1138" s="43" t="s">
        <v>60</v>
      </c>
      <c r="P1138" s="42" t="s">
        <v>60</v>
      </c>
      <c r="Q1138" s="42" t="s">
        <v>60</v>
      </c>
      <c r="R1138" s="46" t="s">
        <v>60</v>
      </c>
      <c r="S1138" s="43">
        <v>44249</v>
      </c>
      <c r="T1138" s="51">
        <f t="shared" si="44"/>
        <v>3</v>
      </c>
      <c r="U1138" s="52" t="str">
        <f t="shared" si="43"/>
        <v>Não Detectável</v>
      </c>
    </row>
    <row r="1139" spans="1:21" ht="25.5" customHeight="1" x14ac:dyDescent="0.2">
      <c r="A1139" s="51">
        <v>1138</v>
      </c>
      <c r="B1139" s="50" t="s">
        <v>2142</v>
      </c>
      <c r="C1139" s="51">
        <v>19</v>
      </c>
      <c r="D1139" s="51" t="s">
        <v>25</v>
      </c>
      <c r="E1139" s="43">
        <v>44246</v>
      </c>
      <c r="F1139" s="44" t="s">
        <v>60</v>
      </c>
      <c r="G1139" s="51">
        <v>420</v>
      </c>
      <c r="H1139" s="43">
        <v>44249</v>
      </c>
      <c r="I1139" s="42" t="s">
        <v>2133</v>
      </c>
      <c r="J1139" s="43">
        <v>44249</v>
      </c>
      <c r="K1139" s="42" t="s">
        <v>36</v>
      </c>
      <c r="L1139" s="42">
        <v>28.6</v>
      </c>
      <c r="M1139" s="45" t="s">
        <v>31</v>
      </c>
      <c r="N1139" s="42" t="s">
        <v>60</v>
      </c>
      <c r="O1139" s="43" t="s">
        <v>60</v>
      </c>
      <c r="P1139" s="42" t="s">
        <v>60</v>
      </c>
      <c r="Q1139" s="42" t="s">
        <v>60</v>
      </c>
      <c r="R1139" s="46" t="s">
        <v>60</v>
      </c>
      <c r="S1139" s="43">
        <v>44249</v>
      </c>
      <c r="T1139" s="51">
        <f t="shared" si="44"/>
        <v>3</v>
      </c>
      <c r="U1139" s="52" t="str">
        <f t="shared" si="43"/>
        <v>Não Detectável</v>
      </c>
    </row>
    <row r="1140" spans="1:21" ht="25.5" customHeight="1" x14ac:dyDescent="0.2">
      <c r="A1140" s="51">
        <v>1139</v>
      </c>
      <c r="B1140" s="50" t="s">
        <v>2143</v>
      </c>
      <c r="C1140" s="51">
        <v>57</v>
      </c>
      <c r="D1140" s="51" t="s">
        <v>25</v>
      </c>
      <c r="E1140" s="43">
        <v>44246</v>
      </c>
      <c r="F1140" s="44" t="s">
        <v>60</v>
      </c>
      <c r="G1140" s="51">
        <v>421</v>
      </c>
      <c r="H1140" s="43">
        <v>44249</v>
      </c>
      <c r="I1140" s="42" t="s">
        <v>2144</v>
      </c>
      <c r="J1140" s="43">
        <v>44250</v>
      </c>
      <c r="K1140" s="42">
        <v>35.299999999999997</v>
      </c>
      <c r="L1140" s="42">
        <v>26</v>
      </c>
      <c r="M1140" s="48" t="s">
        <v>29</v>
      </c>
      <c r="N1140" s="42" t="s">
        <v>2145</v>
      </c>
      <c r="O1140" s="43">
        <v>44251</v>
      </c>
      <c r="P1140" s="42" t="s">
        <v>36</v>
      </c>
      <c r="Q1140" s="42">
        <v>25.7</v>
      </c>
      <c r="R1140" s="46" t="s">
        <v>31</v>
      </c>
      <c r="S1140" s="43">
        <v>44251</v>
      </c>
      <c r="T1140" s="51">
        <f t="shared" si="44"/>
        <v>3</v>
      </c>
      <c r="U1140" s="52" t="str">
        <f t="shared" ref="U1140:U1203" si="45">IF(M1140="Não Detectável","Não Detectável",IF(R1140="","",R1140))</f>
        <v>Não Detectável</v>
      </c>
    </row>
    <row r="1141" spans="1:21" ht="25.5" customHeight="1" x14ac:dyDescent="0.2">
      <c r="A1141" s="51">
        <v>1140</v>
      </c>
      <c r="B1141" s="50" t="s">
        <v>2146</v>
      </c>
      <c r="C1141" s="51">
        <v>37</v>
      </c>
      <c r="D1141" s="51" t="s">
        <v>25</v>
      </c>
      <c r="E1141" s="43">
        <v>44246</v>
      </c>
      <c r="F1141" s="44" t="s">
        <v>60</v>
      </c>
      <c r="G1141" s="51">
        <v>421</v>
      </c>
      <c r="H1141" s="43">
        <v>44249</v>
      </c>
      <c r="I1141" s="42" t="s">
        <v>2144</v>
      </c>
      <c r="J1141" s="43">
        <v>44250</v>
      </c>
      <c r="K1141" s="42">
        <v>35.299999999999997</v>
      </c>
      <c r="L1141" s="42">
        <v>26</v>
      </c>
      <c r="M1141" s="48" t="s">
        <v>29</v>
      </c>
      <c r="N1141" s="42" t="s">
        <v>2145</v>
      </c>
      <c r="O1141" s="43">
        <v>44251</v>
      </c>
      <c r="P1141" s="42" t="s">
        <v>36</v>
      </c>
      <c r="Q1141" s="42">
        <v>27.3</v>
      </c>
      <c r="R1141" s="46" t="s">
        <v>31</v>
      </c>
      <c r="S1141" s="43">
        <v>44251</v>
      </c>
      <c r="T1141" s="51">
        <f t="shared" ref="T1141:T1204" si="46">COUNTIF(G:G,G1141)</f>
        <v>3</v>
      </c>
      <c r="U1141" s="52" t="str">
        <f t="shared" si="45"/>
        <v>Não Detectável</v>
      </c>
    </row>
    <row r="1142" spans="1:21" ht="25.5" customHeight="1" x14ac:dyDescent="0.2">
      <c r="A1142" s="51">
        <v>1141</v>
      </c>
      <c r="B1142" s="50" t="s">
        <v>2147</v>
      </c>
      <c r="C1142" s="51">
        <v>57</v>
      </c>
      <c r="D1142" s="51" t="s">
        <v>34</v>
      </c>
      <c r="E1142" s="43">
        <v>44249</v>
      </c>
      <c r="F1142" s="44" t="s">
        <v>60</v>
      </c>
      <c r="G1142" s="51">
        <v>421</v>
      </c>
      <c r="H1142" s="43">
        <v>44250</v>
      </c>
      <c r="I1142" s="42" t="s">
        <v>2144</v>
      </c>
      <c r="J1142" s="43">
        <v>44250</v>
      </c>
      <c r="K1142" s="42">
        <v>35.299999999999997</v>
      </c>
      <c r="L1142" s="42">
        <v>26</v>
      </c>
      <c r="M1142" s="48" t="s">
        <v>29</v>
      </c>
      <c r="N1142" s="42" t="s">
        <v>2145</v>
      </c>
      <c r="O1142" s="43">
        <v>44251</v>
      </c>
      <c r="P1142" s="42" t="s">
        <v>36</v>
      </c>
      <c r="Q1142" s="42">
        <v>26.9</v>
      </c>
      <c r="R1142" s="46" t="s">
        <v>31</v>
      </c>
      <c r="S1142" s="43">
        <v>44251</v>
      </c>
      <c r="T1142" s="51">
        <f t="shared" si="46"/>
        <v>3</v>
      </c>
      <c r="U1142" s="52" t="str">
        <f t="shared" si="45"/>
        <v>Não Detectável</v>
      </c>
    </row>
    <row r="1143" spans="1:21" ht="25.5" customHeight="1" x14ac:dyDescent="0.2">
      <c r="A1143" s="51">
        <v>1142</v>
      </c>
      <c r="B1143" s="50" t="s">
        <v>2148</v>
      </c>
      <c r="C1143" s="51">
        <v>32</v>
      </c>
      <c r="D1143" s="51" t="s">
        <v>34</v>
      </c>
      <c r="E1143" s="43">
        <v>44249</v>
      </c>
      <c r="F1143" s="44" t="s">
        <v>60</v>
      </c>
      <c r="G1143" s="51">
        <v>422</v>
      </c>
      <c r="H1143" s="43">
        <v>44250</v>
      </c>
      <c r="I1143" s="42" t="s">
        <v>2144</v>
      </c>
      <c r="J1143" s="43">
        <v>44250</v>
      </c>
      <c r="K1143" s="42">
        <v>17</v>
      </c>
      <c r="L1143" s="42">
        <f>AVERAGE(25.11,24.918)</f>
        <v>25.013999999999999</v>
      </c>
      <c r="M1143" s="48" t="s">
        <v>29</v>
      </c>
      <c r="N1143" s="42" t="s">
        <v>2145</v>
      </c>
      <c r="O1143" s="43">
        <v>44251</v>
      </c>
      <c r="P1143" s="42" t="s">
        <v>36</v>
      </c>
      <c r="Q1143" s="42">
        <v>26.8</v>
      </c>
      <c r="R1143" s="46" t="s">
        <v>31</v>
      </c>
      <c r="S1143" s="43">
        <v>44251</v>
      </c>
      <c r="T1143" s="51">
        <f t="shared" si="46"/>
        <v>3</v>
      </c>
      <c r="U1143" s="52" t="str">
        <f t="shared" si="45"/>
        <v>Não Detectável</v>
      </c>
    </row>
    <row r="1144" spans="1:21" ht="25.5" customHeight="1" x14ac:dyDescent="0.2">
      <c r="A1144" s="51">
        <v>1143</v>
      </c>
      <c r="B1144" s="50" t="s">
        <v>2149</v>
      </c>
      <c r="C1144" s="51">
        <v>32</v>
      </c>
      <c r="D1144" s="51" t="s">
        <v>34</v>
      </c>
      <c r="E1144" s="43">
        <v>44249</v>
      </c>
      <c r="F1144" s="44" t="s">
        <v>60</v>
      </c>
      <c r="G1144" s="51">
        <v>422</v>
      </c>
      <c r="H1144" s="43">
        <v>44250</v>
      </c>
      <c r="I1144" s="42" t="s">
        <v>2144</v>
      </c>
      <c r="J1144" s="43">
        <v>44250</v>
      </c>
      <c r="K1144" s="42">
        <v>17</v>
      </c>
      <c r="L1144" s="42">
        <f>AVERAGE(25.11,24.918)</f>
        <v>25.013999999999999</v>
      </c>
      <c r="M1144" s="48" t="s">
        <v>29</v>
      </c>
      <c r="N1144" s="42" t="s">
        <v>2145</v>
      </c>
      <c r="O1144" s="43">
        <v>44251</v>
      </c>
      <c r="P1144" s="42">
        <v>15.5</v>
      </c>
      <c r="Q1144" s="42">
        <v>23.8</v>
      </c>
      <c r="R1144" s="46" t="s">
        <v>29</v>
      </c>
      <c r="S1144" s="43">
        <v>44251</v>
      </c>
      <c r="T1144" s="51">
        <f t="shared" si="46"/>
        <v>3</v>
      </c>
      <c r="U1144" s="52" t="str">
        <f t="shared" si="45"/>
        <v>Detectável</v>
      </c>
    </row>
    <row r="1145" spans="1:21" ht="25.5" customHeight="1" x14ac:dyDescent="0.2">
      <c r="A1145" s="51">
        <v>1144</v>
      </c>
      <c r="B1145" s="50" t="s">
        <v>2150</v>
      </c>
      <c r="C1145" s="51">
        <v>22</v>
      </c>
      <c r="D1145" s="51" t="s">
        <v>25</v>
      </c>
      <c r="E1145" s="43">
        <v>44249</v>
      </c>
      <c r="F1145" s="44" t="s">
        <v>60</v>
      </c>
      <c r="G1145" s="51">
        <v>422</v>
      </c>
      <c r="H1145" s="43">
        <v>44250</v>
      </c>
      <c r="I1145" s="42" t="s">
        <v>2144</v>
      </c>
      <c r="J1145" s="43">
        <v>44250</v>
      </c>
      <c r="K1145" s="42">
        <v>17</v>
      </c>
      <c r="L1145" s="42">
        <f>AVERAGE(25.11,24.918)</f>
        <v>25.013999999999999</v>
      </c>
      <c r="M1145" s="48" t="s">
        <v>29</v>
      </c>
      <c r="N1145" s="42" t="s">
        <v>2145</v>
      </c>
      <c r="O1145" s="43">
        <v>44251</v>
      </c>
      <c r="P1145" s="42" t="s">
        <v>36</v>
      </c>
      <c r="Q1145" s="42">
        <v>26.9</v>
      </c>
      <c r="R1145" s="46" t="s">
        <v>31</v>
      </c>
      <c r="S1145" s="43">
        <v>44251</v>
      </c>
      <c r="T1145" s="51">
        <f t="shared" si="46"/>
        <v>3</v>
      </c>
      <c r="U1145" s="52" t="str">
        <f t="shared" si="45"/>
        <v>Não Detectável</v>
      </c>
    </row>
    <row r="1146" spans="1:21" ht="25.5" customHeight="1" x14ac:dyDescent="0.2">
      <c r="A1146" s="51">
        <v>1145</v>
      </c>
      <c r="B1146" s="50" t="s">
        <v>2151</v>
      </c>
      <c r="C1146" s="51">
        <v>19</v>
      </c>
      <c r="D1146" s="51" t="s">
        <v>25</v>
      </c>
      <c r="E1146" s="43">
        <v>44249</v>
      </c>
      <c r="F1146" s="44" t="s">
        <v>60</v>
      </c>
      <c r="G1146" s="51">
        <v>423</v>
      </c>
      <c r="H1146" s="43">
        <v>44250</v>
      </c>
      <c r="I1146" s="42" t="s">
        <v>2145</v>
      </c>
      <c r="J1146" s="43">
        <v>44251</v>
      </c>
      <c r="K1146" s="42">
        <v>34.5</v>
      </c>
      <c r="L1146" s="42">
        <v>26.1</v>
      </c>
      <c r="M1146" s="48" t="s">
        <v>29</v>
      </c>
      <c r="N1146" s="42" t="s">
        <v>2152</v>
      </c>
      <c r="O1146" s="43">
        <v>44251</v>
      </c>
      <c r="P1146" s="42" t="s">
        <v>36</v>
      </c>
      <c r="Q1146" s="42">
        <v>26.1</v>
      </c>
      <c r="R1146" s="46" t="s">
        <v>31</v>
      </c>
      <c r="S1146" s="43">
        <v>44251</v>
      </c>
      <c r="T1146" s="51">
        <f t="shared" si="46"/>
        <v>3</v>
      </c>
      <c r="U1146" s="52" t="str">
        <f t="shared" si="45"/>
        <v>Não Detectável</v>
      </c>
    </row>
    <row r="1147" spans="1:21" ht="25.5" customHeight="1" x14ac:dyDescent="0.2">
      <c r="A1147" s="51">
        <v>1146</v>
      </c>
      <c r="B1147" s="50" t="s">
        <v>2153</v>
      </c>
      <c r="C1147" s="51">
        <v>24</v>
      </c>
      <c r="D1147" s="51" t="s">
        <v>34</v>
      </c>
      <c r="E1147" s="43">
        <v>44249</v>
      </c>
      <c r="F1147" s="44" t="s">
        <v>60</v>
      </c>
      <c r="G1147" s="51">
        <v>423</v>
      </c>
      <c r="H1147" s="43">
        <v>44250</v>
      </c>
      <c r="I1147" s="42" t="s">
        <v>2145</v>
      </c>
      <c r="J1147" s="43">
        <v>44251</v>
      </c>
      <c r="K1147" s="42">
        <v>34.5</v>
      </c>
      <c r="L1147" s="42">
        <v>26.1</v>
      </c>
      <c r="M1147" s="48" t="s">
        <v>29</v>
      </c>
      <c r="N1147" s="42" t="s">
        <v>2152</v>
      </c>
      <c r="O1147" s="43">
        <v>44251</v>
      </c>
      <c r="P1147" s="42" t="s">
        <v>36</v>
      </c>
      <c r="Q1147" s="42">
        <v>26.1</v>
      </c>
      <c r="R1147" s="46" t="s">
        <v>31</v>
      </c>
      <c r="S1147" s="43">
        <v>44251</v>
      </c>
      <c r="T1147" s="51">
        <f t="shared" si="46"/>
        <v>3</v>
      </c>
      <c r="U1147" s="52" t="str">
        <f t="shared" si="45"/>
        <v>Não Detectável</v>
      </c>
    </row>
    <row r="1148" spans="1:21" ht="25.5" customHeight="1" x14ac:dyDescent="0.2">
      <c r="A1148" s="51">
        <v>1147</v>
      </c>
      <c r="B1148" s="50" t="s">
        <v>2154</v>
      </c>
      <c r="C1148" s="51">
        <v>48</v>
      </c>
      <c r="D1148" s="51" t="s">
        <v>25</v>
      </c>
      <c r="E1148" s="43" t="s">
        <v>2155</v>
      </c>
      <c r="F1148" s="44" t="s">
        <v>60</v>
      </c>
      <c r="G1148" s="51">
        <v>423</v>
      </c>
      <c r="H1148" s="43">
        <v>44251</v>
      </c>
      <c r="I1148" s="42" t="s">
        <v>2145</v>
      </c>
      <c r="J1148" s="43">
        <v>44251</v>
      </c>
      <c r="K1148" s="42">
        <v>34.5</v>
      </c>
      <c r="L1148" s="42">
        <v>26.1</v>
      </c>
      <c r="M1148" s="48" t="s">
        <v>29</v>
      </c>
      <c r="N1148" s="42" t="s">
        <v>2152</v>
      </c>
      <c r="O1148" s="43">
        <v>44251</v>
      </c>
      <c r="P1148" s="42" t="s">
        <v>36</v>
      </c>
      <c r="Q1148" s="42">
        <v>27.8</v>
      </c>
      <c r="R1148" s="46" t="s">
        <v>31</v>
      </c>
      <c r="S1148" s="43">
        <v>44251</v>
      </c>
      <c r="T1148" s="51">
        <f t="shared" si="46"/>
        <v>3</v>
      </c>
      <c r="U1148" s="52" t="str">
        <f t="shared" si="45"/>
        <v>Não Detectável</v>
      </c>
    </row>
    <row r="1149" spans="1:21" ht="25.5" customHeight="1" x14ac:dyDescent="0.2">
      <c r="A1149" s="51">
        <v>1148</v>
      </c>
      <c r="B1149" s="50" t="s">
        <v>2156</v>
      </c>
      <c r="C1149" s="51">
        <v>20</v>
      </c>
      <c r="D1149" s="51" t="s">
        <v>25</v>
      </c>
      <c r="E1149" s="43" t="s">
        <v>2155</v>
      </c>
      <c r="F1149" s="44" t="s">
        <v>60</v>
      </c>
      <c r="G1149" s="51">
        <v>424</v>
      </c>
      <c r="H1149" s="43">
        <v>44251</v>
      </c>
      <c r="I1149" s="42" t="s">
        <v>2145</v>
      </c>
      <c r="J1149" s="43">
        <v>44251</v>
      </c>
      <c r="K1149" s="42">
        <v>16.8</v>
      </c>
      <c r="L1149" s="42">
        <v>25.1</v>
      </c>
      <c r="M1149" s="48" t="s">
        <v>29</v>
      </c>
      <c r="N1149" s="42" t="s">
        <v>2152</v>
      </c>
      <c r="O1149" s="43">
        <v>44251</v>
      </c>
      <c r="P1149" s="42" t="s">
        <v>36</v>
      </c>
      <c r="Q1149" s="42">
        <v>27</v>
      </c>
      <c r="R1149" s="46" t="s">
        <v>31</v>
      </c>
      <c r="S1149" s="43">
        <v>44251</v>
      </c>
      <c r="T1149" s="51">
        <f t="shared" si="46"/>
        <v>3</v>
      </c>
      <c r="U1149" s="52" t="str">
        <f t="shared" si="45"/>
        <v>Não Detectável</v>
      </c>
    </row>
    <row r="1150" spans="1:21" ht="25.5" customHeight="1" x14ac:dyDescent="0.2">
      <c r="A1150" s="51">
        <v>1149</v>
      </c>
      <c r="B1150" s="50" t="s">
        <v>2157</v>
      </c>
      <c r="C1150" s="51">
        <v>19</v>
      </c>
      <c r="D1150" s="51" t="s">
        <v>34</v>
      </c>
      <c r="E1150" s="43" t="s">
        <v>2155</v>
      </c>
      <c r="F1150" s="44" t="s">
        <v>60</v>
      </c>
      <c r="G1150" s="51">
        <v>424</v>
      </c>
      <c r="H1150" s="43">
        <v>44251</v>
      </c>
      <c r="I1150" s="42" t="s">
        <v>2145</v>
      </c>
      <c r="J1150" s="43">
        <v>44251</v>
      </c>
      <c r="K1150" s="42">
        <v>16.8</v>
      </c>
      <c r="L1150" s="42">
        <v>25.1</v>
      </c>
      <c r="M1150" s="48" t="s">
        <v>29</v>
      </c>
      <c r="N1150" s="42" t="s">
        <v>2152</v>
      </c>
      <c r="O1150" s="43">
        <v>44251</v>
      </c>
      <c r="P1150" s="42" t="s">
        <v>36</v>
      </c>
      <c r="Q1150" s="42">
        <v>25.8</v>
      </c>
      <c r="R1150" s="46" t="s">
        <v>31</v>
      </c>
      <c r="S1150" s="43">
        <v>44251</v>
      </c>
      <c r="T1150" s="51">
        <f t="shared" si="46"/>
        <v>3</v>
      </c>
      <c r="U1150" s="52" t="str">
        <f t="shared" si="45"/>
        <v>Não Detectável</v>
      </c>
    </row>
    <row r="1151" spans="1:21" ht="25.5" customHeight="1" x14ac:dyDescent="0.2">
      <c r="A1151" s="51">
        <v>1150</v>
      </c>
      <c r="B1151" s="50" t="s">
        <v>2158</v>
      </c>
      <c r="C1151" s="51">
        <v>37</v>
      </c>
      <c r="D1151" s="51" t="s">
        <v>34</v>
      </c>
      <c r="E1151" s="43" t="s">
        <v>2155</v>
      </c>
      <c r="F1151" s="44" t="s">
        <v>60</v>
      </c>
      <c r="G1151" s="51">
        <v>424</v>
      </c>
      <c r="H1151" s="43">
        <v>44251</v>
      </c>
      <c r="I1151" s="42" t="s">
        <v>2145</v>
      </c>
      <c r="J1151" s="43">
        <v>44251</v>
      </c>
      <c r="K1151" s="42">
        <v>16.8</v>
      </c>
      <c r="L1151" s="42">
        <v>25.1</v>
      </c>
      <c r="M1151" s="48" t="s">
        <v>29</v>
      </c>
      <c r="N1151" s="42" t="s">
        <v>2152</v>
      </c>
      <c r="O1151" s="43">
        <v>44251</v>
      </c>
      <c r="P1151" s="42">
        <v>14</v>
      </c>
      <c r="Q1151" s="42">
        <v>27.9</v>
      </c>
      <c r="R1151" s="46" t="s">
        <v>29</v>
      </c>
      <c r="S1151" s="43">
        <v>44251</v>
      </c>
      <c r="T1151" s="51">
        <f t="shared" si="46"/>
        <v>3</v>
      </c>
      <c r="U1151" s="52" t="str">
        <f t="shared" si="45"/>
        <v>Detectável</v>
      </c>
    </row>
    <row r="1152" spans="1:21" ht="25.5" customHeight="1" x14ac:dyDescent="0.2">
      <c r="A1152" s="51">
        <v>1151</v>
      </c>
      <c r="B1152" s="50" t="s">
        <v>2159</v>
      </c>
      <c r="C1152" s="51">
        <v>19</v>
      </c>
      <c r="D1152" s="51" t="s">
        <v>34</v>
      </c>
      <c r="E1152" s="43" t="s">
        <v>2155</v>
      </c>
      <c r="F1152" s="44" t="s">
        <v>60</v>
      </c>
      <c r="G1152" s="51">
        <v>425</v>
      </c>
      <c r="H1152" s="43">
        <v>44251</v>
      </c>
      <c r="I1152" s="42" t="s">
        <v>2145</v>
      </c>
      <c r="J1152" s="43">
        <v>44251</v>
      </c>
      <c r="K1152" s="42" t="s">
        <v>36</v>
      </c>
      <c r="L1152" s="42">
        <v>25.2</v>
      </c>
      <c r="M1152" s="45" t="s">
        <v>31</v>
      </c>
      <c r="N1152" s="42" t="s">
        <v>60</v>
      </c>
      <c r="O1152" s="43" t="s">
        <v>60</v>
      </c>
      <c r="P1152" s="42" t="s">
        <v>60</v>
      </c>
      <c r="Q1152" s="42" t="s">
        <v>60</v>
      </c>
      <c r="R1152" s="46" t="s">
        <v>60</v>
      </c>
      <c r="S1152" s="43">
        <v>44251</v>
      </c>
      <c r="T1152" s="51">
        <f t="shared" si="46"/>
        <v>3</v>
      </c>
      <c r="U1152" s="52" t="str">
        <f t="shared" si="45"/>
        <v>Não Detectável</v>
      </c>
    </row>
    <row r="1153" spans="1:21" ht="25.5" customHeight="1" x14ac:dyDescent="0.2">
      <c r="A1153" s="51">
        <v>1152</v>
      </c>
      <c r="B1153" s="50" t="s">
        <v>2160</v>
      </c>
      <c r="C1153" s="51">
        <v>43</v>
      </c>
      <c r="D1153" s="51" t="s">
        <v>34</v>
      </c>
      <c r="E1153" s="43" t="s">
        <v>2155</v>
      </c>
      <c r="F1153" s="44" t="s">
        <v>60</v>
      </c>
      <c r="G1153" s="51">
        <v>425</v>
      </c>
      <c r="H1153" s="43">
        <v>44251</v>
      </c>
      <c r="I1153" s="42" t="s">
        <v>2145</v>
      </c>
      <c r="J1153" s="43">
        <v>44251</v>
      </c>
      <c r="K1153" s="42" t="s">
        <v>36</v>
      </c>
      <c r="L1153" s="42">
        <v>25.2</v>
      </c>
      <c r="M1153" s="45" t="s">
        <v>31</v>
      </c>
      <c r="N1153" s="42" t="s">
        <v>60</v>
      </c>
      <c r="O1153" s="43" t="s">
        <v>60</v>
      </c>
      <c r="P1153" s="42" t="s">
        <v>60</v>
      </c>
      <c r="Q1153" s="42" t="s">
        <v>60</v>
      </c>
      <c r="R1153" s="46" t="s">
        <v>60</v>
      </c>
      <c r="S1153" s="43">
        <v>44251</v>
      </c>
      <c r="T1153" s="51">
        <f t="shared" si="46"/>
        <v>3</v>
      </c>
      <c r="U1153" s="52" t="str">
        <f t="shared" si="45"/>
        <v>Não Detectável</v>
      </c>
    </row>
    <row r="1154" spans="1:21" ht="25.5" customHeight="1" x14ac:dyDescent="0.2">
      <c r="A1154" s="51">
        <v>1153</v>
      </c>
      <c r="B1154" s="50" t="s">
        <v>2161</v>
      </c>
      <c r="C1154" s="51">
        <v>41</v>
      </c>
      <c r="D1154" s="51" t="s">
        <v>25</v>
      </c>
      <c r="E1154" s="43" t="s">
        <v>2155</v>
      </c>
      <c r="F1154" s="44" t="s">
        <v>60</v>
      </c>
      <c r="G1154" s="51">
        <v>425</v>
      </c>
      <c r="H1154" s="43">
        <v>44251</v>
      </c>
      <c r="I1154" s="42" t="s">
        <v>2145</v>
      </c>
      <c r="J1154" s="43">
        <v>44251</v>
      </c>
      <c r="K1154" s="42" t="s">
        <v>36</v>
      </c>
      <c r="L1154" s="42">
        <v>25.2</v>
      </c>
      <c r="M1154" s="45" t="s">
        <v>31</v>
      </c>
      <c r="N1154" s="42" t="s">
        <v>60</v>
      </c>
      <c r="O1154" s="43" t="s">
        <v>60</v>
      </c>
      <c r="P1154" s="42" t="s">
        <v>60</v>
      </c>
      <c r="Q1154" s="42" t="s">
        <v>60</v>
      </c>
      <c r="R1154" s="46" t="s">
        <v>60</v>
      </c>
      <c r="S1154" s="43">
        <v>44251</v>
      </c>
      <c r="T1154" s="51">
        <f t="shared" si="46"/>
        <v>3</v>
      </c>
      <c r="U1154" s="52" t="str">
        <f t="shared" si="45"/>
        <v>Não Detectável</v>
      </c>
    </row>
    <row r="1155" spans="1:21" ht="25.5" customHeight="1" x14ac:dyDescent="0.2">
      <c r="A1155" s="51">
        <v>1154</v>
      </c>
      <c r="B1155" s="50" t="s">
        <v>2162</v>
      </c>
      <c r="C1155" s="51">
        <v>69</v>
      </c>
      <c r="D1155" s="51" t="s">
        <v>25</v>
      </c>
      <c r="E1155" s="43" t="s">
        <v>2155</v>
      </c>
      <c r="F1155" s="44" t="s">
        <v>60</v>
      </c>
      <c r="G1155" s="51">
        <v>426</v>
      </c>
      <c r="H1155" s="43">
        <v>44251</v>
      </c>
      <c r="I1155" s="42" t="s">
        <v>2145</v>
      </c>
      <c r="J1155" s="43">
        <v>44251</v>
      </c>
      <c r="K1155" s="42">
        <v>18.7</v>
      </c>
      <c r="L1155" s="42">
        <v>27.2</v>
      </c>
      <c r="M1155" s="48" t="s">
        <v>29</v>
      </c>
      <c r="N1155" s="42" t="s">
        <v>2152</v>
      </c>
      <c r="O1155" s="43">
        <v>44251</v>
      </c>
      <c r="P1155" s="42" t="s">
        <v>36</v>
      </c>
      <c r="Q1155" s="42">
        <v>27.7</v>
      </c>
      <c r="R1155" s="46" t="s">
        <v>31</v>
      </c>
      <c r="S1155" s="43">
        <v>44251</v>
      </c>
      <c r="T1155" s="51">
        <f t="shared" si="46"/>
        <v>3</v>
      </c>
      <c r="U1155" s="52" t="str">
        <f t="shared" si="45"/>
        <v>Não Detectável</v>
      </c>
    </row>
    <row r="1156" spans="1:21" ht="25.5" customHeight="1" x14ac:dyDescent="0.2">
      <c r="A1156" s="51">
        <v>1155</v>
      </c>
      <c r="B1156" s="50" t="s">
        <v>2163</v>
      </c>
      <c r="C1156" s="51">
        <v>45</v>
      </c>
      <c r="D1156" s="51" t="s">
        <v>25</v>
      </c>
      <c r="E1156" s="43" t="s">
        <v>2155</v>
      </c>
      <c r="F1156" s="44" t="s">
        <v>60</v>
      </c>
      <c r="G1156" s="51">
        <v>426</v>
      </c>
      <c r="H1156" s="43">
        <v>44251</v>
      </c>
      <c r="I1156" s="42" t="s">
        <v>2145</v>
      </c>
      <c r="J1156" s="43">
        <v>44251</v>
      </c>
      <c r="K1156" s="42">
        <v>18.7</v>
      </c>
      <c r="L1156" s="42">
        <v>27.2</v>
      </c>
      <c r="M1156" s="48" t="s">
        <v>29</v>
      </c>
      <c r="N1156" s="42" t="s">
        <v>2152</v>
      </c>
      <c r="O1156" s="43">
        <v>44251</v>
      </c>
      <c r="P1156" s="42">
        <v>17.100000000000001</v>
      </c>
      <c r="Q1156" s="42">
        <v>27.4</v>
      </c>
      <c r="R1156" s="46" t="s">
        <v>29</v>
      </c>
      <c r="S1156" s="43">
        <v>44251</v>
      </c>
      <c r="T1156" s="51">
        <f t="shared" si="46"/>
        <v>3</v>
      </c>
      <c r="U1156" s="52" t="str">
        <f t="shared" si="45"/>
        <v>Detectável</v>
      </c>
    </row>
    <row r="1157" spans="1:21" ht="25.5" customHeight="1" x14ac:dyDescent="0.2">
      <c r="A1157" s="51">
        <v>1156</v>
      </c>
      <c r="B1157" s="50" t="s">
        <v>2164</v>
      </c>
      <c r="C1157" s="51">
        <v>39</v>
      </c>
      <c r="D1157" s="51" t="s">
        <v>25</v>
      </c>
      <c r="E1157" s="43" t="s">
        <v>2155</v>
      </c>
      <c r="F1157" s="44" t="s">
        <v>60</v>
      </c>
      <c r="G1157" s="51">
        <v>426</v>
      </c>
      <c r="H1157" s="43">
        <v>44251</v>
      </c>
      <c r="I1157" s="42" t="s">
        <v>2145</v>
      </c>
      <c r="J1157" s="43">
        <v>44251</v>
      </c>
      <c r="K1157" s="42">
        <v>18.7</v>
      </c>
      <c r="L1157" s="42">
        <v>27.2</v>
      </c>
      <c r="M1157" s="48" t="s">
        <v>29</v>
      </c>
      <c r="N1157" s="42" t="s">
        <v>2152</v>
      </c>
      <c r="O1157" s="43">
        <v>44251</v>
      </c>
      <c r="P1157" s="42" t="s">
        <v>36</v>
      </c>
      <c r="Q1157" s="42">
        <v>27.5</v>
      </c>
      <c r="R1157" s="46" t="s">
        <v>31</v>
      </c>
      <c r="S1157" s="43">
        <v>44251</v>
      </c>
      <c r="T1157" s="51">
        <f t="shared" si="46"/>
        <v>3</v>
      </c>
      <c r="U1157" s="52" t="str">
        <f t="shared" si="45"/>
        <v>Não Detectável</v>
      </c>
    </row>
    <row r="1158" spans="1:21" ht="25.5" customHeight="1" x14ac:dyDescent="0.2">
      <c r="A1158" s="51">
        <v>1157</v>
      </c>
      <c r="B1158" s="50" t="s">
        <v>2165</v>
      </c>
      <c r="C1158" s="51">
        <v>27</v>
      </c>
      <c r="D1158" s="51" t="s">
        <v>25</v>
      </c>
      <c r="E1158" s="43" t="s">
        <v>2155</v>
      </c>
      <c r="F1158" s="44" t="s">
        <v>60</v>
      </c>
      <c r="G1158" s="51">
        <v>427</v>
      </c>
      <c r="H1158" s="43">
        <v>44251</v>
      </c>
      <c r="I1158" s="42" t="s">
        <v>2145</v>
      </c>
      <c r="J1158" s="43">
        <v>44251</v>
      </c>
      <c r="K1158" s="42" t="s">
        <v>36</v>
      </c>
      <c r="L1158" s="42">
        <v>26.4</v>
      </c>
      <c r="M1158" s="45" t="s">
        <v>31</v>
      </c>
      <c r="N1158" s="42" t="s">
        <v>60</v>
      </c>
      <c r="O1158" s="43" t="s">
        <v>60</v>
      </c>
      <c r="P1158" s="42" t="s">
        <v>60</v>
      </c>
      <c r="Q1158" s="42" t="s">
        <v>60</v>
      </c>
      <c r="R1158" s="46" t="s">
        <v>60</v>
      </c>
      <c r="S1158" s="43">
        <v>44251</v>
      </c>
      <c r="T1158" s="51">
        <f t="shared" si="46"/>
        <v>3</v>
      </c>
      <c r="U1158" s="52" t="str">
        <f t="shared" si="45"/>
        <v>Não Detectável</v>
      </c>
    </row>
    <row r="1159" spans="1:21" ht="25.5" customHeight="1" x14ac:dyDescent="0.2">
      <c r="A1159" s="51">
        <v>1158</v>
      </c>
      <c r="B1159" s="50" t="s">
        <v>2166</v>
      </c>
      <c r="C1159" s="51">
        <v>20</v>
      </c>
      <c r="D1159" s="51" t="s">
        <v>25</v>
      </c>
      <c r="E1159" s="43" t="s">
        <v>2155</v>
      </c>
      <c r="F1159" s="44" t="s">
        <v>60</v>
      </c>
      <c r="G1159" s="51">
        <v>427</v>
      </c>
      <c r="H1159" s="43">
        <v>44251</v>
      </c>
      <c r="I1159" s="42" t="s">
        <v>2145</v>
      </c>
      <c r="J1159" s="43">
        <v>44251</v>
      </c>
      <c r="K1159" s="42" t="s">
        <v>36</v>
      </c>
      <c r="L1159" s="42">
        <v>26.4</v>
      </c>
      <c r="M1159" s="45" t="s">
        <v>31</v>
      </c>
      <c r="N1159" s="42" t="s">
        <v>60</v>
      </c>
      <c r="O1159" s="43" t="s">
        <v>60</v>
      </c>
      <c r="P1159" s="42" t="s">
        <v>60</v>
      </c>
      <c r="Q1159" s="42" t="s">
        <v>60</v>
      </c>
      <c r="R1159" s="46" t="s">
        <v>60</v>
      </c>
      <c r="S1159" s="43">
        <v>44251</v>
      </c>
      <c r="T1159" s="51">
        <f t="shared" si="46"/>
        <v>3</v>
      </c>
      <c r="U1159" s="52" t="str">
        <f t="shared" si="45"/>
        <v>Não Detectável</v>
      </c>
    </row>
    <row r="1160" spans="1:21" ht="25.5" customHeight="1" x14ac:dyDescent="0.2">
      <c r="A1160" s="51">
        <v>1159</v>
      </c>
      <c r="B1160" s="50" t="s">
        <v>2167</v>
      </c>
      <c r="C1160" s="51">
        <v>21</v>
      </c>
      <c r="D1160" s="51" t="s">
        <v>34</v>
      </c>
      <c r="E1160" s="43" t="s">
        <v>2155</v>
      </c>
      <c r="F1160" s="44" t="s">
        <v>60</v>
      </c>
      <c r="G1160" s="51">
        <v>427</v>
      </c>
      <c r="H1160" s="43">
        <v>44251</v>
      </c>
      <c r="I1160" s="42" t="s">
        <v>2145</v>
      </c>
      <c r="J1160" s="43">
        <v>44251</v>
      </c>
      <c r="K1160" s="42" t="s">
        <v>36</v>
      </c>
      <c r="L1160" s="42">
        <v>26.4</v>
      </c>
      <c r="M1160" s="45" t="s">
        <v>31</v>
      </c>
      <c r="N1160" s="42" t="s">
        <v>60</v>
      </c>
      <c r="O1160" s="43" t="s">
        <v>60</v>
      </c>
      <c r="P1160" s="42" t="s">
        <v>60</v>
      </c>
      <c r="Q1160" s="42" t="s">
        <v>60</v>
      </c>
      <c r="R1160" s="46" t="s">
        <v>60</v>
      </c>
      <c r="S1160" s="43">
        <v>44251</v>
      </c>
      <c r="T1160" s="51">
        <f t="shared" si="46"/>
        <v>3</v>
      </c>
      <c r="U1160" s="52" t="str">
        <f t="shared" si="45"/>
        <v>Não Detectável</v>
      </c>
    </row>
    <row r="1161" spans="1:21" ht="25.5" customHeight="1" x14ac:dyDescent="0.2">
      <c r="A1161" s="51">
        <v>1160</v>
      </c>
      <c r="B1161" s="50" t="s">
        <v>2168</v>
      </c>
      <c r="C1161" s="51">
        <v>19</v>
      </c>
      <c r="D1161" s="51" t="s">
        <v>34</v>
      </c>
      <c r="E1161" s="43" t="s">
        <v>2155</v>
      </c>
      <c r="F1161" s="44" t="s">
        <v>60</v>
      </c>
      <c r="G1161" s="51">
        <v>428</v>
      </c>
      <c r="H1161" s="43">
        <v>44251</v>
      </c>
      <c r="I1161" s="42" t="s">
        <v>2145</v>
      </c>
      <c r="J1161" s="43">
        <v>44251</v>
      </c>
      <c r="K1161" s="42">
        <v>27.4</v>
      </c>
      <c r="L1161" s="42">
        <v>25.5</v>
      </c>
      <c r="M1161" s="48" t="s">
        <v>29</v>
      </c>
      <c r="N1161" s="42" t="s">
        <v>2152</v>
      </c>
      <c r="O1161" s="43">
        <v>44251</v>
      </c>
      <c r="P1161" s="42">
        <f>AVERAGE(24.935,25.315)</f>
        <v>25.125</v>
      </c>
      <c r="Q1161" s="42">
        <v>26.7</v>
      </c>
      <c r="R1161" s="46" t="s">
        <v>29</v>
      </c>
      <c r="S1161" s="43">
        <v>44251</v>
      </c>
      <c r="T1161" s="51">
        <f t="shared" si="46"/>
        <v>3</v>
      </c>
      <c r="U1161" s="52" t="str">
        <f t="shared" si="45"/>
        <v>Detectável</v>
      </c>
    </row>
    <row r="1162" spans="1:21" ht="25.5" customHeight="1" x14ac:dyDescent="0.2">
      <c r="A1162" s="51">
        <v>1161</v>
      </c>
      <c r="B1162" s="50" t="s">
        <v>2169</v>
      </c>
      <c r="C1162" s="51">
        <v>56</v>
      </c>
      <c r="D1162" s="51" t="s">
        <v>25</v>
      </c>
      <c r="E1162" s="43" t="s">
        <v>2155</v>
      </c>
      <c r="F1162" s="44" t="s">
        <v>60</v>
      </c>
      <c r="G1162" s="51">
        <v>428</v>
      </c>
      <c r="H1162" s="43">
        <v>44251</v>
      </c>
      <c r="I1162" s="42" t="s">
        <v>2145</v>
      </c>
      <c r="J1162" s="43">
        <v>44251</v>
      </c>
      <c r="K1162" s="42">
        <v>27.4</v>
      </c>
      <c r="L1162" s="42">
        <v>25.5</v>
      </c>
      <c r="M1162" s="48" t="s">
        <v>29</v>
      </c>
      <c r="N1162" s="42" t="s">
        <v>2152</v>
      </c>
      <c r="O1162" s="43">
        <v>44251</v>
      </c>
      <c r="P1162" s="42" t="s">
        <v>36</v>
      </c>
      <c r="Q1162" s="42">
        <v>28.8</v>
      </c>
      <c r="R1162" s="46" t="s">
        <v>31</v>
      </c>
      <c r="S1162" s="43">
        <v>44251</v>
      </c>
      <c r="T1162" s="51">
        <f t="shared" si="46"/>
        <v>3</v>
      </c>
      <c r="U1162" s="52" t="str">
        <f t="shared" si="45"/>
        <v>Não Detectável</v>
      </c>
    </row>
    <row r="1163" spans="1:21" ht="25.5" customHeight="1" x14ac:dyDescent="0.2">
      <c r="A1163" s="51">
        <v>1162</v>
      </c>
      <c r="B1163" s="50" t="s">
        <v>2170</v>
      </c>
      <c r="C1163" s="51">
        <v>36</v>
      </c>
      <c r="D1163" s="51" t="s">
        <v>25</v>
      </c>
      <c r="E1163" s="43" t="s">
        <v>2155</v>
      </c>
      <c r="F1163" s="44" t="s">
        <v>60</v>
      </c>
      <c r="G1163" s="51">
        <v>428</v>
      </c>
      <c r="H1163" s="43">
        <v>44251</v>
      </c>
      <c r="I1163" s="42" t="s">
        <v>2145</v>
      </c>
      <c r="J1163" s="43">
        <v>44251</v>
      </c>
      <c r="K1163" s="42">
        <v>27.4</v>
      </c>
      <c r="L1163" s="42">
        <v>25.5</v>
      </c>
      <c r="M1163" s="48" t="s">
        <v>29</v>
      </c>
      <c r="N1163" s="42" t="s">
        <v>2171</v>
      </c>
      <c r="O1163" s="43">
        <v>44252</v>
      </c>
      <c r="P1163" s="42" t="s">
        <v>36</v>
      </c>
      <c r="Q1163" s="42">
        <v>27.7</v>
      </c>
      <c r="R1163" s="46" t="s">
        <v>31</v>
      </c>
      <c r="S1163" s="43">
        <v>44252</v>
      </c>
      <c r="T1163" s="51">
        <f t="shared" si="46"/>
        <v>3</v>
      </c>
      <c r="U1163" s="52" t="str">
        <f t="shared" si="45"/>
        <v>Não Detectável</v>
      </c>
    </row>
    <row r="1164" spans="1:21" ht="25.5" customHeight="1" x14ac:dyDescent="0.2">
      <c r="A1164" s="51">
        <v>1163</v>
      </c>
      <c r="B1164" s="50" t="s">
        <v>2172</v>
      </c>
      <c r="C1164" s="51">
        <v>19</v>
      </c>
      <c r="D1164" s="51" t="s">
        <v>25</v>
      </c>
      <c r="E1164" s="43" t="s">
        <v>2155</v>
      </c>
      <c r="F1164" s="44" t="s">
        <v>60</v>
      </c>
      <c r="G1164" s="51">
        <v>429</v>
      </c>
      <c r="H1164" s="43">
        <v>44251</v>
      </c>
      <c r="I1164" s="42" t="s">
        <v>2145</v>
      </c>
      <c r="J1164" s="43">
        <v>44251</v>
      </c>
      <c r="K1164" s="42" t="s">
        <v>36</v>
      </c>
      <c r="L1164" s="42">
        <v>26.5</v>
      </c>
      <c r="M1164" s="45" t="s">
        <v>31</v>
      </c>
      <c r="N1164" s="42" t="s">
        <v>60</v>
      </c>
      <c r="O1164" s="43" t="s">
        <v>60</v>
      </c>
      <c r="P1164" s="42" t="s">
        <v>60</v>
      </c>
      <c r="Q1164" s="42" t="s">
        <v>60</v>
      </c>
      <c r="R1164" s="46" t="s">
        <v>60</v>
      </c>
      <c r="S1164" s="43">
        <v>44251</v>
      </c>
      <c r="T1164" s="51">
        <f t="shared" si="46"/>
        <v>3</v>
      </c>
      <c r="U1164" s="52" t="str">
        <f t="shared" si="45"/>
        <v>Não Detectável</v>
      </c>
    </row>
    <row r="1165" spans="1:21" ht="25.5" customHeight="1" x14ac:dyDescent="0.2">
      <c r="A1165" s="51">
        <v>1164</v>
      </c>
      <c r="B1165" s="50" t="s">
        <v>2173</v>
      </c>
      <c r="C1165" s="51">
        <v>29</v>
      </c>
      <c r="D1165" s="51" t="s">
        <v>34</v>
      </c>
      <c r="E1165" s="43" t="s">
        <v>2155</v>
      </c>
      <c r="F1165" s="44" t="s">
        <v>60</v>
      </c>
      <c r="G1165" s="51">
        <v>429</v>
      </c>
      <c r="H1165" s="43">
        <v>44251</v>
      </c>
      <c r="I1165" s="42" t="s">
        <v>2145</v>
      </c>
      <c r="J1165" s="43">
        <v>44251</v>
      </c>
      <c r="K1165" s="42" t="s">
        <v>36</v>
      </c>
      <c r="L1165" s="42">
        <v>26.5</v>
      </c>
      <c r="M1165" s="45" t="s">
        <v>31</v>
      </c>
      <c r="N1165" s="42" t="s">
        <v>60</v>
      </c>
      <c r="O1165" s="43" t="s">
        <v>60</v>
      </c>
      <c r="P1165" s="42" t="s">
        <v>60</v>
      </c>
      <c r="Q1165" s="42" t="s">
        <v>60</v>
      </c>
      <c r="R1165" s="46" t="s">
        <v>60</v>
      </c>
      <c r="S1165" s="43">
        <v>44251</v>
      </c>
      <c r="T1165" s="51">
        <f t="shared" si="46"/>
        <v>3</v>
      </c>
      <c r="U1165" s="52" t="str">
        <f t="shared" si="45"/>
        <v>Não Detectável</v>
      </c>
    </row>
    <row r="1166" spans="1:21" ht="25.5" customHeight="1" x14ac:dyDescent="0.2">
      <c r="A1166" s="51">
        <v>1165</v>
      </c>
      <c r="B1166" s="50" t="s">
        <v>2174</v>
      </c>
      <c r="C1166" s="51">
        <v>49</v>
      </c>
      <c r="D1166" s="51" t="s">
        <v>25</v>
      </c>
      <c r="E1166" s="43" t="s">
        <v>2155</v>
      </c>
      <c r="F1166" s="44" t="s">
        <v>60</v>
      </c>
      <c r="G1166" s="51">
        <v>429</v>
      </c>
      <c r="H1166" s="43">
        <v>44251</v>
      </c>
      <c r="I1166" s="42" t="s">
        <v>2145</v>
      </c>
      <c r="J1166" s="43">
        <v>44251</v>
      </c>
      <c r="K1166" s="42" t="s">
        <v>36</v>
      </c>
      <c r="L1166" s="42">
        <v>26.5</v>
      </c>
      <c r="M1166" s="45" t="s">
        <v>31</v>
      </c>
      <c r="N1166" s="42" t="s">
        <v>60</v>
      </c>
      <c r="O1166" s="43" t="s">
        <v>60</v>
      </c>
      <c r="P1166" s="42" t="s">
        <v>60</v>
      </c>
      <c r="Q1166" s="42" t="s">
        <v>60</v>
      </c>
      <c r="R1166" s="46" t="s">
        <v>60</v>
      </c>
      <c r="S1166" s="43">
        <v>44251</v>
      </c>
      <c r="T1166" s="51">
        <f t="shared" si="46"/>
        <v>3</v>
      </c>
      <c r="U1166" s="52" t="str">
        <f t="shared" si="45"/>
        <v>Não Detectável</v>
      </c>
    </row>
    <row r="1167" spans="1:21" ht="25.5" customHeight="1" x14ac:dyDescent="0.2">
      <c r="A1167" s="51">
        <v>1166</v>
      </c>
      <c r="B1167" s="50" t="s">
        <v>2175</v>
      </c>
      <c r="C1167" s="51">
        <v>55</v>
      </c>
      <c r="D1167" s="51" t="s">
        <v>34</v>
      </c>
      <c r="E1167" s="43">
        <v>44251</v>
      </c>
      <c r="F1167" s="44" t="s">
        <v>60</v>
      </c>
      <c r="G1167" s="51">
        <v>430</v>
      </c>
      <c r="H1167" s="43">
        <v>44252</v>
      </c>
      <c r="I1167" s="42" t="s">
        <v>2176</v>
      </c>
      <c r="J1167" s="43">
        <v>44252</v>
      </c>
      <c r="K1167" s="42" t="s">
        <v>36</v>
      </c>
      <c r="L1167" s="42">
        <v>27.9</v>
      </c>
      <c r="M1167" s="45" t="s">
        <v>31</v>
      </c>
      <c r="N1167" s="42" t="s">
        <v>60</v>
      </c>
      <c r="O1167" s="43" t="s">
        <v>60</v>
      </c>
      <c r="P1167" s="42" t="s">
        <v>60</v>
      </c>
      <c r="Q1167" s="42" t="s">
        <v>60</v>
      </c>
      <c r="R1167" s="46" t="s">
        <v>60</v>
      </c>
      <c r="S1167" s="43">
        <v>44252</v>
      </c>
      <c r="T1167" s="51">
        <f t="shared" si="46"/>
        <v>3</v>
      </c>
      <c r="U1167" s="52" t="str">
        <f t="shared" si="45"/>
        <v>Não Detectável</v>
      </c>
    </row>
    <row r="1168" spans="1:21" ht="25.5" customHeight="1" x14ac:dyDescent="0.2">
      <c r="A1168" s="51">
        <v>1167</v>
      </c>
      <c r="B1168" s="50" t="s">
        <v>2177</v>
      </c>
      <c r="C1168" s="51">
        <v>51</v>
      </c>
      <c r="D1168" s="51" t="s">
        <v>25</v>
      </c>
      <c r="E1168" s="43">
        <v>44251</v>
      </c>
      <c r="F1168" s="44" t="s">
        <v>60</v>
      </c>
      <c r="G1168" s="51">
        <v>430</v>
      </c>
      <c r="H1168" s="43">
        <v>44252</v>
      </c>
      <c r="I1168" s="42" t="s">
        <v>2176</v>
      </c>
      <c r="J1168" s="43">
        <v>44252</v>
      </c>
      <c r="K1168" s="42" t="s">
        <v>36</v>
      </c>
      <c r="L1168" s="42">
        <v>27.9</v>
      </c>
      <c r="M1168" s="45" t="s">
        <v>31</v>
      </c>
      <c r="N1168" s="42" t="s">
        <v>60</v>
      </c>
      <c r="O1168" s="43" t="s">
        <v>60</v>
      </c>
      <c r="P1168" s="42" t="s">
        <v>60</v>
      </c>
      <c r="Q1168" s="42" t="s">
        <v>60</v>
      </c>
      <c r="R1168" s="46" t="s">
        <v>60</v>
      </c>
      <c r="S1168" s="43">
        <v>44252</v>
      </c>
      <c r="T1168" s="51">
        <f t="shared" si="46"/>
        <v>3</v>
      </c>
      <c r="U1168" s="52" t="str">
        <f t="shared" si="45"/>
        <v>Não Detectável</v>
      </c>
    </row>
    <row r="1169" spans="1:21" ht="25.5" customHeight="1" x14ac:dyDescent="0.2">
      <c r="A1169" s="51">
        <v>1168</v>
      </c>
      <c r="B1169" s="50" t="s">
        <v>2178</v>
      </c>
      <c r="C1169" s="51">
        <v>41</v>
      </c>
      <c r="D1169" s="51" t="s">
        <v>25</v>
      </c>
      <c r="E1169" s="43">
        <v>44251</v>
      </c>
      <c r="F1169" s="44" t="s">
        <v>60</v>
      </c>
      <c r="G1169" s="51">
        <v>430</v>
      </c>
      <c r="H1169" s="43">
        <v>44252</v>
      </c>
      <c r="I1169" s="42" t="s">
        <v>2176</v>
      </c>
      <c r="J1169" s="43">
        <v>44252</v>
      </c>
      <c r="K1169" s="42" t="s">
        <v>36</v>
      </c>
      <c r="L1169" s="42">
        <v>27.9</v>
      </c>
      <c r="M1169" s="45" t="s">
        <v>31</v>
      </c>
      <c r="N1169" s="42" t="s">
        <v>60</v>
      </c>
      <c r="O1169" s="43" t="s">
        <v>60</v>
      </c>
      <c r="P1169" s="42" t="s">
        <v>60</v>
      </c>
      <c r="Q1169" s="42" t="s">
        <v>60</v>
      </c>
      <c r="R1169" s="46" t="s">
        <v>60</v>
      </c>
      <c r="S1169" s="43">
        <v>44252</v>
      </c>
      <c r="T1169" s="51">
        <f t="shared" si="46"/>
        <v>3</v>
      </c>
      <c r="U1169" s="52" t="str">
        <f t="shared" si="45"/>
        <v>Não Detectável</v>
      </c>
    </row>
    <row r="1170" spans="1:21" ht="25.5" customHeight="1" x14ac:dyDescent="0.2">
      <c r="A1170" s="51">
        <v>1169</v>
      </c>
      <c r="B1170" s="50" t="s">
        <v>2179</v>
      </c>
      <c r="C1170" s="51">
        <v>13</v>
      </c>
      <c r="D1170" s="51" t="s">
        <v>34</v>
      </c>
      <c r="E1170" s="43">
        <v>44251</v>
      </c>
      <c r="F1170" s="44" t="s">
        <v>60</v>
      </c>
      <c r="G1170" s="51">
        <v>431</v>
      </c>
      <c r="H1170" s="43">
        <v>44252</v>
      </c>
      <c r="I1170" s="42" t="s">
        <v>2176</v>
      </c>
      <c r="J1170" s="43">
        <v>44252</v>
      </c>
      <c r="K1170" s="42">
        <v>34.799999999999997</v>
      </c>
      <c r="L1170" s="42">
        <v>28.3</v>
      </c>
      <c r="M1170" s="48" t="s">
        <v>29</v>
      </c>
      <c r="N1170" s="42" t="s">
        <v>2171</v>
      </c>
      <c r="O1170" s="43">
        <v>44252</v>
      </c>
      <c r="P1170" s="42" t="s">
        <v>36</v>
      </c>
      <c r="Q1170" s="42">
        <v>26.7</v>
      </c>
      <c r="R1170" s="46" t="s">
        <v>31</v>
      </c>
      <c r="S1170" s="43">
        <v>44252</v>
      </c>
      <c r="T1170" s="51">
        <f t="shared" si="46"/>
        <v>3</v>
      </c>
      <c r="U1170" s="52" t="str">
        <f t="shared" si="45"/>
        <v>Não Detectável</v>
      </c>
    </row>
    <row r="1171" spans="1:21" ht="25.5" customHeight="1" x14ac:dyDescent="0.2">
      <c r="A1171" s="51">
        <v>1170</v>
      </c>
      <c r="B1171" s="50" t="s">
        <v>2180</v>
      </c>
      <c r="C1171" s="51">
        <v>45</v>
      </c>
      <c r="D1171" s="51" t="s">
        <v>34</v>
      </c>
      <c r="E1171" s="43">
        <v>44251</v>
      </c>
      <c r="F1171" s="44" t="s">
        <v>60</v>
      </c>
      <c r="G1171" s="51">
        <v>431</v>
      </c>
      <c r="H1171" s="43">
        <v>44252</v>
      </c>
      <c r="I1171" s="42" t="s">
        <v>2176</v>
      </c>
      <c r="J1171" s="43">
        <v>44252</v>
      </c>
      <c r="K1171" s="42">
        <v>34.799999999999997</v>
      </c>
      <c r="L1171" s="42">
        <v>28.3</v>
      </c>
      <c r="M1171" s="48" t="s">
        <v>29</v>
      </c>
      <c r="N1171" s="42" t="s">
        <v>2171</v>
      </c>
      <c r="O1171" s="43">
        <v>44252</v>
      </c>
      <c r="P1171" s="42">
        <v>36.299999999999997</v>
      </c>
      <c r="Q1171" s="42">
        <v>28.2</v>
      </c>
      <c r="R1171" s="46" t="s">
        <v>201</v>
      </c>
      <c r="S1171" s="43">
        <v>44252</v>
      </c>
      <c r="T1171" s="51">
        <f t="shared" si="46"/>
        <v>3</v>
      </c>
      <c r="U1171" s="52" t="str">
        <f t="shared" si="45"/>
        <v>Inconclusivo</v>
      </c>
    </row>
    <row r="1172" spans="1:21" ht="25.5" customHeight="1" x14ac:dyDescent="0.2">
      <c r="A1172" s="51">
        <v>1171</v>
      </c>
      <c r="B1172" s="50" t="s">
        <v>2181</v>
      </c>
      <c r="C1172" s="51">
        <v>32</v>
      </c>
      <c r="D1172" s="51" t="s">
        <v>25</v>
      </c>
      <c r="E1172" s="43">
        <v>44251</v>
      </c>
      <c r="F1172" s="44" t="s">
        <v>60</v>
      </c>
      <c r="G1172" s="51">
        <v>431</v>
      </c>
      <c r="H1172" s="43">
        <v>44252</v>
      </c>
      <c r="I1172" s="42" t="s">
        <v>2176</v>
      </c>
      <c r="J1172" s="43">
        <v>44252</v>
      </c>
      <c r="K1172" s="42">
        <v>34.799999999999997</v>
      </c>
      <c r="L1172" s="42">
        <v>28.3</v>
      </c>
      <c r="M1172" s="48" t="s">
        <v>29</v>
      </c>
      <c r="N1172" s="42" t="s">
        <v>2171</v>
      </c>
      <c r="O1172" s="43">
        <v>44252</v>
      </c>
      <c r="P1172" s="42" t="s">
        <v>36</v>
      </c>
      <c r="Q1172" s="42">
        <v>27.8</v>
      </c>
      <c r="R1172" s="46" t="s">
        <v>31</v>
      </c>
      <c r="S1172" s="43">
        <v>44252</v>
      </c>
      <c r="T1172" s="51">
        <f t="shared" si="46"/>
        <v>3</v>
      </c>
      <c r="U1172" s="52" t="str">
        <f t="shared" si="45"/>
        <v>Não Detectável</v>
      </c>
    </row>
    <row r="1173" spans="1:21" ht="25.5" customHeight="1" x14ac:dyDescent="0.2">
      <c r="A1173" s="51">
        <v>1172</v>
      </c>
      <c r="B1173" s="50" t="s">
        <v>2182</v>
      </c>
      <c r="C1173" s="51">
        <v>24</v>
      </c>
      <c r="D1173" s="51" t="s">
        <v>25</v>
      </c>
      <c r="E1173" s="43">
        <v>44251</v>
      </c>
      <c r="F1173" s="44" t="s">
        <v>60</v>
      </c>
      <c r="G1173" s="51">
        <v>432</v>
      </c>
      <c r="H1173" s="43">
        <v>44252</v>
      </c>
      <c r="I1173" s="42" t="s">
        <v>2176</v>
      </c>
      <c r="J1173" s="43">
        <v>44252</v>
      </c>
      <c r="K1173" s="42">
        <v>17.100000000000001</v>
      </c>
      <c r="L1173" s="42">
        <v>27.8</v>
      </c>
      <c r="M1173" s="48" t="s">
        <v>29</v>
      </c>
      <c r="N1173" s="42" t="s">
        <v>2171</v>
      </c>
      <c r="O1173" s="43">
        <v>44252</v>
      </c>
      <c r="P1173" s="42">
        <v>19.7</v>
      </c>
      <c r="Q1173" s="42">
        <v>27.2</v>
      </c>
      <c r="R1173" s="46" t="s">
        <v>29</v>
      </c>
      <c r="S1173" s="43">
        <v>44252</v>
      </c>
      <c r="T1173" s="51">
        <f t="shared" si="46"/>
        <v>3</v>
      </c>
      <c r="U1173" s="52" t="str">
        <f t="shared" si="45"/>
        <v>Detectável</v>
      </c>
    </row>
    <row r="1174" spans="1:21" ht="25.5" customHeight="1" x14ac:dyDescent="0.2">
      <c r="A1174" s="51">
        <v>1173</v>
      </c>
      <c r="B1174" s="50" t="s">
        <v>2183</v>
      </c>
      <c r="C1174" s="51">
        <v>21</v>
      </c>
      <c r="D1174" s="51" t="s">
        <v>34</v>
      </c>
      <c r="E1174" s="43">
        <v>44251</v>
      </c>
      <c r="F1174" s="44" t="s">
        <v>60</v>
      </c>
      <c r="G1174" s="51">
        <v>432</v>
      </c>
      <c r="H1174" s="43">
        <v>44252</v>
      </c>
      <c r="I1174" s="42" t="s">
        <v>2176</v>
      </c>
      <c r="J1174" s="43">
        <v>44252</v>
      </c>
      <c r="K1174" s="42">
        <v>17.100000000000001</v>
      </c>
      <c r="L1174" s="42">
        <v>27.8</v>
      </c>
      <c r="M1174" s="48" t="s">
        <v>29</v>
      </c>
      <c r="N1174" s="42" t="s">
        <v>2171</v>
      </c>
      <c r="O1174" s="43">
        <v>44252</v>
      </c>
      <c r="P1174" s="42">
        <v>16.399999999999999</v>
      </c>
      <c r="Q1174" s="42">
        <v>27.8</v>
      </c>
      <c r="R1174" s="46" t="s">
        <v>29</v>
      </c>
      <c r="S1174" s="43">
        <v>44252</v>
      </c>
      <c r="T1174" s="51">
        <f t="shared" si="46"/>
        <v>3</v>
      </c>
      <c r="U1174" s="52" t="str">
        <f t="shared" si="45"/>
        <v>Detectável</v>
      </c>
    </row>
    <row r="1175" spans="1:21" ht="25.5" customHeight="1" x14ac:dyDescent="0.2">
      <c r="A1175" s="51">
        <v>1174</v>
      </c>
      <c r="B1175" s="50" t="s">
        <v>2184</v>
      </c>
      <c r="C1175" s="51">
        <v>26</v>
      </c>
      <c r="D1175" s="51" t="s">
        <v>25</v>
      </c>
      <c r="E1175" s="43">
        <v>44251</v>
      </c>
      <c r="F1175" s="44" t="s">
        <v>60</v>
      </c>
      <c r="G1175" s="51">
        <v>432</v>
      </c>
      <c r="H1175" s="43">
        <v>44252</v>
      </c>
      <c r="I1175" s="42" t="s">
        <v>2176</v>
      </c>
      <c r="J1175" s="43">
        <v>44252</v>
      </c>
      <c r="K1175" s="42">
        <v>17.100000000000001</v>
      </c>
      <c r="L1175" s="42">
        <v>27.8</v>
      </c>
      <c r="M1175" s="48" t="s">
        <v>29</v>
      </c>
      <c r="N1175" s="42" t="s">
        <v>2171</v>
      </c>
      <c r="O1175" s="43">
        <v>44252</v>
      </c>
      <c r="P1175" s="42" t="s">
        <v>36</v>
      </c>
      <c r="Q1175" s="42">
        <v>27.6</v>
      </c>
      <c r="R1175" s="46" t="s">
        <v>31</v>
      </c>
      <c r="S1175" s="43">
        <v>44252</v>
      </c>
      <c r="T1175" s="51">
        <f t="shared" si="46"/>
        <v>3</v>
      </c>
      <c r="U1175" s="52" t="str">
        <f t="shared" si="45"/>
        <v>Não Detectável</v>
      </c>
    </row>
    <row r="1176" spans="1:21" ht="25.5" customHeight="1" x14ac:dyDescent="0.2">
      <c r="A1176" s="51">
        <v>1175</v>
      </c>
      <c r="B1176" s="50" t="s">
        <v>2185</v>
      </c>
      <c r="C1176" s="51">
        <v>19</v>
      </c>
      <c r="D1176" s="51" t="s">
        <v>34</v>
      </c>
      <c r="E1176" s="43">
        <v>44251</v>
      </c>
      <c r="F1176" s="44" t="s">
        <v>60</v>
      </c>
      <c r="G1176" s="51">
        <v>433</v>
      </c>
      <c r="H1176" s="43">
        <v>44252</v>
      </c>
      <c r="I1176" s="42" t="s">
        <v>2176</v>
      </c>
      <c r="J1176" s="43">
        <v>44252</v>
      </c>
      <c r="K1176" s="42">
        <v>18.399999999999999</v>
      </c>
      <c r="L1176" s="42">
        <v>27.8</v>
      </c>
      <c r="M1176" s="48" t="s">
        <v>29</v>
      </c>
      <c r="N1176" s="42" t="s">
        <v>2171</v>
      </c>
      <c r="O1176" s="43">
        <v>44252</v>
      </c>
      <c r="P1176" s="42">
        <v>18.7</v>
      </c>
      <c r="Q1176" s="42">
        <v>27.5</v>
      </c>
      <c r="R1176" s="46" t="s">
        <v>29</v>
      </c>
      <c r="S1176" s="43">
        <v>44252</v>
      </c>
      <c r="T1176" s="51">
        <f t="shared" si="46"/>
        <v>3</v>
      </c>
      <c r="U1176" s="52" t="str">
        <f t="shared" si="45"/>
        <v>Detectável</v>
      </c>
    </row>
    <row r="1177" spans="1:21" ht="25.5" customHeight="1" x14ac:dyDescent="0.2">
      <c r="A1177" s="51">
        <v>1176</v>
      </c>
      <c r="B1177" s="50" t="s">
        <v>2186</v>
      </c>
      <c r="C1177" s="51">
        <v>46</v>
      </c>
      <c r="D1177" s="51" t="s">
        <v>34</v>
      </c>
      <c r="E1177" s="43">
        <v>44251</v>
      </c>
      <c r="F1177" s="44" t="s">
        <v>60</v>
      </c>
      <c r="G1177" s="51">
        <v>433</v>
      </c>
      <c r="H1177" s="43">
        <v>44252</v>
      </c>
      <c r="I1177" s="42" t="s">
        <v>2176</v>
      </c>
      <c r="J1177" s="43">
        <v>44252</v>
      </c>
      <c r="K1177" s="42">
        <v>18.399999999999999</v>
      </c>
      <c r="L1177" s="42">
        <v>27.8</v>
      </c>
      <c r="M1177" s="48" t="s">
        <v>29</v>
      </c>
      <c r="N1177" s="42" t="s">
        <v>2171</v>
      </c>
      <c r="O1177" s="43">
        <v>44252</v>
      </c>
      <c r="P1177" s="42">
        <v>15.7</v>
      </c>
      <c r="Q1177" s="42">
        <v>26.5</v>
      </c>
      <c r="R1177" s="46" t="s">
        <v>29</v>
      </c>
      <c r="S1177" s="43">
        <v>44252</v>
      </c>
      <c r="T1177" s="51">
        <f t="shared" si="46"/>
        <v>3</v>
      </c>
      <c r="U1177" s="52" t="str">
        <f t="shared" si="45"/>
        <v>Detectável</v>
      </c>
    </row>
    <row r="1178" spans="1:21" ht="25.5" customHeight="1" x14ac:dyDescent="0.2">
      <c r="A1178" s="51">
        <v>1177</v>
      </c>
      <c r="B1178" s="50" t="s">
        <v>2187</v>
      </c>
      <c r="C1178" s="51">
        <v>48</v>
      </c>
      <c r="D1178" s="51" t="s">
        <v>34</v>
      </c>
      <c r="E1178" s="43">
        <v>44251</v>
      </c>
      <c r="F1178" s="44" t="s">
        <v>60</v>
      </c>
      <c r="G1178" s="51">
        <v>433</v>
      </c>
      <c r="H1178" s="43">
        <v>44252</v>
      </c>
      <c r="I1178" s="42" t="s">
        <v>2176</v>
      </c>
      <c r="J1178" s="43">
        <v>44252</v>
      </c>
      <c r="K1178" s="42">
        <v>18.399999999999999</v>
      </c>
      <c r="L1178" s="42">
        <v>27.8</v>
      </c>
      <c r="M1178" s="48" t="s">
        <v>29</v>
      </c>
      <c r="N1178" s="42" t="s">
        <v>2171</v>
      </c>
      <c r="O1178" s="43">
        <v>44252</v>
      </c>
      <c r="P1178" s="42">
        <v>30.2</v>
      </c>
      <c r="Q1178" s="42">
        <v>28.3</v>
      </c>
      <c r="R1178" s="46" t="s">
        <v>29</v>
      </c>
      <c r="S1178" s="43">
        <v>44252</v>
      </c>
      <c r="T1178" s="51">
        <f t="shared" si="46"/>
        <v>3</v>
      </c>
      <c r="U1178" s="52" t="str">
        <f t="shared" si="45"/>
        <v>Detectável</v>
      </c>
    </row>
    <row r="1179" spans="1:21" ht="25.5" customHeight="1" x14ac:dyDescent="0.2">
      <c r="A1179" s="51">
        <v>1178</v>
      </c>
      <c r="B1179" s="50" t="s">
        <v>2188</v>
      </c>
      <c r="C1179" s="51">
        <v>16</v>
      </c>
      <c r="D1179" s="51" t="s">
        <v>25</v>
      </c>
      <c r="E1179" s="43">
        <v>44252</v>
      </c>
      <c r="F1179" s="44" t="s">
        <v>60</v>
      </c>
      <c r="G1179" s="51">
        <v>434</v>
      </c>
      <c r="H1179" s="43">
        <v>44253</v>
      </c>
      <c r="I1179" s="42" t="s">
        <v>2189</v>
      </c>
      <c r="J1179" s="43">
        <v>44253</v>
      </c>
      <c r="K1179" s="42">
        <v>22.1</v>
      </c>
      <c r="L1179" s="42">
        <v>27.6</v>
      </c>
      <c r="M1179" s="48" t="s">
        <v>29</v>
      </c>
      <c r="N1179" s="42" t="s">
        <v>2190</v>
      </c>
      <c r="O1179" s="43">
        <v>44256</v>
      </c>
      <c r="P1179" s="42" t="s">
        <v>36</v>
      </c>
      <c r="Q1179" s="42">
        <v>28.4</v>
      </c>
      <c r="R1179" s="46" t="s">
        <v>31</v>
      </c>
      <c r="S1179" s="43">
        <v>44256</v>
      </c>
      <c r="T1179" s="51">
        <f t="shared" si="46"/>
        <v>3</v>
      </c>
      <c r="U1179" s="52" t="str">
        <f t="shared" si="45"/>
        <v>Não Detectável</v>
      </c>
    </row>
    <row r="1180" spans="1:21" ht="25.5" customHeight="1" x14ac:dyDescent="0.2">
      <c r="A1180" s="51">
        <v>1179</v>
      </c>
      <c r="B1180" s="50" t="s">
        <v>2191</v>
      </c>
      <c r="C1180" s="51">
        <v>23</v>
      </c>
      <c r="D1180" s="51" t="s">
        <v>34</v>
      </c>
      <c r="E1180" s="43">
        <v>44252</v>
      </c>
      <c r="F1180" s="44" t="s">
        <v>60</v>
      </c>
      <c r="G1180" s="51">
        <v>434</v>
      </c>
      <c r="H1180" s="43">
        <v>44253</v>
      </c>
      <c r="I1180" s="42" t="s">
        <v>2189</v>
      </c>
      <c r="J1180" s="43">
        <v>44253</v>
      </c>
      <c r="K1180" s="42">
        <v>22.1</v>
      </c>
      <c r="L1180" s="42">
        <v>27.6</v>
      </c>
      <c r="M1180" s="48" t="s">
        <v>29</v>
      </c>
      <c r="N1180" s="42" t="s">
        <v>2190</v>
      </c>
      <c r="O1180" s="43">
        <v>44256</v>
      </c>
      <c r="P1180" s="42">
        <v>35.5</v>
      </c>
      <c r="Q1180" s="42">
        <v>28.4</v>
      </c>
      <c r="R1180" s="46" t="s">
        <v>29</v>
      </c>
      <c r="S1180" s="43">
        <v>44256</v>
      </c>
      <c r="T1180" s="51">
        <f t="shared" si="46"/>
        <v>3</v>
      </c>
      <c r="U1180" s="52" t="str">
        <f t="shared" si="45"/>
        <v>Detectável</v>
      </c>
    </row>
    <row r="1181" spans="1:21" ht="25.5" customHeight="1" x14ac:dyDescent="0.2">
      <c r="A1181" s="51">
        <v>1180</v>
      </c>
      <c r="B1181" s="50" t="s">
        <v>2192</v>
      </c>
      <c r="C1181" s="51">
        <v>63</v>
      </c>
      <c r="D1181" s="51" t="s">
        <v>34</v>
      </c>
      <c r="E1181" s="43">
        <v>44252</v>
      </c>
      <c r="F1181" s="44" t="s">
        <v>60</v>
      </c>
      <c r="G1181" s="51">
        <v>434</v>
      </c>
      <c r="H1181" s="43">
        <v>44253</v>
      </c>
      <c r="I1181" s="42" t="s">
        <v>2189</v>
      </c>
      <c r="J1181" s="43">
        <v>44253</v>
      </c>
      <c r="K1181" s="42">
        <v>22.1</v>
      </c>
      <c r="L1181" s="42">
        <v>27.6</v>
      </c>
      <c r="M1181" s="48" t="s">
        <v>29</v>
      </c>
      <c r="N1181" s="42" t="s">
        <v>2190</v>
      </c>
      <c r="O1181" s="43">
        <v>44256</v>
      </c>
      <c r="P1181" s="42">
        <v>23.2</v>
      </c>
      <c r="Q1181" s="42">
        <v>26.5</v>
      </c>
      <c r="R1181" s="46" t="s">
        <v>29</v>
      </c>
      <c r="S1181" s="43">
        <v>44256</v>
      </c>
      <c r="T1181" s="51">
        <f t="shared" si="46"/>
        <v>3</v>
      </c>
      <c r="U1181" s="52" t="str">
        <f t="shared" si="45"/>
        <v>Detectável</v>
      </c>
    </row>
    <row r="1182" spans="1:21" ht="25.5" customHeight="1" x14ac:dyDescent="0.2">
      <c r="A1182" s="51">
        <v>1181</v>
      </c>
      <c r="B1182" s="50" t="s">
        <v>2193</v>
      </c>
      <c r="C1182" s="51">
        <v>42</v>
      </c>
      <c r="D1182" s="51" t="s">
        <v>34</v>
      </c>
      <c r="E1182" s="43">
        <v>44252</v>
      </c>
      <c r="F1182" s="44" t="s">
        <v>60</v>
      </c>
      <c r="G1182" s="51">
        <v>435</v>
      </c>
      <c r="H1182" s="43">
        <v>44253</v>
      </c>
      <c r="I1182" s="42" t="s">
        <v>2189</v>
      </c>
      <c r="J1182" s="43">
        <v>44253</v>
      </c>
      <c r="K1182" s="42" t="s">
        <v>36</v>
      </c>
      <c r="L1182" s="42">
        <v>27.3</v>
      </c>
      <c r="M1182" s="45" t="s">
        <v>31</v>
      </c>
      <c r="N1182" s="42" t="s">
        <v>60</v>
      </c>
      <c r="O1182" s="43" t="s">
        <v>60</v>
      </c>
      <c r="P1182" s="42" t="s">
        <v>60</v>
      </c>
      <c r="Q1182" s="42" t="s">
        <v>60</v>
      </c>
      <c r="R1182" s="46" t="s">
        <v>60</v>
      </c>
      <c r="S1182" s="43">
        <v>44253</v>
      </c>
      <c r="T1182" s="51">
        <f t="shared" si="46"/>
        <v>3</v>
      </c>
      <c r="U1182" s="52" t="str">
        <f t="shared" si="45"/>
        <v>Não Detectável</v>
      </c>
    </row>
    <row r="1183" spans="1:21" ht="25.5" customHeight="1" x14ac:dyDescent="0.2">
      <c r="A1183" s="51">
        <v>1182</v>
      </c>
      <c r="B1183" s="50" t="s">
        <v>2194</v>
      </c>
      <c r="C1183" s="51">
        <v>44</v>
      </c>
      <c r="D1183" s="51" t="s">
        <v>25</v>
      </c>
      <c r="E1183" s="43">
        <v>44252</v>
      </c>
      <c r="F1183" s="44" t="s">
        <v>60</v>
      </c>
      <c r="G1183" s="51">
        <v>435</v>
      </c>
      <c r="H1183" s="43">
        <v>44253</v>
      </c>
      <c r="I1183" s="42" t="s">
        <v>2189</v>
      </c>
      <c r="J1183" s="43">
        <v>44253</v>
      </c>
      <c r="K1183" s="42" t="s">
        <v>36</v>
      </c>
      <c r="L1183" s="42">
        <v>27.3</v>
      </c>
      <c r="M1183" s="45" t="s">
        <v>31</v>
      </c>
      <c r="N1183" s="42" t="s">
        <v>60</v>
      </c>
      <c r="O1183" s="43" t="s">
        <v>60</v>
      </c>
      <c r="P1183" s="42" t="s">
        <v>60</v>
      </c>
      <c r="Q1183" s="42" t="s">
        <v>60</v>
      </c>
      <c r="R1183" s="46" t="s">
        <v>60</v>
      </c>
      <c r="S1183" s="43">
        <v>44253</v>
      </c>
      <c r="T1183" s="51">
        <f t="shared" si="46"/>
        <v>3</v>
      </c>
      <c r="U1183" s="52" t="str">
        <f t="shared" si="45"/>
        <v>Não Detectável</v>
      </c>
    </row>
    <row r="1184" spans="1:21" ht="25.5" customHeight="1" x14ac:dyDescent="0.2">
      <c r="A1184" s="51">
        <v>1183</v>
      </c>
      <c r="B1184" s="50" t="s">
        <v>2195</v>
      </c>
      <c r="C1184" s="51">
        <v>40</v>
      </c>
      <c r="D1184" s="51" t="s">
        <v>25</v>
      </c>
      <c r="E1184" s="43">
        <v>44252</v>
      </c>
      <c r="F1184" s="44" t="s">
        <v>60</v>
      </c>
      <c r="G1184" s="51">
        <v>435</v>
      </c>
      <c r="H1184" s="43">
        <v>44253</v>
      </c>
      <c r="I1184" s="42" t="s">
        <v>2189</v>
      </c>
      <c r="J1184" s="43">
        <v>44253</v>
      </c>
      <c r="K1184" s="42" t="s">
        <v>36</v>
      </c>
      <c r="L1184" s="42">
        <v>27.3</v>
      </c>
      <c r="M1184" s="45" t="s">
        <v>31</v>
      </c>
      <c r="N1184" s="42" t="s">
        <v>60</v>
      </c>
      <c r="O1184" s="43" t="s">
        <v>60</v>
      </c>
      <c r="P1184" s="42" t="s">
        <v>60</v>
      </c>
      <c r="Q1184" s="42" t="s">
        <v>60</v>
      </c>
      <c r="R1184" s="46" t="s">
        <v>60</v>
      </c>
      <c r="S1184" s="43">
        <v>44253</v>
      </c>
      <c r="T1184" s="51">
        <f t="shared" si="46"/>
        <v>3</v>
      </c>
      <c r="U1184" s="52" t="str">
        <f t="shared" si="45"/>
        <v>Não Detectável</v>
      </c>
    </row>
    <row r="1185" spans="1:21" ht="25.5" customHeight="1" x14ac:dyDescent="0.2">
      <c r="A1185" s="51">
        <v>1184</v>
      </c>
      <c r="B1185" s="50" t="s">
        <v>2196</v>
      </c>
      <c r="C1185" s="51">
        <v>49</v>
      </c>
      <c r="D1185" s="51" t="s">
        <v>25</v>
      </c>
      <c r="E1185" s="43">
        <v>44252</v>
      </c>
      <c r="F1185" s="44" t="s">
        <v>60</v>
      </c>
      <c r="G1185" s="51">
        <v>436</v>
      </c>
      <c r="H1185" s="43">
        <v>44253</v>
      </c>
      <c r="I1185" s="42" t="s">
        <v>2189</v>
      </c>
      <c r="J1185" s="43">
        <v>44253</v>
      </c>
      <c r="K1185" s="42">
        <v>19.5</v>
      </c>
      <c r="L1185" s="42">
        <v>28.7</v>
      </c>
      <c r="M1185" s="48" t="s">
        <v>29</v>
      </c>
      <c r="N1185" s="42" t="s">
        <v>2190</v>
      </c>
      <c r="O1185" s="43">
        <v>44256</v>
      </c>
      <c r="P1185" s="42" t="s">
        <v>36</v>
      </c>
      <c r="Q1185" s="42">
        <v>28.9</v>
      </c>
      <c r="R1185" s="46" t="s">
        <v>31</v>
      </c>
      <c r="S1185" s="43">
        <v>44256</v>
      </c>
      <c r="T1185" s="51">
        <f t="shared" si="46"/>
        <v>3</v>
      </c>
      <c r="U1185" s="52" t="str">
        <f t="shared" si="45"/>
        <v>Não Detectável</v>
      </c>
    </row>
    <row r="1186" spans="1:21" ht="25.5" customHeight="1" x14ac:dyDescent="0.2">
      <c r="A1186" s="51">
        <v>1185</v>
      </c>
      <c r="B1186" s="50" t="s">
        <v>2197</v>
      </c>
      <c r="C1186" s="51">
        <v>54</v>
      </c>
      <c r="D1186" s="51" t="s">
        <v>34</v>
      </c>
      <c r="E1186" s="43">
        <v>44252</v>
      </c>
      <c r="F1186" s="44" t="s">
        <v>60</v>
      </c>
      <c r="G1186" s="51">
        <v>436</v>
      </c>
      <c r="H1186" s="43">
        <v>44253</v>
      </c>
      <c r="I1186" s="42" t="s">
        <v>2189</v>
      </c>
      <c r="J1186" s="43">
        <v>44253</v>
      </c>
      <c r="K1186" s="42">
        <v>19.5</v>
      </c>
      <c r="L1186" s="42">
        <v>28.7</v>
      </c>
      <c r="M1186" s="48" t="s">
        <v>29</v>
      </c>
      <c r="N1186" s="42" t="s">
        <v>2190</v>
      </c>
      <c r="O1186" s="43">
        <v>44256</v>
      </c>
      <c r="P1186" s="42" t="s">
        <v>36</v>
      </c>
      <c r="Q1186" s="42">
        <v>28.7</v>
      </c>
      <c r="R1186" s="46" t="s">
        <v>31</v>
      </c>
      <c r="S1186" s="43">
        <v>44256</v>
      </c>
      <c r="T1186" s="51">
        <f t="shared" si="46"/>
        <v>3</v>
      </c>
      <c r="U1186" s="52" t="str">
        <f t="shared" si="45"/>
        <v>Não Detectável</v>
      </c>
    </row>
    <row r="1187" spans="1:21" ht="25.5" customHeight="1" x14ac:dyDescent="0.2">
      <c r="A1187" s="51">
        <v>1186</v>
      </c>
      <c r="B1187" s="50" t="s">
        <v>2198</v>
      </c>
      <c r="C1187" s="51">
        <v>25</v>
      </c>
      <c r="D1187" s="51" t="s">
        <v>25</v>
      </c>
      <c r="E1187" s="43">
        <v>44252</v>
      </c>
      <c r="F1187" s="44" t="s">
        <v>60</v>
      </c>
      <c r="G1187" s="51">
        <v>436</v>
      </c>
      <c r="H1187" s="43">
        <v>44253</v>
      </c>
      <c r="I1187" s="42" t="s">
        <v>2189</v>
      </c>
      <c r="J1187" s="43">
        <v>44253</v>
      </c>
      <c r="K1187" s="42">
        <v>19.5</v>
      </c>
      <c r="L1187" s="42">
        <v>28.7</v>
      </c>
      <c r="M1187" s="48" t="s">
        <v>29</v>
      </c>
      <c r="N1187" s="42" t="s">
        <v>2190</v>
      </c>
      <c r="O1187" s="43">
        <v>44256</v>
      </c>
      <c r="P1187" s="42">
        <v>18.600000000000001</v>
      </c>
      <c r="Q1187" s="42">
        <v>28.2</v>
      </c>
      <c r="R1187" s="46" t="s">
        <v>29</v>
      </c>
      <c r="S1187" s="43">
        <v>44256</v>
      </c>
      <c r="T1187" s="51">
        <f t="shared" si="46"/>
        <v>3</v>
      </c>
      <c r="U1187" s="52" t="str">
        <f t="shared" si="45"/>
        <v>Detectável</v>
      </c>
    </row>
    <row r="1188" spans="1:21" ht="25.5" customHeight="1" x14ac:dyDescent="0.2">
      <c r="A1188" s="51">
        <v>1187</v>
      </c>
      <c r="B1188" s="50" t="s">
        <v>2199</v>
      </c>
      <c r="C1188" s="51">
        <v>46</v>
      </c>
      <c r="D1188" s="51" t="s">
        <v>25</v>
      </c>
      <c r="E1188" s="43">
        <v>44252</v>
      </c>
      <c r="F1188" s="44" t="s">
        <v>60</v>
      </c>
      <c r="G1188" s="51">
        <v>437</v>
      </c>
      <c r="H1188" s="43">
        <v>44253</v>
      </c>
      <c r="I1188" s="42" t="s">
        <v>2190</v>
      </c>
      <c r="J1188" s="43">
        <v>44256</v>
      </c>
      <c r="K1188" s="42">
        <v>16.399999999999999</v>
      </c>
      <c r="L1188" s="42">
        <v>28.4</v>
      </c>
      <c r="M1188" s="48" t="s">
        <v>29</v>
      </c>
      <c r="N1188" s="42" t="s">
        <v>2200</v>
      </c>
      <c r="O1188" s="43">
        <v>44256</v>
      </c>
      <c r="P1188" s="42">
        <v>16</v>
      </c>
      <c r="Q1188" s="42">
        <v>29.8</v>
      </c>
      <c r="R1188" s="46" t="s">
        <v>29</v>
      </c>
      <c r="S1188" s="43">
        <v>44256</v>
      </c>
      <c r="T1188" s="51">
        <f t="shared" si="46"/>
        <v>3</v>
      </c>
      <c r="U1188" s="52" t="str">
        <f t="shared" si="45"/>
        <v>Detectável</v>
      </c>
    </row>
    <row r="1189" spans="1:21" ht="25.5" customHeight="1" x14ac:dyDescent="0.2">
      <c r="A1189" s="51">
        <v>1188</v>
      </c>
      <c r="B1189" s="50" t="s">
        <v>2201</v>
      </c>
      <c r="C1189" s="51">
        <v>43</v>
      </c>
      <c r="D1189" s="51" t="s">
        <v>25</v>
      </c>
      <c r="E1189" s="43">
        <v>44253</v>
      </c>
      <c r="F1189" s="44" t="s">
        <v>60</v>
      </c>
      <c r="G1189" s="51">
        <v>437</v>
      </c>
      <c r="H1189" s="43">
        <v>44256</v>
      </c>
      <c r="I1189" s="42" t="s">
        <v>2190</v>
      </c>
      <c r="J1189" s="43">
        <v>44256</v>
      </c>
      <c r="K1189" s="42">
        <v>16.399999999999999</v>
      </c>
      <c r="L1189" s="42">
        <v>28.4</v>
      </c>
      <c r="M1189" s="48" t="s">
        <v>29</v>
      </c>
      <c r="N1189" s="42" t="s">
        <v>2200</v>
      </c>
      <c r="O1189" s="43">
        <v>44256</v>
      </c>
      <c r="P1189" s="42" t="s">
        <v>36</v>
      </c>
      <c r="Q1189" s="42">
        <v>28.7</v>
      </c>
      <c r="R1189" s="46" t="s">
        <v>31</v>
      </c>
      <c r="S1189" s="43">
        <v>44256</v>
      </c>
      <c r="T1189" s="51">
        <f t="shared" si="46"/>
        <v>3</v>
      </c>
      <c r="U1189" s="52" t="str">
        <f t="shared" si="45"/>
        <v>Não Detectável</v>
      </c>
    </row>
    <row r="1190" spans="1:21" ht="25.5" customHeight="1" x14ac:dyDescent="0.2">
      <c r="A1190" s="51">
        <v>1189</v>
      </c>
      <c r="B1190" s="50" t="s">
        <v>2202</v>
      </c>
      <c r="C1190" s="51">
        <v>52</v>
      </c>
      <c r="D1190" s="51" t="s">
        <v>25</v>
      </c>
      <c r="E1190" s="43">
        <v>44253</v>
      </c>
      <c r="F1190" s="44" t="s">
        <v>60</v>
      </c>
      <c r="G1190" s="51">
        <v>437</v>
      </c>
      <c r="H1190" s="43">
        <v>44256</v>
      </c>
      <c r="I1190" s="42" t="s">
        <v>2190</v>
      </c>
      <c r="J1190" s="43">
        <v>44256</v>
      </c>
      <c r="K1190" s="42">
        <v>16.399999999999999</v>
      </c>
      <c r="L1190" s="42">
        <v>28.4</v>
      </c>
      <c r="M1190" s="48" t="s">
        <v>29</v>
      </c>
      <c r="N1190" s="42" t="s">
        <v>2200</v>
      </c>
      <c r="O1190" s="43">
        <v>44256</v>
      </c>
      <c r="P1190" s="42" t="s">
        <v>36</v>
      </c>
      <c r="Q1190" s="42">
        <v>28.3</v>
      </c>
      <c r="R1190" s="46" t="s">
        <v>31</v>
      </c>
      <c r="S1190" s="43">
        <v>44256</v>
      </c>
      <c r="T1190" s="51">
        <f t="shared" si="46"/>
        <v>3</v>
      </c>
      <c r="U1190" s="52" t="str">
        <f t="shared" si="45"/>
        <v>Não Detectável</v>
      </c>
    </row>
    <row r="1191" spans="1:21" ht="25.5" customHeight="1" x14ac:dyDescent="0.2">
      <c r="A1191" s="51">
        <v>1190</v>
      </c>
      <c r="B1191" s="50" t="s">
        <v>2203</v>
      </c>
      <c r="C1191" s="51">
        <v>51</v>
      </c>
      <c r="D1191" s="51" t="s">
        <v>34</v>
      </c>
      <c r="E1191" s="43">
        <v>44253</v>
      </c>
      <c r="F1191" s="44" t="s">
        <v>60</v>
      </c>
      <c r="G1191" s="51">
        <v>438</v>
      </c>
      <c r="H1191" s="43">
        <v>44256</v>
      </c>
      <c r="I1191" s="42" t="s">
        <v>2190</v>
      </c>
      <c r="J1191" s="43">
        <v>44256</v>
      </c>
      <c r="K1191" s="42">
        <v>25.5</v>
      </c>
      <c r="L1191" s="42">
        <v>26.4</v>
      </c>
      <c r="M1191" s="48" t="s">
        <v>29</v>
      </c>
      <c r="N1191" s="42" t="s">
        <v>2200</v>
      </c>
      <c r="O1191" s="43">
        <v>44256</v>
      </c>
      <c r="P1191" s="42">
        <v>22.3</v>
      </c>
      <c r="Q1191" s="42">
        <v>27.8</v>
      </c>
      <c r="R1191" s="46" t="s">
        <v>29</v>
      </c>
      <c r="S1191" s="43">
        <v>44256</v>
      </c>
      <c r="T1191" s="51">
        <f t="shared" si="46"/>
        <v>3</v>
      </c>
      <c r="U1191" s="52" t="str">
        <f t="shared" si="45"/>
        <v>Detectável</v>
      </c>
    </row>
    <row r="1192" spans="1:21" ht="25.5" customHeight="1" x14ac:dyDescent="0.2">
      <c r="A1192" s="51">
        <v>1191</v>
      </c>
      <c r="B1192" s="50" t="s">
        <v>2204</v>
      </c>
      <c r="C1192" s="51">
        <v>18</v>
      </c>
      <c r="D1192" s="51" t="s">
        <v>34</v>
      </c>
      <c r="E1192" s="43">
        <v>44253</v>
      </c>
      <c r="F1192" s="44" t="s">
        <v>60</v>
      </c>
      <c r="G1192" s="51">
        <v>438</v>
      </c>
      <c r="H1192" s="43">
        <v>44256</v>
      </c>
      <c r="I1192" s="42" t="s">
        <v>2190</v>
      </c>
      <c r="J1192" s="43">
        <v>44256</v>
      </c>
      <c r="K1192" s="42">
        <v>25.5</v>
      </c>
      <c r="L1192" s="42">
        <v>26.4</v>
      </c>
      <c r="M1192" s="48" t="s">
        <v>29</v>
      </c>
      <c r="N1192" s="42" t="s">
        <v>2200</v>
      </c>
      <c r="O1192" s="43">
        <v>44256</v>
      </c>
      <c r="P1192" s="42" t="s">
        <v>36</v>
      </c>
      <c r="Q1192" s="42">
        <v>26.2</v>
      </c>
      <c r="R1192" s="46" t="s">
        <v>31</v>
      </c>
      <c r="S1192" s="43">
        <v>44256</v>
      </c>
      <c r="T1192" s="51">
        <f t="shared" si="46"/>
        <v>3</v>
      </c>
      <c r="U1192" s="52" t="str">
        <f t="shared" si="45"/>
        <v>Não Detectável</v>
      </c>
    </row>
    <row r="1193" spans="1:21" ht="25.5" customHeight="1" x14ac:dyDescent="0.2">
      <c r="A1193" s="51">
        <v>1192</v>
      </c>
      <c r="B1193" s="50" t="s">
        <v>2205</v>
      </c>
      <c r="C1193" s="51">
        <v>22</v>
      </c>
      <c r="D1193" s="51" t="s">
        <v>25</v>
      </c>
      <c r="E1193" s="43">
        <v>44253</v>
      </c>
      <c r="F1193" s="44" t="s">
        <v>60</v>
      </c>
      <c r="G1193" s="51">
        <v>438</v>
      </c>
      <c r="H1193" s="43">
        <v>44256</v>
      </c>
      <c r="I1193" s="42" t="s">
        <v>2190</v>
      </c>
      <c r="J1193" s="43">
        <v>44256</v>
      </c>
      <c r="K1193" s="42">
        <v>25.5</v>
      </c>
      <c r="L1193" s="42">
        <v>26.4</v>
      </c>
      <c r="M1193" s="48" t="s">
        <v>29</v>
      </c>
      <c r="N1193" s="42" t="s">
        <v>2200</v>
      </c>
      <c r="O1193" s="43">
        <v>44256</v>
      </c>
      <c r="P1193" s="42" t="s">
        <v>36</v>
      </c>
      <c r="Q1193" s="42">
        <v>28.5</v>
      </c>
      <c r="R1193" s="46" t="s">
        <v>31</v>
      </c>
      <c r="S1193" s="43">
        <v>44256</v>
      </c>
      <c r="T1193" s="51">
        <f t="shared" si="46"/>
        <v>3</v>
      </c>
      <c r="U1193" s="52" t="str">
        <f t="shared" si="45"/>
        <v>Não Detectável</v>
      </c>
    </row>
    <row r="1194" spans="1:21" ht="25.5" customHeight="1" x14ac:dyDescent="0.2">
      <c r="A1194" s="51">
        <v>1193</v>
      </c>
      <c r="B1194" s="50" t="s">
        <v>2206</v>
      </c>
      <c r="C1194" s="51">
        <v>46</v>
      </c>
      <c r="D1194" s="51" t="s">
        <v>34</v>
      </c>
      <c r="E1194" s="43">
        <v>44253</v>
      </c>
      <c r="F1194" s="44" t="s">
        <v>60</v>
      </c>
      <c r="G1194" s="51">
        <v>439</v>
      </c>
      <c r="H1194" s="43">
        <v>44256</v>
      </c>
      <c r="I1194" s="42" t="s">
        <v>2190</v>
      </c>
      <c r="J1194" s="43">
        <v>44256</v>
      </c>
      <c r="K1194" s="42" t="s">
        <v>36</v>
      </c>
      <c r="L1194" s="42">
        <v>25.9</v>
      </c>
      <c r="M1194" s="45" t="s">
        <v>31</v>
      </c>
      <c r="N1194" s="42" t="s">
        <v>60</v>
      </c>
      <c r="O1194" s="43" t="s">
        <v>60</v>
      </c>
      <c r="P1194" s="42" t="s">
        <v>60</v>
      </c>
      <c r="Q1194" s="42" t="s">
        <v>60</v>
      </c>
      <c r="R1194" s="46" t="s">
        <v>60</v>
      </c>
      <c r="S1194" s="43">
        <v>44256</v>
      </c>
      <c r="T1194" s="51">
        <f t="shared" si="46"/>
        <v>3</v>
      </c>
      <c r="U1194" s="52" t="str">
        <f t="shared" si="45"/>
        <v>Não Detectável</v>
      </c>
    </row>
    <row r="1195" spans="1:21" ht="25.5" customHeight="1" x14ac:dyDescent="0.2">
      <c r="A1195" s="51">
        <v>1194</v>
      </c>
      <c r="B1195" s="50" t="s">
        <v>2207</v>
      </c>
      <c r="C1195" s="51">
        <v>79</v>
      </c>
      <c r="D1195" s="51" t="s">
        <v>25</v>
      </c>
      <c r="E1195" s="43">
        <v>44253</v>
      </c>
      <c r="F1195" s="44" t="s">
        <v>60</v>
      </c>
      <c r="G1195" s="51">
        <v>439</v>
      </c>
      <c r="H1195" s="43">
        <v>44256</v>
      </c>
      <c r="I1195" s="42" t="s">
        <v>2190</v>
      </c>
      <c r="J1195" s="43">
        <v>44256</v>
      </c>
      <c r="K1195" s="42" t="s">
        <v>36</v>
      </c>
      <c r="L1195" s="42">
        <v>25.9</v>
      </c>
      <c r="M1195" s="45" t="s">
        <v>31</v>
      </c>
      <c r="N1195" s="42" t="s">
        <v>60</v>
      </c>
      <c r="O1195" s="43" t="s">
        <v>60</v>
      </c>
      <c r="P1195" s="42" t="s">
        <v>60</v>
      </c>
      <c r="Q1195" s="42" t="s">
        <v>60</v>
      </c>
      <c r="R1195" s="46" t="s">
        <v>60</v>
      </c>
      <c r="S1195" s="43">
        <v>44256</v>
      </c>
      <c r="T1195" s="51">
        <f t="shared" si="46"/>
        <v>3</v>
      </c>
      <c r="U1195" s="52" t="str">
        <f t="shared" si="45"/>
        <v>Não Detectável</v>
      </c>
    </row>
    <row r="1196" spans="1:21" ht="25.5" customHeight="1" x14ac:dyDescent="0.2">
      <c r="A1196" s="51">
        <v>1195</v>
      </c>
      <c r="B1196" s="50" t="s">
        <v>2208</v>
      </c>
      <c r="C1196" s="51">
        <v>34</v>
      </c>
      <c r="D1196" s="51" t="s">
        <v>34</v>
      </c>
      <c r="E1196" s="43">
        <v>44253</v>
      </c>
      <c r="F1196" s="44" t="s">
        <v>60</v>
      </c>
      <c r="G1196" s="51">
        <v>439</v>
      </c>
      <c r="H1196" s="43">
        <v>44256</v>
      </c>
      <c r="I1196" s="42" t="s">
        <v>2190</v>
      </c>
      <c r="J1196" s="43">
        <v>44256</v>
      </c>
      <c r="K1196" s="42" t="s">
        <v>36</v>
      </c>
      <c r="L1196" s="42">
        <v>25.9</v>
      </c>
      <c r="M1196" s="45" t="s">
        <v>31</v>
      </c>
      <c r="N1196" s="42" t="s">
        <v>60</v>
      </c>
      <c r="O1196" s="43" t="s">
        <v>60</v>
      </c>
      <c r="P1196" s="42" t="s">
        <v>60</v>
      </c>
      <c r="Q1196" s="42" t="s">
        <v>60</v>
      </c>
      <c r="R1196" s="46" t="s">
        <v>60</v>
      </c>
      <c r="S1196" s="43">
        <v>44256</v>
      </c>
      <c r="T1196" s="51">
        <f t="shared" si="46"/>
        <v>3</v>
      </c>
      <c r="U1196" s="52" t="str">
        <f t="shared" si="45"/>
        <v>Não Detectável</v>
      </c>
    </row>
    <row r="1197" spans="1:21" ht="25.5" customHeight="1" x14ac:dyDescent="0.2">
      <c r="A1197" s="51">
        <v>1196</v>
      </c>
      <c r="B1197" s="50" t="s">
        <v>2209</v>
      </c>
      <c r="C1197" s="51">
        <v>27</v>
      </c>
      <c r="D1197" s="51" t="s">
        <v>25</v>
      </c>
      <c r="E1197" s="43">
        <v>44253</v>
      </c>
      <c r="F1197" s="44" t="s">
        <v>60</v>
      </c>
      <c r="G1197" s="51">
        <v>440</v>
      </c>
      <c r="H1197" s="43">
        <v>44256</v>
      </c>
      <c r="I1197" s="42" t="s">
        <v>2190</v>
      </c>
      <c r="J1197" s="43">
        <v>44256</v>
      </c>
      <c r="K1197" s="42">
        <v>21.6</v>
      </c>
      <c r="L1197" s="42">
        <v>28.2</v>
      </c>
      <c r="M1197" s="48" t="s">
        <v>29</v>
      </c>
      <c r="N1197" s="42" t="s">
        <v>2200</v>
      </c>
      <c r="O1197" s="43">
        <v>44256</v>
      </c>
      <c r="P1197" s="42" t="s">
        <v>36</v>
      </c>
      <c r="Q1197" s="42">
        <v>28.8</v>
      </c>
      <c r="R1197" s="46" t="s">
        <v>31</v>
      </c>
      <c r="S1197" s="43">
        <v>44256</v>
      </c>
      <c r="T1197" s="51">
        <f t="shared" si="46"/>
        <v>3</v>
      </c>
      <c r="U1197" s="52" t="str">
        <f t="shared" si="45"/>
        <v>Não Detectável</v>
      </c>
    </row>
    <row r="1198" spans="1:21" ht="25.5" customHeight="1" x14ac:dyDescent="0.2">
      <c r="A1198" s="51">
        <v>1197</v>
      </c>
      <c r="B1198" s="50" t="s">
        <v>2210</v>
      </c>
      <c r="C1198" s="51">
        <v>77</v>
      </c>
      <c r="D1198" s="51" t="s">
        <v>34</v>
      </c>
      <c r="E1198" s="43">
        <v>44253</v>
      </c>
      <c r="F1198" s="44" t="s">
        <v>60</v>
      </c>
      <c r="G1198" s="51">
        <v>440</v>
      </c>
      <c r="H1198" s="43">
        <v>44256</v>
      </c>
      <c r="I1198" s="42" t="s">
        <v>2190</v>
      </c>
      <c r="J1198" s="43">
        <v>44256</v>
      </c>
      <c r="K1198" s="42">
        <v>21.6</v>
      </c>
      <c r="L1198" s="42">
        <v>28.2</v>
      </c>
      <c r="M1198" s="48" t="s">
        <v>29</v>
      </c>
      <c r="N1198" s="42" t="s">
        <v>2200</v>
      </c>
      <c r="O1198" s="43">
        <v>44256</v>
      </c>
      <c r="P1198" s="42">
        <v>19</v>
      </c>
      <c r="Q1198" s="42">
        <v>28</v>
      </c>
      <c r="R1198" s="46" t="s">
        <v>29</v>
      </c>
      <c r="S1198" s="43">
        <v>44256</v>
      </c>
      <c r="T1198" s="51">
        <f t="shared" si="46"/>
        <v>3</v>
      </c>
      <c r="U1198" s="52" t="str">
        <f t="shared" si="45"/>
        <v>Detectável</v>
      </c>
    </row>
    <row r="1199" spans="1:21" ht="25.5" customHeight="1" x14ac:dyDescent="0.2">
      <c r="A1199" s="51">
        <v>1198</v>
      </c>
      <c r="B1199" s="50" t="s">
        <v>2211</v>
      </c>
      <c r="C1199" s="51">
        <v>31</v>
      </c>
      <c r="D1199" s="51" t="s">
        <v>25</v>
      </c>
      <c r="E1199" s="43">
        <v>44253</v>
      </c>
      <c r="F1199" s="44" t="s">
        <v>60</v>
      </c>
      <c r="G1199" s="51">
        <v>440</v>
      </c>
      <c r="H1199" s="43">
        <v>44256</v>
      </c>
      <c r="I1199" s="42" t="s">
        <v>2190</v>
      </c>
      <c r="J1199" s="43">
        <v>44256</v>
      </c>
      <c r="K1199" s="42">
        <v>21.6</v>
      </c>
      <c r="L1199" s="42">
        <v>28.2</v>
      </c>
      <c r="M1199" s="48" t="s">
        <v>29</v>
      </c>
      <c r="N1199" s="42" t="s">
        <v>2200</v>
      </c>
      <c r="O1199" s="43">
        <v>44256</v>
      </c>
      <c r="P1199" s="42">
        <f>AVERAGE(23.82,24.935)</f>
        <v>24.377499999999998</v>
      </c>
      <c r="Q1199" s="42">
        <f>AVERAGE(29.03,29.453)</f>
        <v>29.241500000000002</v>
      </c>
      <c r="R1199" s="46" t="s">
        <v>29</v>
      </c>
      <c r="S1199" s="43">
        <v>44256</v>
      </c>
      <c r="T1199" s="51">
        <f t="shared" si="46"/>
        <v>3</v>
      </c>
      <c r="U1199" s="52" t="str">
        <f t="shared" si="45"/>
        <v>Detectável</v>
      </c>
    </row>
    <row r="1200" spans="1:21" ht="25.5" customHeight="1" x14ac:dyDescent="0.2">
      <c r="A1200" s="51">
        <v>1199</v>
      </c>
      <c r="B1200" s="50" t="s">
        <v>2212</v>
      </c>
      <c r="C1200" s="51">
        <v>69</v>
      </c>
      <c r="D1200" s="51" t="s">
        <v>34</v>
      </c>
      <c r="E1200" s="43">
        <v>44253</v>
      </c>
      <c r="F1200" s="44" t="s">
        <v>60</v>
      </c>
      <c r="G1200" s="51">
        <v>441</v>
      </c>
      <c r="H1200" s="43">
        <v>44256</v>
      </c>
      <c r="I1200" s="42" t="s">
        <v>2213</v>
      </c>
      <c r="J1200" s="43">
        <v>44257</v>
      </c>
      <c r="K1200" s="42">
        <v>32.6</v>
      </c>
      <c r="L1200" s="42">
        <v>26.1</v>
      </c>
      <c r="M1200" s="48" t="s">
        <v>29</v>
      </c>
      <c r="N1200" s="42" t="s">
        <v>2214</v>
      </c>
      <c r="O1200" s="43">
        <v>44258</v>
      </c>
      <c r="P1200" s="42" t="s">
        <v>36</v>
      </c>
      <c r="Q1200" s="42">
        <v>30.6</v>
      </c>
      <c r="R1200" s="46" t="s">
        <v>31</v>
      </c>
      <c r="S1200" s="43">
        <v>44258</v>
      </c>
      <c r="T1200" s="51">
        <f t="shared" si="46"/>
        <v>3</v>
      </c>
      <c r="U1200" s="52" t="str">
        <f t="shared" si="45"/>
        <v>Não Detectável</v>
      </c>
    </row>
    <row r="1201" spans="1:21" ht="25.5" customHeight="1" x14ac:dyDescent="0.2">
      <c r="A1201" s="51">
        <v>1200</v>
      </c>
      <c r="B1201" s="50" t="s">
        <v>2215</v>
      </c>
      <c r="C1201" s="51">
        <v>49</v>
      </c>
      <c r="D1201" s="51" t="s">
        <v>34</v>
      </c>
      <c r="E1201" s="43">
        <v>44256</v>
      </c>
      <c r="F1201" s="44" t="s">
        <v>60</v>
      </c>
      <c r="G1201" s="51">
        <v>441</v>
      </c>
      <c r="H1201" s="43">
        <v>44257</v>
      </c>
      <c r="I1201" s="42" t="s">
        <v>2213</v>
      </c>
      <c r="J1201" s="43">
        <v>44257</v>
      </c>
      <c r="K1201" s="42">
        <v>32.6</v>
      </c>
      <c r="L1201" s="42">
        <v>26.1</v>
      </c>
      <c r="M1201" s="48" t="s">
        <v>29</v>
      </c>
      <c r="N1201" s="42" t="s">
        <v>2214</v>
      </c>
      <c r="O1201" s="43">
        <v>44258</v>
      </c>
      <c r="P1201" s="42">
        <v>32.200000000000003</v>
      </c>
      <c r="Q1201" s="42">
        <v>28.4</v>
      </c>
      <c r="R1201" s="46" t="s">
        <v>29</v>
      </c>
      <c r="S1201" s="43">
        <v>44258</v>
      </c>
      <c r="T1201" s="51">
        <f t="shared" si="46"/>
        <v>3</v>
      </c>
      <c r="U1201" s="52" t="str">
        <f t="shared" si="45"/>
        <v>Detectável</v>
      </c>
    </row>
    <row r="1202" spans="1:21" ht="25.5" customHeight="1" x14ac:dyDescent="0.2">
      <c r="A1202" s="51">
        <v>1201</v>
      </c>
      <c r="B1202" s="50" t="s">
        <v>2216</v>
      </c>
      <c r="C1202" s="51">
        <v>57</v>
      </c>
      <c r="D1202" s="51" t="s">
        <v>25</v>
      </c>
      <c r="E1202" s="43">
        <v>44256</v>
      </c>
      <c r="F1202" s="44" t="s">
        <v>60</v>
      </c>
      <c r="G1202" s="51">
        <v>441</v>
      </c>
      <c r="H1202" s="43">
        <v>44257</v>
      </c>
      <c r="I1202" s="42" t="s">
        <v>2213</v>
      </c>
      <c r="J1202" s="43">
        <v>44257</v>
      </c>
      <c r="K1202" s="42">
        <v>32.6</v>
      </c>
      <c r="L1202" s="42">
        <v>26.1</v>
      </c>
      <c r="M1202" s="48" t="s">
        <v>29</v>
      </c>
      <c r="N1202" s="42" t="s">
        <v>2214</v>
      </c>
      <c r="O1202" s="43">
        <v>44258</v>
      </c>
      <c r="P1202" s="42" t="s">
        <v>36</v>
      </c>
      <c r="Q1202" s="42">
        <v>26.7</v>
      </c>
      <c r="R1202" s="46" t="s">
        <v>31</v>
      </c>
      <c r="S1202" s="43">
        <v>44258</v>
      </c>
      <c r="T1202" s="51">
        <f t="shared" si="46"/>
        <v>3</v>
      </c>
      <c r="U1202" s="52" t="str">
        <f t="shared" si="45"/>
        <v>Não Detectável</v>
      </c>
    </row>
    <row r="1203" spans="1:21" ht="25.5" customHeight="1" x14ac:dyDescent="0.2">
      <c r="A1203" s="51">
        <v>1202</v>
      </c>
      <c r="B1203" s="50" t="s">
        <v>2217</v>
      </c>
      <c r="C1203" s="51">
        <v>28</v>
      </c>
      <c r="D1203" s="51" t="s">
        <v>34</v>
      </c>
      <c r="E1203" s="43">
        <v>44256</v>
      </c>
      <c r="F1203" s="44" t="s">
        <v>60</v>
      </c>
      <c r="G1203" s="51">
        <v>442</v>
      </c>
      <c r="H1203" s="43">
        <v>44257</v>
      </c>
      <c r="I1203" s="42" t="s">
        <v>2213</v>
      </c>
      <c r="J1203" s="43">
        <v>44257</v>
      </c>
      <c r="K1203" s="42">
        <v>15.9</v>
      </c>
      <c r="L1203" s="42">
        <v>24.7</v>
      </c>
      <c r="M1203" s="48" t="s">
        <v>29</v>
      </c>
      <c r="N1203" s="42" t="s">
        <v>2214</v>
      </c>
      <c r="O1203" s="43">
        <v>44258</v>
      </c>
      <c r="P1203" s="42" t="s">
        <v>36</v>
      </c>
      <c r="Q1203" s="42">
        <v>25.7</v>
      </c>
      <c r="R1203" s="46" t="s">
        <v>31</v>
      </c>
      <c r="S1203" s="43">
        <v>44258</v>
      </c>
      <c r="T1203" s="51">
        <f t="shared" si="46"/>
        <v>3</v>
      </c>
      <c r="U1203" s="52" t="str">
        <f t="shared" si="45"/>
        <v>Não Detectável</v>
      </c>
    </row>
    <row r="1204" spans="1:21" ht="25.5" customHeight="1" x14ac:dyDescent="0.2">
      <c r="A1204" s="51">
        <v>1203</v>
      </c>
      <c r="B1204" s="50" t="s">
        <v>2218</v>
      </c>
      <c r="C1204" s="51">
        <v>35</v>
      </c>
      <c r="D1204" s="51" t="s">
        <v>34</v>
      </c>
      <c r="E1204" s="43">
        <v>44256</v>
      </c>
      <c r="F1204" s="44" t="s">
        <v>60</v>
      </c>
      <c r="G1204" s="51">
        <v>442</v>
      </c>
      <c r="H1204" s="43">
        <v>44257</v>
      </c>
      <c r="I1204" s="42" t="s">
        <v>2213</v>
      </c>
      <c r="J1204" s="43">
        <v>44257</v>
      </c>
      <c r="K1204" s="42">
        <v>15.9</v>
      </c>
      <c r="L1204" s="42">
        <v>24.7</v>
      </c>
      <c r="M1204" s="48" t="s">
        <v>29</v>
      </c>
      <c r="N1204" s="42" t="s">
        <v>2214</v>
      </c>
      <c r="O1204" s="43">
        <v>44258</v>
      </c>
      <c r="P1204" s="42">
        <v>15</v>
      </c>
      <c r="Q1204" s="42">
        <v>25.5</v>
      </c>
      <c r="R1204" s="46" t="s">
        <v>29</v>
      </c>
      <c r="S1204" s="43">
        <v>44258</v>
      </c>
      <c r="T1204" s="51">
        <f t="shared" si="46"/>
        <v>3</v>
      </c>
      <c r="U1204" s="52" t="str">
        <f t="shared" ref="U1204:U1267" si="47">IF(M1204="Não Detectável","Não Detectável",IF(R1204="","",R1204))</f>
        <v>Detectável</v>
      </c>
    </row>
    <row r="1205" spans="1:21" ht="25.5" customHeight="1" x14ac:dyDescent="0.2">
      <c r="A1205" s="51">
        <v>1204</v>
      </c>
      <c r="B1205" s="50" t="s">
        <v>2219</v>
      </c>
      <c r="C1205" s="51">
        <v>35</v>
      </c>
      <c r="D1205" s="51" t="s">
        <v>34</v>
      </c>
      <c r="E1205" s="43">
        <v>44256</v>
      </c>
      <c r="F1205" s="44" t="s">
        <v>60</v>
      </c>
      <c r="G1205" s="51">
        <v>442</v>
      </c>
      <c r="H1205" s="43">
        <v>44257</v>
      </c>
      <c r="I1205" s="42" t="s">
        <v>2213</v>
      </c>
      <c r="J1205" s="43">
        <v>44257</v>
      </c>
      <c r="K1205" s="42">
        <v>15.9</v>
      </c>
      <c r="L1205" s="42">
        <v>24.7</v>
      </c>
      <c r="M1205" s="48" t="s">
        <v>29</v>
      </c>
      <c r="N1205" s="42" t="s">
        <v>2214</v>
      </c>
      <c r="O1205" s="43">
        <v>44258</v>
      </c>
      <c r="P1205" s="42">
        <v>14.1</v>
      </c>
      <c r="Q1205" s="42">
        <v>28.1</v>
      </c>
      <c r="R1205" s="46" t="s">
        <v>29</v>
      </c>
      <c r="S1205" s="43">
        <v>44258</v>
      </c>
      <c r="T1205" s="51">
        <f t="shared" ref="T1205:T1268" si="48">COUNTIF(G:G,G1205)</f>
        <v>3</v>
      </c>
      <c r="U1205" s="52" t="str">
        <f t="shared" si="47"/>
        <v>Detectável</v>
      </c>
    </row>
    <row r="1206" spans="1:21" ht="25.5" customHeight="1" x14ac:dyDescent="0.2">
      <c r="A1206" s="51">
        <v>1205</v>
      </c>
      <c r="B1206" s="53" t="s">
        <v>2220</v>
      </c>
      <c r="C1206" s="54">
        <v>32</v>
      </c>
      <c r="D1206" s="54" t="s">
        <v>34</v>
      </c>
      <c r="E1206" s="55">
        <v>44257</v>
      </c>
      <c r="F1206" s="56" t="s">
        <v>60</v>
      </c>
      <c r="G1206" s="57">
        <v>443</v>
      </c>
      <c r="H1206" s="58">
        <v>44258</v>
      </c>
      <c r="I1206" s="42" t="s">
        <v>2214</v>
      </c>
      <c r="J1206" s="43">
        <v>44258</v>
      </c>
      <c r="K1206" s="42">
        <v>18.8</v>
      </c>
      <c r="L1206" s="42">
        <v>28.5</v>
      </c>
      <c r="M1206" s="48" t="s">
        <v>29</v>
      </c>
      <c r="N1206" s="42" t="s">
        <v>2221</v>
      </c>
      <c r="O1206" s="43">
        <v>44258</v>
      </c>
      <c r="P1206" s="42">
        <v>16.600000000000001</v>
      </c>
      <c r="Q1206" s="42">
        <v>29.1</v>
      </c>
      <c r="R1206" s="46" t="s">
        <v>29</v>
      </c>
      <c r="S1206" s="43">
        <v>44259</v>
      </c>
      <c r="T1206" s="51">
        <f t="shared" si="48"/>
        <v>3</v>
      </c>
      <c r="U1206" s="52" t="str">
        <f t="shared" si="47"/>
        <v>Detectável</v>
      </c>
    </row>
    <row r="1207" spans="1:21" ht="25.5" customHeight="1" x14ac:dyDescent="0.2">
      <c r="A1207" s="51">
        <v>1206</v>
      </c>
      <c r="B1207" s="53" t="s">
        <v>2222</v>
      </c>
      <c r="C1207" s="54">
        <v>61</v>
      </c>
      <c r="D1207" s="54" t="s">
        <v>25</v>
      </c>
      <c r="E1207" s="55">
        <v>44257</v>
      </c>
      <c r="F1207" s="56" t="s">
        <v>60</v>
      </c>
      <c r="G1207" s="57">
        <v>443</v>
      </c>
      <c r="H1207" s="58">
        <v>44258</v>
      </c>
      <c r="I1207" s="42" t="s">
        <v>2214</v>
      </c>
      <c r="J1207" s="43">
        <v>44258</v>
      </c>
      <c r="K1207" s="42">
        <v>18.8</v>
      </c>
      <c r="L1207" s="42">
        <v>28.5</v>
      </c>
      <c r="M1207" s="48" t="s">
        <v>29</v>
      </c>
      <c r="N1207" s="42" t="s">
        <v>2221</v>
      </c>
      <c r="O1207" s="43">
        <v>44258</v>
      </c>
      <c r="P1207" s="42">
        <v>23.4</v>
      </c>
      <c r="Q1207" s="42">
        <v>29.2</v>
      </c>
      <c r="R1207" s="46" t="s">
        <v>29</v>
      </c>
      <c r="S1207" s="43">
        <v>44259</v>
      </c>
      <c r="T1207" s="51">
        <f t="shared" si="48"/>
        <v>3</v>
      </c>
      <c r="U1207" s="52" t="str">
        <f t="shared" si="47"/>
        <v>Detectável</v>
      </c>
    </row>
    <row r="1208" spans="1:21" ht="25.5" customHeight="1" x14ac:dyDescent="0.2">
      <c r="A1208" s="51">
        <v>1207</v>
      </c>
      <c r="B1208" s="53" t="s">
        <v>2223</v>
      </c>
      <c r="C1208" s="54">
        <v>68</v>
      </c>
      <c r="D1208" s="54" t="s">
        <v>34</v>
      </c>
      <c r="E1208" s="55">
        <v>44257</v>
      </c>
      <c r="F1208" s="56" t="s">
        <v>60</v>
      </c>
      <c r="G1208" s="57">
        <v>443</v>
      </c>
      <c r="H1208" s="58">
        <v>44258</v>
      </c>
      <c r="I1208" s="42" t="s">
        <v>2214</v>
      </c>
      <c r="J1208" s="43">
        <v>44258</v>
      </c>
      <c r="K1208" s="42">
        <v>18.8</v>
      </c>
      <c r="L1208" s="42">
        <v>28.5</v>
      </c>
      <c r="M1208" s="48" t="s">
        <v>29</v>
      </c>
      <c r="N1208" s="42" t="s">
        <v>2221</v>
      </c>
      <c r="O1208" s="43">
        <v>44258</v>
      </c>
      <c r="P1208" s="42">
        <v>36.1</v>
      </c>
      <c r="Q1208" s="42">
        <v>28.3</v>
      </c>
      <c r="R1208" s="46" t="s">
        <v>201</v>
      </c>
      <c r="S1208" s="43">
        <v>44259</v>
      </c>
      <c r="T1208" s="51">
        <f t="shared" si="48"/>
        <v>3</v>
      </c>
      <c r="U1208" s="52" t="str">
        <f t="shared" si="47"/>
        <v>Inconclusivo</v>
      </c>
    </row>
    <row r="1209" spans="1:21" ht="25.5" customHeight="1" x14ac:dyDescent="0.2">
      <c r="A1209" s="51">
        <v>1208</v>
      </c>
      <c r="B1209" s="53" t="s">
        <v>2224</v>
      </c>
      <c r="C1209" s="54">
        <v>53</v>
      </c>
      <c r="D1209" s="54" t="s">
        <v>25</v>
      </c>
      <c r="E1209" s="55">
        <v>44257</v>
      </c>
      <c r="F1209" s="56" t="s">
        <v>60</v>
      </c>
      <c r="G1209" s="57">
        <v>444</v>
      </c>
      <c r="H1209" s="58">
        <v>44258</v>
      </c>
      <c r="I1209" s="42" t="s">
        <v>2214</v>
      </c>
      <c r="J1209" s="43">
        <v>44258</v>
      </c>
      <c r="K1209" s="42">
        <v>26.1</v>
      </c>
      <c r="L1209" s="42">
        <v>28.4</v>
      </c>
      <c r="M1209" s="48" t="s">
        <v>29</v>
      </c>
      <c r="N1209" s="42" t="s">
        <v>2221</v>
      </c>
      <c r="O1209" s="43">
        <v>44258</v>
      </c>
      <c r="P1209" s="42" t="s">
        <v>36</v>
      </c>
      <c r="Q1209" s="42">
        <v>28.4</v>
      </c>
      <c r="R1209" s="46" t="s">
        <v>31</v>
      </c>
      <c r="S1209" s="43">
        <v>44259</v>
      </c>
      <c r="T1209" s="51">
        <f t="shared" si="48"/>
        <v>3</v>
      </c>
      <c r="U1209" s="52" t="str">
        <f t="shared" si="47"/>
        <v>Não Detectável</v>
      </c>
    </row>
    <row r="1210" spans="1:21" ht="25.5" customHeight="1" x14ac:dyDescent="0.2">
      <c r="A1210" s="51">
        <v>1209</v>
      </c>
      <c r="B1210" s="53" t="s">
        <v>2225</v>
      </c>
      <c r="C1210" s="54">
        <v>51</v>
      </c>
      <c r="D1210" s="54" t="s">
        <v>34</v>
      </c>
      <c r="E1210" s="55">
        <v>44257</v>
      </c>
      <c r="F1210" s="56" t="s">
        <v>60</v>
      </c>
      <c r="G1210" s="57">
        <v>444</v>
      </c>
      <c r="H1210" s="58">
        <v>44258</v>
      </c>
      <c r="I1210" s="42" t="s">
        <v>2214</v>
      </c>
      <c r="J1210" s="43">
        <v>44258</v>
      </c>
      <c r="K1210" s="42">
        <v>26.1</v>
      </c>
      <c r="L1210" s="42">
        <v>28.4</v>
      </c>
      <c r="M1210" s="48" t="s">
        <v>29</v>
      </c>
      <c r="N1210" s="42" t="s">
        <v>2221</v>
      </c>
      <c r="O1210" s="43">
        <v>44258</v>
      </c>
      <c r="P1210" s="42">
        <v>23.5</v>
      </c>
      <c r="Q1210" s="42">
        <v>29.2</v>
      </c>
      <c r="R1210" s="46" t="s">
        <v>29</v>
      </c>
      <c r="S1210" s="43">
        <v>44259</v>
      </c>
      <c r="T1210" s="51">
        <f t="shared" si="48"/>
        <v>3</v>
      </c>
      <c r="U1210" s="52" t="str">
        <f t="shared" si="47"/>
        <v>Detectável</v>
      </c>
    </row>
    <row r="1211" spans="1:21" ht="25.5" customHeight="1" x14ac:dyDescent="0.2">
      <c r="A1211" s="51">
        <v>1210</v>
      </c>
      <c r="B1211" s="53" t="s">
        <v>2226</v>
      </c>
      <c r="C1211" s="54">
        <v>38</v>
      </c>
      <c r="D1211" s="54" t="s">
        <v>34</v>
      </c>
      <c r="E1211" s="55">
        <v>44257</v>
      </c>
      <c r="F1211" s="56" t="s">
        <v>60</v>
      </c>
      <c r="G1211" s="57">
        <v>444</v>
      </c>
      <c r="H1211" s="58">
        <v>44258</v>
      </c>
      <c r="I1211" s="42" t="s">
        <v>2214</v>
      </c>
      <c r="J1211" s="43">
        <v>44258</v>
      </c>
      <c r="K1211" s="42">
        <v>26.1</v>
      </c>
      <c r="L1211" s="42">
        <v>28.4</v>
      </c>
      <c r="M1211" s="48" t="s">
        <v>29</v>
      </c>
      <c r="N1211" s="42" t="s">
        <v>2221</v>
      </c>
      <c r="O1211" s="43">
        <v>44258</v>
      </c>
      <c r="P1211" s="42" t="s">
        <v>36</v>
      </c>
      <c r="Q1211" s="42">
        <v>28.4</v>
      </c>
      <c r="R1211" s="46" t="s">
        <v>31</v>
      </c>
      <c r="S1211" s="43">
        <v>44259</v>
      </c>
      <c r="T1211" s="51">
        <f t="shared" si="48"/>
        <v>3</v>
      </c>
      <c r="U1211" s="52" t="str">
        <f t="shared" si="47"/>
        <v>Não Detectável</v>
      </c>
    </row>
    <row r="1212" spans="1:21" ht="25.5" customHeight="1" x14ac:dyDescent="0.2">
      <c r="A1212" s="51">
        <v>1211</v>
      </c>
      <c r="B1212" s="53" t="s">
        <v>2227</v>
      </c>
      <c r="C1212" s="54">
        <v>26</v>
      </c>
      <c r="D1212" s="54" t="s">
        <v>25</v>
      </c>
      <c r="E1212" s="55">
        <v>44257</v>
      </c>
      <c r="F1212" s="56" t="s">
        <v>60</v>
      </c>
      <c r="G1212" s="57">
        <v>445</v>
      </c>
      <c r="H1212" s="58">
        <v>44258</v>
      </c>
      <c r="I1212" s="42" t="s">
        <v>2214</v>
      </c>
      <c r="J1212" s="43">
        <v>44258</v>
      </c>
      <c r="K1212" s="42">
        <v>27.8</v>
      </c>
      <c r="L1212" s="42">
        <v>28.6</v>
      </c>
      <c r="M1212" s="48" t="s">
        <v>29</v>
      </c>
      <c r="N1212" s="42" t="s">
        <v>2221</v>
      </c>
      <c r="O1212" s="43">
        <v>44258</v>
      </c>
      <c r="P1212" s="42" t="s">
        <v>36</v>
      </c>
      <c r="Q1212" s="42">
        <v>29.1</v>
      </c>
      <c r="R1212" s="46" t="s">
        <v>31</v>
      </c>
      <c r="S1212" s="43">
        <v>44259</v>
      </c>
      <c r="T1212" s="51">
        <f t="shared" si="48"/>
        <v>3</v>
      </c>
      <c r="U1212" s="52" t="str">
        <f t="shared" si="47"/>
        <v>Não Detectável</v>
      </c>
    </row>
    <row r="1213" spans="1:21" ht="25.5" customHeight="1" x14ac:dyDescent="0.2">
      <c r="A1213" s="51">
        <v>1212</v>
      </c>
      <c r="B1213" s="53" t="s">
        <v>2228</v>
      </c>
      <c r="C1213" s="54">
        <v>35</v>
      </c>
      <c r="D1213" s="54" t="s">
        <v>34</v>
      </c>
      <c r="E1213" s="55">
        <v>44257</v>
      </c>
      <c r="F1213" s="56" t="s">
        <v>60</v>
      </c>
      <c r="G1213" s="57">
        <v>445</v>
      </c>
      <c r="H1213" s="58">
        <v>44258</v>
      </c>
      <c r="I1213" s="42" t="s">
        <v>2214</v>
      </c>
      <c r="J1213" s="43">
        <v>44258</v>
      </c>
      <c r="K1213" s="42">
        <v>27.8</v>
      </c>
      <c r="L1213" s="42">
        <v>28.6</v>
      </c>
      <c r="M1213" s="48" t="s">
        <v>29</v>
      </c>
      <c r="N1213" s="42" t="s">
        <v>2221</v>
      </c>
      <c r="O1213" s="43">
        <v>44258</v>
      </c>
      <c r="P1213" s="42">
        <v>25.8</v>
      </c>
      <c r="Q1213" s="42">
        <v>27.6</v>
      </c>
      <c r="R1213" s="46" t="s">
        <v>29</v>
      </c>
      <c r="S1213" s="43">
        <v>44259</v>
      </c>
      <c r="T1213" s="51">
        <f t="shared" si="48"/>
        <v>3</v>
      </c>
      <c r="U1213" s="52" t="str">
        <f t="shared" si="47"/>
        <v>Detectável</v>
      </c>
    </row>
    <row r="1214" spans="1:21" ht="25.5" customHeight="1" x14ac:dyDescent="0.2">
      <c r="A1214" s="51">
        <v>1213</v>
      </c>
      <c r="B1214" s="53" t="s">
        <v>2229</v>
      </c>
      <c r="C1214" s="54">
        <v>74</v>
      </c>
      <c r="D1214" s="54" t="s">
        <v>25</v>
      </c>
      <c r="E1214" s="55">
        <v>44257</v>
      </c>
      <c r="F1214" s="56" t="s">
        <v>60</v>
      </c>
      <c r="G1214" s="57">
        <v>445</v>
      </c>
      <c r="H1214" s="58">
        <v>44258</v>
      </c>
      <c r="I1214" s="42" t="s">
        <v>2214</v>
      </c>
      <c r="J1214" s="43">
        <v>44258</v>
      </c>
      <c r="K1214" s="42">
        <v>27.8</v>
      </c>
      <c r="L1214" s="42">
        <v>28.6</v>
      </c>
      <c r="M1214" s="48" t="s">
        <v>29</v>
      </c>
      <c r="N1214" s="42" t="s">
        <v>2221</v>
      </c>
      <c r="O1214" s="43">
        <v>44258</v>
      </c>
      <c r="P1214" s="42">
        <v>35.5</v>
      </c>
      <c r="Q1214" s="42">
        <v>29.5</v>
      </c>
      <c r="R1214" s="46" t="s">
        <v>29</v>
      </c>
      <c r="S1214" s="43">
        <v>44259</v>
      </c>
      <c r="T1214" s="51">
        <f t="shared" si="48"/>
        <v>3</v>
      </c>
      <c r="U1214" s="52" t="str">
        <f t="shared" si="47"/>
        <v>Detectável</v>
      </c>
    </row>
    <row r="1215" spans="1:21" ht="25.5" customHeight="1" x14ac:dyDescent="0.2">
      <c r="A1215" s="51">
        <v>1214</v>
      </c>
      <c r="B1215" s="59" t="s">
        <v>2230</v>
      </c>
      <c r="C1215" s="57">
        <v>21</v>
      </c>
      <c r="D1215" s="57" t="s">
        <v>25</v>
      </c>
      <c r="E1215" s="58">
        <v>44258</v>
      </c>
      <c r="F1215" s="56" t="s">
        <v>60</v>
      </c>
      <c r="G1215" s="57">
        <v>446</v>
      </c>
      <c r="H1215" s="58">
        <v>44259</v>
      </c>
      <c r="I1215" s="42" t="s">
        <v>2231</v>
      </c>
      <c r="J1215" s="43">
        <v>44259</v>
      </c>
      <c r="K1215" s="42">
        <v>19.899999999999999</v>
      </c>
      <c r="L1215" s="42">
        <v>30.1</v>
      </c>
      <c r="M1215" s="48" t="s">
        <v>29</v>
      </c>
      <c r="N1215" s="42" t="s">
        <v>2232</v>
      </c>
      <c r="O1215" s="43">
        <v>44259</v>
      </c>
      <c r="P1215" s="42">
        <v>20.7</v>
      </c>
      <c r="Q1215" s="42">
        <v>29.6</v>
      </c>
      <c r="R1215" s="46" t="s">
        <v>29</v>
      </c>
      <c r="S1215" s="43">
        <v>44259</v>
      </c>
      <c r="T1215" s="51">
        <f t="shared" si="48"/>
        <v>3</v>
      </c>
      <c r="U1215" s="52" t="str">
        <f t="shared" si="47"/>
        <v>Detectável</v>
      </c>
    </row>
    <row r="1216" spans="1:21" ht="25.5" customHeight="1" x14ac:dyDescent="0.2">
      <c r="A1216" s="51">
        <v>1215</v>
      </c>
      <c r="B1216" s="59" t="s">
        <v>2233</v>
      </c>
      <c r="C1216" s="57">
        <v>67</v>
      </c>
      <c r="D1216" s="57" t="s">
        <v>25</v>
      </c>
      <c r="E1216" s="58">
        <v>44258</v>
      </c>
      <c r="F1216" s="56" t="s">
        <v>60</v>
      </c>
      <c r="G1216" s="57">
        <v>446</v>
      </c>
      <c r="H1216" s="58">
        <v>44259</v>
      </c>
      <c r="I1216" s="42" t="s">
        <v>2231</v>
      </c>
      <c r="J1216" s="43">
        <v>44259</v>
      </c>
      <c r="K1216" s="42">
        <v>19.899999999999999</v>
      </c>
      <c r="L1216" s="42">
        <v>30.1</v>
      </c>
      <c r="M1216" s="48" t="s">
        <v>29</v>
      </c>
      <c r="N1216" s="42" t="s">
        <v>2232</v>
      </c>
      <c r="O1216" s="43">
        <v>44259</v>
      </c>
      <c r="P1216" s="42">
        <v>17.8</v>
      </c>
      <c r="Q1216" s="42">
        <v>29.6</v>
      </c>
      <c r="R1216" s="46" t="s">
        <v>29</v>
      </c>
      <c r="S1216" s="43">
        <v>44259</v>
      </c>
      <c r="T1216" s="51">
        <f t="shared" si="48"/>
        <v>3</v>
      </c>
      <c r="U1216" s="52" t="str">
        <f t="shared" si="47"/>
        <v>Detectável</v>
      </c>
    </row>
    <row r="1217" spans="1:21" ht="25.5" customHeight="1" x14ac:dyDescent="0.2">
      <c r="A1217" s="51">
        <v>1216</v>
      </c>
      <c r="B1217" s="59" t="s">
        <v>2234</v>
      </c>
      <c r="C1217" s="57">
        <v>44</v>
      </c>
      <c r="D1217" s="57" t="s">
        <v>25</v>
      </c>
      <c r="E1217" s="58">
        <v>44258</v>
      </c>
      <c r="F1217" s="56" t="s">
        <v>60</v>
      </c>
      <c r="G1217" s="57">
        <v>446</v>
      </c>
      <c r="H1217" s="58">
        <v>44259</v>
      </c>
      <c r="I1217" s="42" t="s">
        <v>2231</v>
      </c>
      <c r="J1217" s="43">
        <v>44259</v>
      </c>
      <c r="K1217" s="42">
        <v>19.899999999999999</v>
      </c>
      <c r="L1217" s="42">
        <v>30.1</v>
      </c>
      <c r="M1217" s="48" t="s">
        <v>29</v>
      </c>
      <c r="N1217" s="42" t="s">
        <v>2232</v>
      </c>
      <c r="O1217" s="43">
        <v>44259</v>
      </c>
      <c r="P1217" s="42" t="s">
        <v>36</v>
      </c>
      <c r="Q1217" s="42">
        <v>30.6</v>
      </c>
      <c r="R1217" s="46" t="s">
        <v>31</v>
      </c>
      <c r="S1217" s="43">
        <v>44259</v>
      </c>
      <c r="T1217" s="51">
        <f t="shared" si="48"/>
        <v>3</v>
      </c>
      <c r="U1217" s="52" t="str">
        <f t="shared" si="47"/>
        <v>Não Detectável</v>
      </c>
    </row>
    <row r="1218" spans="1:21" ht="25.5" customHeight="1" x14ac:dyDescent="0.2">
      <c r="A1218" s="51">
        <v>1217</v>
      </c>
      <c r="B1218" s="59" t="s">
        <v>2235</v>
      </c>
      <c r="C1218" s="57">
        <v>22</v>
      </c>
      <c r="D1218" s="57" t="s">
        <v>25</v>
      </c>
      <c r="E1218" s="58">
        <v>44258</v>
      </c>
      <c r="F1218" s="56" t="s">
        <v>60</v>
      </c>
      <c r="G1218" s="57">
        <v>447</v>
      </c>
      <c r="H1218" s="58">
        <v>44259</v>
      </c>
      <c r="I1218" s="42" t="s">
        <v>2231</v>
      </c>
      <c r="J1218" s="43">
        <v>44259</v>
      </c>
      <c r="K1218" s="42">
        <v>20.100000000000001</v>
      </c>
      <c r="L1218" s="42">
        <v>30.2</v>
      </c>
      <c r="M1218" s="48" t="s">
        <v>29</v>
      </c>
      <c r="N1218" s="42" t="s">
        <v>2232</v>
      </c>
      <c r="O1218" s="43">
        <v>44259</v>
      </c>
      <c r="P1218" s="42">
        <v>20</v>
      </c>
      <c r="Q1218" s="42">
        <v>29.8</v>
      </c>
      <c r="R1218" s="46" t="s">
        <v>29</v>
      </c>
      <c r="S1218" s="43">
        <v>44259</v>
      </c>
      <c r="T1218" s="51">
        <f t="shared" si="48"/>
        <v>3</v>
      </c>
      <c r="U1218" s="52" t="str">
        <f t="shared" si="47"/>
        <v>Detectável</v>
      </c>
    </row>
    <row r="1219" spans="1:21" ht="25.5" customHeight="1" x14ac:dyDescent="0.2">
      <c r="A1219" s="51">
        <v>1218</v>
      </c>
      <c r="B1219" s="59" t="s">
        <v>2236</v>
      </c>
      <c r="C1219" s="57">
        <v>41</v>
      </c>
      <c r="D1219" s="57" t="s">
        <v>25</v>
      </c>
      <c r="E1219" s="58">
        <v>44258</v>
      </c>
      <c r="F1219" s="56" t="s">
        <v>60</v>
      </c>
      <c r="G1219" s="57">
        <v>447</v>
      </c>
      <c r="H1219" s="58">
        <v>44259</v>
      </c>
      <c r="I1219" s="42" t="s">
        <v>2231</v>
      </c>
      <c r="J1219" s="43">
        <v>44259</v>
      </c>
      <c r="K1219" s="42">
        <v>20.100000000000001</v>
      </c>
      <c r="L1219" s="42">
        <v>30.2</v>
      </c>
      <c r="M1219" s="48" t="s">
        <v>29</v>
      </c>
      <c r="N1219" s="42" t="s">
        <v>2232</v>
      </c>
      <c r="O1219" s="43">
        <v>44259</v>
      </c>
      <c r="P1219" s="42" t="s">
        <v>36</v>
      </c>
      <c r="Q1219" s="42">
        <v>30.7</v>
      </c>
      <c r="R1219" s="46" t="s">
        <v>31</v>
      </c>
      <c r="S1219" s="43">
        <v>44259</v>
      </c>
      <c r="T1219" s="51">
        <f t="shared" si="48"/>
        <v>3</v>
      </c>
      <c r="U1219" s="52" t="str">
        <f t="shared" si="47"/>
        <v>Não Detectável</v>
      </c>
    </row>
    <row r="1220" spans="1:21" ht="25.5" customHeight="1" x14ac:dyDescent="0.2">
      <c r="A1220" s="51">
        <v>1219</v>
      </c>
      <c r="B1220" s="59" t="s">
        <v>2237</v>
      </c>
      <c r="C1220" s="57">
        <v>59</v>
      </c>
      <c r="D1220" s="57" t="s">
        <v>34</v>
      </c>
      <c r="E1220" s="58">
        <v>44258</v>
      </c>
      <c r="F1220" s="56" t="s">
        <v>60</v>
      </c>
      <c r="G1220" s="57">
        <v>447</v>
      </c>
      <c r="H1220" s="58">
        <v>44259</v>
      </c>
      <c r="I1220" s="42" t="s">
        <v>2231</v>
      </c>
      <c r="J1220" s="43">
        <v>44259</v>
      </c>
      <c r="K1220" s="42">
        <v>20.100000000000001</v>
      </c>
      <c r="L1220" s="42">
        <v>30.2</v>
      </c>
      <c r="M1220" s="48" t="s">
        <v>29</v>
      </c>
      <c r="N1220" s="42" t="s">
        <v>2232</v>
      </c>
      <c r="O1220" s="43">
        <v>44259</v>
      </c>
      <c r="P1220" s="42" t="s">
        <v>36</v>
      </c>
      <c r="Q1220" s="42">
        <v>32.5</v>
      </c>
      <c r="R1220" s="46" t="s">
        <v>31</v>
      </c>
      <c r="S1220" s="43">
        <v>44259</v>
      </c>
      <c r="T1220" s="51">
        <f t="shared" si="48"/>
        <v>3</v>
      </c>
      <c r="U1220" s="52" t="str">
        <f t="shared" si="47"/>
        <v>Não Detectável</v>
      </c>
    </row>
    <row r="1221" spans="1:21" ht="25.5" customHeight="1" x14ac:dyDescent="0.2">
      <c r="A1221" s="51">
        <v>1220</v>
      </c>
      <c r="B1221" s="59" t="s">
        <v>2238</v>
      </c>
      <c r="C1221" s="57">
        <v>44</v>
      </c>
      <c r="D1221" s="57" t="s">
        <v>34</v>
      </c>
      <c r="E1221" s="58">
        <v>44258</v>
      </c>
      <c r="F1221" s="56" t="s">
        <v>60</v>
      </c>
      <c r="G1221" s="57">
        <v>448</v>
      </c>
      <c r="H1221" s="58">
        <v>44259</v>
      </c>
      <c r="I1221" s="42" t="s">
        <v>2231</v>
      </c>
      <c r="J1221" s="43">
        <v>44259</v>
      </c>
      <c r="K1221" s="42">
        <v>20.3</v>
      </c>
      <c r="L1221" s="42">
        <v>30.7</v>
      </c>
      <c r="M1221" s="48" t="s">
        <v>29</v>
      </c>
      <c r="N1221" s="42" t="s">
        <v>2232</v>
      </c>
      <c r="O1221" s="43">
        <v>44259</v>
      </c>
      <c r="P1221" s="42" t="s">
        <v>36</v>
      </c>
      <c r="Q1221" s="42">
        <v>30.6</v>
      </c>
      <c r="R1221" s="46" t="s">
        <v>31</v>
      </c>
      <c r="S1221" s="43">
        <v>44259</v>
      </c>
      <c r="T1221" s="51">
        <f t="shared" si="48"/>
        <v>3</v>
      </c>
      <c r="U1221" s="52" t="str">
        <f t="shared" si="47"/>
        <v>Não Detectável</v>
      </c>
    </row>
    <row r="1222" spans="1:21" ht="25.5" customHeight="1" x14ac:dyDescent="0.2">
      <c r="A1222" s="51">
        <v>1221</v>
      </c>
      <c r="B1222" s="59" t="s">
        <v>2239</v>
      </c>
      <c r="C1222" s="57">
        <v>16</v>
      </c>
      <c r="D1222" s="57" t="s">
        <v>25</v>
      </c>
      <c r="E1222" s="58">
        <v>44258</v>
      </c>
      <c r="F1222" s="56" t="s">
        <v>60</v>
      </c>
      <c r="G1222" s="57">
        <v>448</v>
      </c>
      <c r="H1222" s="58">
        <v>44259</v>
      </c>
      <c r="I1222" s="42" t="s">
        <v>2231</v>
      </c>
      <c r="J1222" s="43">
        <v>44259</v>
      </c>
      <c r="K1222" s="42">
        <v>20.3</v>
      </c>
      <c r="L1222" s="42">
        <v>30.7</v>
      </c>
      <c r="M1222" s="48" t="s">
        <v>29</v>
      </c>
      <c r="N1222" s="42" t="s">
        <v>2232</v>
      </c>
      <c r="O1222" s="43">
        <v>44259</v>
      </c>
      <c r="P1222" s="42">
        <v>20.2</v>
      </c>
      <c r="Q1222" s="42">
        <v>30.4</v>
      </c>
      <c r="R1222" s="46" t="s">
        <v>29</v>
      </c>
      <c r="S1222" s="43">
        <v>44259</v>
      </c>
      <c r="T1222" s="51">
        <f t="shared" si="48"/>
        <v>3</v>
      </c>
      <c r="U1222" s="52" t="str">
        <f t="shared" si="47"/>
        <v>Detectável</v>
      </c>
    </row>
    <row r="1223" spans="1:21" ht="25.5" customHeight="1" x14ac:dyDescent="0.2">
      <c r="A1223" s="51">
        <v>1222</v>
      </c>
      <c r="B1223" s="59" t="s">
        <v>2240</v>
      </c>
      <c r="C1223" s="57">
        <v>41</v>
      </c>
      <c r="D1223" s="57" t="s">
        <v>34</v>
      </c>
      <c r="E1223" s="58">
        <v>44258</v>
      </c>
      <c r="F1223" s="56" t="s">
        <v>60</v>
      </c>
      <c r="G1223" s="57">
        <v>448</v>
      </c>
      <c r="H1223" s="58">
        <v>44259</v>
      </c>
      <c r="I1223" s="42" t="s">
        <v>2231</v>
      </c>
      <c r="J1223" s="43">
        <v>44259</v>
      </c>
      <c r="K1223" s="42">
        <v>20.3</v>
      </c>
      <c r="L1223" s="42">
        <v>30.7</v>
      </c>
      <c r="M1223" s="48" t="s">
        <v>29</v>
      </c>
      <c r="N1223" s="42" t="s">
        <v>2232</v>
      </c>
      <c r="O1223" s="43">
        <v>44259</v>
      </c>
      <c r="P1223" s="42">
        <v>24.9</v>
      </c>
      <c r="Q1223" s="42">
        <v>30.6</v>
      </c>
      <c r="R1223" s="46" t="s">
        <v>29</v>
      </c>
      <c r="S1223" s="43">
        <v>44259</v>
      </c>
      <c r="T1223" s="51">
        <f t="shared" si="48"/>
        <v>3</v>
      </c>
      <c r="U1223" s="52" t="str">
        <f t="shared" si="47"/>
        <v>Detectável</v>
      </c>
    </row>
    <row r="1224" spans="1:21" ht="25.5" customHeight="1" x14ac:dyDescent="0.2">
      <c r="A1224" s="51">
        <v>1223</v>
      </c>
      <c r="B1224" s="59" t="s">
        <v>2241</v>
      </c>
      <c r="C1224" s="57">
        <v>20</v>
      </c>
      <c r="D1224" s="57" t="s">
        <v>34</v>
      </c>
      <c r="E1224" s="58">
        <v>44258</v>
      </c>
      <c r="F1224" s="56" t="s">
        <v>60</v>
      </c>
      <c r="G1224" s="57">
        <v>449</v>
      </c>
      <c r="H1224" s="58">
        <v>44259</v>
      </c>
      <c r="I1224" s="42" t="s">
        <v>2231</v>
      </c>
      <c r="J1224" s="43">
        <v>44259</v>
      </c>
      <c r="K1224" s="42">
        <v>25.9</v>
      </c>
      <c r="L1224" s="42">
        <v>29.6</v>
      </c>
      <c r="M1224" s="48" t="s">
        <v>29</v>
      </c>
      <c r="N1224" s="42" t="s">
        <v>2232</v>
      </c>
      <c r="O1224" s="43">
        <v>44259</v>
      </c>
      <c r="P1224" s="42" t="s">
        <v>36</v>
      </c>
      <c r="Q1224" s="42">
        <v>28.7</v>
      </c>
      <c r="R1224" s="46" t="s">
        <v>31</v>
      </c>
      <c r="S1224" s="43">
        <v>44259</v>
      </c>
      <c r="T1224" s="51">
        <f t="shared" si="48"/>
        <v>3</v>
      </c>
      <c r="U1224" s="52" t="str">
        <f t="shared" si="47"/>
        <v>Não Detectável</v>
      </c>
    </row>
    <row r="1225" spans="1:21" ht="25.5" customHeight="1" x14ac:dyDescent="0.2">
      <c r="A1225" s="51">
        <v>1224</v>
      </c>
      <c r="B1225" s="59" t="s">
        <v>2242</v>
      </c>
      <c r="C1225" s="57">
        <v>75</v>
      </c>
      <c r="D1225" s="57" t="s">
        <v>25</v>
      </c>
      <c r="E1225" s="58">
        <v>44258</v>
      </c>
      <c r="F1225" s="56" t="s">
        <v>60</v>
      </c>
      <c r="G1225" s="57">
        <v>449</v>
      </c>
      <c r="H1225" s="58">
        <v>44259</v>
      </c>
      <c r="I1225" s="42" t="s">
        <v>2231</v>
      </c>
      <c r="J1225" s="43">
        <v>44259</v>
      </c>
      <c r="K1225" s="42">
        <v>25.9</v>
      </c>
      <c r="L1225" s="42">
        <v>29.6</v>
      </c>
      <c r="M1225" s="48" t="s">
        <v>29</v>
      </c>
      <c r="N1225" s="42" t="s">
        <v>2232</v>
      </c>
      <c r="O1225" s="43">
        <v>44259</v>
      </c>
      <c r="P1225" s="42">
        <f>AVERAGE(24.453,23.826)</f>
        <v>24.139499999999998</v>
      </c>
      <c r="Q1225" s="42">
        <f>AVERAGE(29.656,29.418)</f>
        <v>29.536999999999999</v>
      </c>
      <c r="R1225" s="46" t="s">
        <v>29</v>
      </c>
      <c r="S1225" s="43">
        <v>44259</v>
      </c>
      <c r="T1225" s="51">
        <f t="shared" si="48"/>
        <v>3</v>
      </c>
      <c r="U1225" s="52" t="str">
        <f t="shared" si="47"/>
        <v>Detectável</v>
      </c>
    </row>
    <row r="1226" spans="1:21" ht="25.5" customHeight="1" x14ac:dyDescent="0.2">
      <c r="A1226" s="51">
        <v>1225</v>
      </c>
      <c r="B1226" s="59" t="s">
        <v>2243</v>
      </c>
      <c r="C1226" s="57">
        <v>37</v>
      </c>
      <c r="D1226" s="57" t="s">
        <v>25</v>
      </c>
      <c r="E1226" s="58">
        <v>44258</v>
      </c>
      <c r="F1226" s="56" t="s">
        <v>60</v>
      </c>
      <c r="G1226" s="57">
        <v>449</v>
      </c>
      <c r="H1226" s="58">
        <v>44259</v>
      </c>
      <c r="I1226" s="42" t="s">
        <v>2231</v>
      </c>
      <c r="J1226" s="43">
        <v>44259</v>
      </c>
      <c r="K1226" s="42">
        <v>25.9</v>
      </c>
      <c r="L1226" s="42">
        <v>29.6</v>
      </c>
      <c r="M1226" s="48" t="s">
        <v>29</v>
      </c>
      <c r="N1226" s="42" t="s">
        <v>2232</v>
      </c>
      <c r="O1226" s="43">
        <v>44259</v>
      </c>
      <c r="P1226" s="42" t="s">
        <v>36</v>
      </c>
      <c r="Q1226" s="42">
        <f>AVERAGE(30.023,29.914)</f>
        <v>29.968499999999999</v>
      </c>
      <c r="R1226" s="46" t="s">
        <v>31</v>
      </c>
      <c r="S1226" s="43">
        <v>44259</v>
      </c>
      <c r="T1226" s="51">
        <f t="shared" si="48"/>
        <v>3</v>
      </c>
      <c r="U1226" s="52" t="str">
        <f t="shared" si="47"/>
        <v>Não Detectável</v>
      </c>
    </row>
    <row r="1227" spans="1:21" ht="25.5" customHeight="1" x14ac:dyDescent="0.2">
      <c r="A1227" s="51">
        <v>1226</v>
      </c>
      <c r="B1227" s="59" t="s">
        <v>2244</v>
      </c>
      <c r="C1227" s="57">
        <v>69</v>
      </c>
      <c r="D1227" s="57" t="s">
        <v>34</v>
      </c>
      <c r="E1227" s="58">
        <v>44258</v>
      </c>
      <c r="F1227" s="56" t="s">
        <v>60</v>
      </c>
      <c r="G1227" s="57">
        <v>450</v>
      </c>
      <c r="H1227" s="58">
        <v>44259</v>
      </c>
      <c r="I1227" s="42" t="s">
        <v>2245</v>
      </c>
      <c r="J1227" s="43">
        <v>44260</v>
      </c>
      <c r="K1227" s="42">
        <v>24.8</v>
      </c>
      <c r="L1227" s="42">
        <v>28.4</v>
      </c>
      <c r="M1227" s="48" t="s">
        <v>29</v>
      </c>
      <c r="N1227" s="42" t="s">
        <v>2246</v>
      </c>
      <c r="O1227" s="43">
        <v>44260</v>
      </c>
      <c r="P1227" s="42" t="s">
        <v>36</v>
      </c>
      <c r="Q1227" s="42">
        <v>29.2</v>
      </c>
      <c r="R1227" s="46" t="s">
        <v>31</v>
      </c>
      <c r="S1227" s="43">
        <v>44260</v>
      </c>
      <c r="T1227" s="51">
        <f t="shared" si="48"/>
        <v>3</v>
      </c>
      <c r="U1227" s="52" t="str">
        <f t="shared" si="47"/>
        <v>Não Detectável</v>
      </c>
    </row>
    <row r="1228" spans="1:21" ht="25.5" customHeight="1" x14ac:dyDescent="0.2">
      <c r="A1228" s="51">
        <v>1227</v>
      </c>
      <c r="B1228" s="59" t="s">
        <v>2247</v>
      </c>
      <c r="C1228" s="57">
        <v>43</v>
      </c>
      <c r="D1228" s="57" t="s">
        <v>25</v>
      </c>
      <c r="E1228" s="58">
        <v>44258</v>
      </c>
      <c r="F1228" s="56" t="s">
        <v>60</v>
      </c>
      <c r="G1228" s="57">
        <v>450</v>
      </c>
      <c r="H1228" s="58">
        <v>44259</v>
      </c>
      <c r="I1228" s="42" t="s">
        <v>2245</v>
      </c>
      <c r="J1228" s="43">
        <v>44260</v>
      </c>
      <c r="K1228" s="42">
        <v>24.8</v>
      </c>
      <c r="L1228" s="42">
        <v>28.4</v>
      </c>
      <c r="M1228" s="48" t="s">
        <v>29</v>
      </c>
      <c r="N1228" s="42" t="s">
        <v>2246</v>
      </c>
      <c r="O1228" s="43">
        <v>44260</v>
      </c>
      <c r="P1228" s="42" t="s">
        <v>36</v>
      </c>
      <c r="Q1228" s="42">
        <v>30.4</v>
      </c>
      <c r="R1228" s="46" t="s">
        <v>31</v>
      </c>
      <c r="S1228" s="43">
        <v>44260</v>
      </c>
      <c r="T1228" s="51">
        <f t="shared" si="48"/>
        <v>3</v>
      </c>
      <c r="U1228" s="52" t="str">
        <f t="shared" si="47"/>
        <v>Não Detectável</v>
      </c>
    </row>
    <row r="1229" spans="1:21" ht="25.5" customHeight="1" x14ac:dyDescent="0.2">
      <c r="A1229" s="51">
        <v>1228</v>
      </c>
      <c r="B1229" s="59" t="s">
        <v>2248</v>
      </c>
      <c r="C1229" s="57">
        <v>53</v>
      </c>
      <c r="D1229" s="57" t="s">
        <v>25</v>
      </c>
      <c r="E1229" s="58">
        <v>44259</v>
      </c>
      <c r="F1229" s="56" t="s">
        <v>60</v>
      </c>
      <c r="G1229" s="57">
        <v>450</v>
      </c>
      <c r="H1229" s="58">
        <v>44260</v>
      </c>
      <c r="I1229" s="42" t="s">
        <v>2245</v>
      </c>
      <c r="J1229" s="43">
        <v>44260</v>
      </c>
      <c r="K1229" s="42">
        <v>24.8</v>
      </c>
      <c r="L1229" s="42">
        <v>28.4</v>
      </c>
      <c r="M1229" s="48" t="s">
        <v>29</v>
      </c>
      <c r="N1229" s="42" t="s">
        <v>2246</v>
      </c>
      <c r="O1229" s="43">
        <v>44260</v>
      </c>
      <c r="P1229" s="42">
        <v>24.4</v>
      </c>
      <c r="Q1229" s="42">
        <v>27.9</v>
      </c>
      <c r="R1229" s="46" t="s">
        <v>29</v>
      </c>
      <c r="S1229" s="43">
        <v>44260</v>
      </c>
      <c r="T1229" s="51">
        <f t="shared" si="48"/>
        <v>3</v>
      </c>
      <c r="U1229" s="52" t="str">
        <f t="shared" si="47"/>
        <v>Detectável</v>
      </c>
    </row>
    <row r="1230" spans="1:21" ht="25.5" customHeight="1" x14ac:dyDescent="0.2">
      <c r="A1230" s="51">
        <v>1229</v>
      </c>
      <c r="B1230" s="59" t="s">
        <v>2249</v>
      </c>
      <c r="C1230" s="57">
        <v>40</v>
      </c>
      <c r="D1230" s="57" t="s">
        <v>34</v>
      </c>
      <c r="E1230" s="58">
        <v>44259</v>
      </c>
      <c r="F1230" s="56" t="s">
        <v>60</v>
      </c>
      <c r="G1230" s="57">
        <v>451</v>
      </c>
      <c r="H1230" s="58">
        <v>44260</v>
      </c>
      <c r="I1230" s="42" t="s">
        <v>2245</v>
      </c>
      <c r="J1230" s="43">
        <v>44260</v>
      </c>
      <c r="K1230" s="42">
        <v>14.8</v>
      </c>
      <c r="L1230" s="42">
        <v>27.9</v>
      </c>
      <c r="M1230" s="48" t="s">
        <v>29</v>
      </c>
      <c r="N1230" s="42" t="s">
        <v>2246</v>
      </c>
      <c r="O1230" s="43">
        <v>44260</v>
      </c>
      <c r="P1230" s="42">
        <v>20.399999999999999</v>
      </c>
      <c r="Q1230" s="42">
        <v>28.3</v>
      </c>
      <c r="R1230" s="46" t="s">
        <v>29</v>
      </c>
      <c r="S1230" s="43">
        <v>44260</v>
      </c>
      <c r="T1230" s="51">
        <f t="shared" si="48"/>
        <v>3</v>
      </c>
      <c r="U1230" s="52" t="str">
        <f t="shared" si="47"/>
        <v>Detectável</v>
      </c>
    </row>
    <row r="1231" spans="1:21" ht="25.5" customHeight="1" x14ac:dyDescent="0.2">
      <c r="A1231" s="51">
        <v>1230</v>
      </c>
      <c r="B1231" s="59" t="s">
        <v>2250</v>
      </c>
      <c r="C1231" s="57">
        <v>35</v>
      </c>
      <c r="D1231" s="57" t="s">
        <v>25</v>
      </c>
      <c r="E1231" s="58">
        <v>44259</v>
      </c>
      <c r="F1231" s="56" t="s">
        <v>60</v>
      </c>
      <c r="G1231" s="57">
        <v>451</v>
      </c>
      <c r="H1231" s="58">
        <v>44260</v>
      </c>
      <c r="I1231" s="42" t="s">
        <v>2245</v>
      </c>
      <c r="J1231" s="43">
        <v>44260</v>
      </c>
      <c r="K1231" s="42">
        <v>14.8</v>
      </c>
      <c r="L1231" s="42">
        <v>27.9</v>
      </c>
      <c r="M1231" s="48" t="s">
        <v>29</v>
      </c>
      <c r="N1231" s="42" t="s">
        <v>2246</v>
      </c>
      <c r="O1231" s="43">
        <v>44260</v>
      </c>
      <c r="P1231" s="42">
        <v>18.2</v>
      </c>
      <c r="Q1231" s="42">
        <v>30.3</v>
      </c>
      <c r="R1231" s="46" t="s">
        <v>29</v>
      </c>
      <c r="S1231" s="43">
        <v>44260</v>
      </c>
      <c r="T1231" s="51">
        <f t="shared" si="48"/>
        <v>3</v>
      </c>
      <c r="U1231" s="52" t="str">
        <f t="shared" si="47"/>
        <v>Detectável</v>
      </c>
    </row>
    <row r="1232" spans="1:21" ht="25.5" customHeight="1" x14ac:dyDescent="0.2">
      <c r="A1232" s="51">
        <v>1231</v>
      </c>
      <c r="B1232" s="59" t="s">
        <v>2251</v>
      </c>
      <c r="C1232" s="57">
        <v>34</v>
      </c>
      <c r="D1232" s="57" t="s">
        <v>25</v>
      </c>
      <c r="E1232" s="58">
        <v>44259</v>
      </c>
      <c r="F1232" s="56" t="s">
        <v>60</v>
      </c>
      <c r="G1232" s="57">
        <v>451</v>
      </c>
      <c r="H1232" s="58">
        <v>44260</v>
      </c>
      <c r="I1232" s="42" t="s">
        <v>2245</v>
      </c>
      <c r="J1232" s="43">
        <v>44260</v>
      </c>
      <c r="K1232" s="42">
        <v>14.8</v>
      </c>
      <c r="L1232" s="42">
        <v>27.9</v>
      </c>
      <c r="M1232" s="48" t="s">
        <v>29</v>
      </c>
      <c r="N1232" s="42" t="s">
        <v>2246</v>
      </c>
      <c r="O1232" s="43">
        <v>44260</v>
      </c>
      <c r="P1232" s="42">
        <v>14.8</v>
      </c>
      <c r="Q1232" s="42">
        <v>29.4</v>
      </c>
      <c r="R1232" s="46" t="s">
        <v>29</v>
      </c>
      <c r="S1232" s="43">
        <v>44260</v>
      </c>
      <c r="T1232" s="51">
        <f t="shared" si="48"/>
        <v>3</v>
      </c>
      <c r="U1232" s="52" t="str">
        <f t="shared" si="47"/>
        <v>Detectável</v>
      </c>
    </row>
    <row r="1233" spans="1:21" ht="25.5" customHeight="1" x14ac:dyDescent="0.2">
      <c r="A1233" s="51">
        <v>1232</v>
      </c>
      <c r="B1233" s="59" t="s">
        <v>2252</v>
      </c>
      <c r="C1233" s="57">
        <v>28</v>
      </c>
      <c r="D1233" s="57" t="s">
        <v>25</v>
      </c>
      <c r="E1233" s="58">
        <v>44259</v>
      </c>
      <c r="F1233" s="56" t="s">
        <v>60</v>
      </c>
      <c r="G1233" s="57">
        <v>452</v>
      </c>
      <c r="H1233" s="58">
        <v>44260</v>
      </c>
      <c r="I1233" s="42" t="s">
        <v>2245</v>
      </c>
      <c r="J1233" s="43">
        <v>44260</v>
      </c>
      <c r="K1233" s="42">
        <v>30.9</v>
      </c>
      <c r="L1233" s="42">
        <v>29.5</v>
      </c>
      <c r="M1233" s="48" t="s">
        <v>29</v>
      </c>
      <c r="N1233" s="42" t="s">
        <v>2246</v>
      </c>
      <c r="O1233" s="43">
        <v>44260</v>
      </c>
      <c r="P1233" s="42">
        <v>29.7</v>
      </c>
      <c r="Q1233" s="42">
        <v>30.6</v>
      </c>
      <c r="R1233" s="46" t="s">
        <v>29</v>
      </c>
      <c r="S1233" s="43">
        <v>44260</v>
      </c>
      <c r="T1233" s="51">
        <f t="shared" si="48"/>
        <v>3</v>
      </c>
      <c r="U1233" s="52" t="str">
        <f t="shared" si="47"/>
        <v>Detectável</v>
      </c>
    </row>
    <row r="1234" spans="1:21" ht="25.5" customHeight="1" x14ac:dyDescent="0.2">
      <c r="A1234" s="51">
        <v>1233</v>
      </c>
      <c r="B1234" s="59" t="s">
        <v>2253</v>
      </c>
      <c r="C1234" s="57">
        <v>24</v>
      </c>
      <c r="D1234" s="57" t="s">
        <v>25</v>
      </c>
      <c r="E1234" s="58">
        <v>44259</v>
      </c>
      <c r="F1234" s="56" t="s">
        <v>60</v>
      </c>
      <c r="G1234" s="57">
        <v>452</v>
      </c>
      <c r="H1234" s="58">
        <v>44260</v>
      </c>
      <c r="I1234" s="42" t="s">
        <v>2245</v>
      </c>
      <c r="J1234" s="43">
        <v>44260</v>
      </c>
      <c r="K1234" s="42">
        <v>30.9</v>
      </c>
      <c r="L1234" s="42">
        <v>29.5</v>
      </c>
      <c r="M1234" s="48" t="s">
        <v>29</v>
      </c>
      <c r="N1234" s="42" t="s">
        <v>2246</v>
      </c>
      <c r="O1234" s="43">
        <v>44260</v>
      </c>
      <c r="P1234" s="42" t="s">
        <v>36</v>
      </c>
      <c r="Q1234" s="42">
        <v>29.2</v>
      </c>
      <c r="R1234" s="46" t="s">
        <v>31</v>
      </c>
      <c r="S1234" s="43">
        <v>44260</v>
      </c>
      <c r="T1234" s="51">
        <f t="shared" si="48"/>
        <v>3</v>
      </c>
      <c r="U1234" s="52" t="str">
        <f t="shared" si="47"/>
        <v>Não Detectável</v>
      </c>
    </row>
    <row r="1235" spans="1:21" ht="25.5" customHeight="1" x14ac:dyDescent="0.2">
      <c r="A1235" s="51">
        <v>1234</v>
      </c>
      <c r="B1235" s="59" t="s">
        <v>2254</v>
      </c>
      <c r="C1235" s="57">
        <v>39</v>
      </c>
      <c r="D1235" s="57" t="s">
        <v>25</v>
      </c>
      <c r="E1235" s="58">
        <v>44259</v>
      </c>
      <c r="F1235" s="56" t="s">
        <v>60</v>
      </c>
      <c r="G1235" s="57">
        <v>452</v>
      </c>
      <c r="H1235" s="58">
        <v>44260</v>
      </c>
      <c r="I1235" s="42" t="s">
        <v>2245</v>
      </c>
      <c r="J1235" s="43">
        <v>44260</v>
      </c>
      <c r="K1235" s="42">
        <v>30.9</v>
      </c>
      <c r="L1235" s="42">
        <v>29.5</v>
      </c>
      <c r="M1235" s="48" t="s">
        <v>29</v>
      </c>
      <c r="N1235" s="42" t="s">
        <v>2246</v>
      </c>
      <c r="O1235" s="43">
        <v>44260</v>
      </c>
      <c r="P1235" s="42" t="s">
        <v>36</v>
      </c>
      <c r="Q1235" s="42">
        <v>29.3</v>
      </c>
      <c r="R1235" s="46" t="s">
        <v>31</v>
      </c>
      <c r="S1235" s="43">
        <v>44260</v>
      </c>
      <c r="T1235" s="51">
        <f t="shared" si="48"/>
        <v>3</v>
      </c>
      <c r="U1235" s="52" t="str">
        <f t="shared" si="47"/>
        <v>Não Detectável</v>
      </c>
    </row>
    <row r="1236" spans="1:21" ht="25.5" customHeight="1" x14ac:dyDescent="0.2">
      <c r="A1236" s="51">
        <v>1235</v>
      </c>
      <c r="B1236" s="59" t="s">
        <v>2255</v>
      </c>
      <c r="C1236" s="57">
        <v>42</v>
      </c>
      <c r="D1236" s="57" t="s">
        <v>34</v>
      </c>
      <c r="E1236" s="58">
        <v>44259</v>
      </c>
      <c r="F1236" s="56" t="s">
        <v>60</v>
      </c>
      <c r="G1236" s="57">
        <v>453</v>
      </c>
      <c r="H1236" s="58">
        <v>44260</v>
      </c>
      <c r="I1236" s="42" t="s">
        <v>2245</v>
      </c>
      <c r="J1236" s="43">
        <v>44260</v>
      </c>
      <c r="K1236" s="42">
        <v>18.399999999999999</v>
      </c>
      <c r="L1236" s="42">
        <v>27.4</v>
      </c>
      <c r="M1236" s="48" t="s">
        <v>29</v>
      </c>
      <c r="N1236" s="42" t="s">
        <v>2246</v>
      </c>
      <c r="O1236" s="43">
        <v>44260</v>
      </c>
      <c r="P1236" s="42">
        <v>17.7</v>
      </c>
      <c r="Q1236" s="42">
        <v>28.1</v>
      </c>
      <c r="R1236" s="46" t="s">
        <v>29</v>
      </c>
      <c r="S1236" s="43">
        <v>44260</v>
      </c>
      <c r="T1236" s="51">
        <f t="shared" si="48"/>
        <v>3</v>
      </c>
      <c r="U1236" s="52" t="str">
        <f t="shared" si="47"/>
        <v>Detectável</v>
      </c>
    </row>
    <row r="1237" spans="1:21" ht="25.5" customHeight="1" x14ac:dyDescent="0.2">
      <c r="A1237" s="51">
        <v>1236</v>
      </c>
      <c r="B1237" s="59" t="s">
        <v>2256</v>
      </c>
      <c r="C1237" s="57">
        <v>34</v>
      </c>
      <c r="D1237" s="57" t="s">
        <v>34</v>
      </c>
      <c r="E1237" s="58">
        <v>44259</v>
      </c>
      <c r="F1237" s="56" t="s">
        <v>60</v>
      </c>
      <c r="G1237" s="57">
        <v>453</v>
      </c>
      <c r="H1237" s="58">
        <v>44260</v>
      </c>
      <c r="I1237" s="42" t="s">
        <v>2245</v>
      </c>
      <c r="J1237" s="43">
        <v>44260</v>
      </c>
      <c r="K1237" s="42">
        <v>18.399999999999999</v>
      </c>
      <c r="L1237" s="42">
        <v>27.4</v>
      </c>
      <c r="M1237" s="48" t="s">
        <v>29</v>
      </c>
      <c r="N1237" s="42" t="s">
        <v>2246</v>
      </c>
      <c r="O1237" s="43">
        <v>44260</v>
      </c>
      <c r="P1237" s="42" t="s">
        <v>36</v>
      </c>
      <c r="Q1237" s="42">
        <v>27</v>
      </c>
      <c r="R1237" s="46" t="s">
        <v>31</v>
      </c>
      <c r="S1237" s="43">
        <v>44260</v>
      </c>
      <c r="T1237" s="51">
        <f t="shared" si="48"/>
        <v>3</v>
      </c>
      <c r="U1237" s="52" t="str">
        <f t="shared" si="47"/>
        <v>Não Detectável</v>
      </c>
    </row>
    <row r="1238" spans="1:21" ht="25.5" customHeight="1" x14ac:dyDescent="0.2">
      <c r="A1238" s="51">
        <v>1237</v>
      </c>
      <c r="B1238" s="59" t="s">
        <v>2257</v>
      </c>
      <c r="C1238" s="57">
        <v>57</v>
      </c>
      <c r="D1238" s="57" t="s">
        <v>34</v>
      </c>
      <c r="E1238" s="58">
        <v>44259</v>
      </c>
      <c r="F1238" s="56" t="s">
        <v>60</v>
      </c>
      <c r="G1238" s="57">
        <v>453</v>
      </c>
      <c r="H1238" s="58">
        <v>44260</v>
      </c>
      <c r="I1238" s="42" t="s">
        <v>2245</v>
      </c>
      <c r="J1238" s="43">
        <v>44260</v>
      </c>
      <c r="K1238" s="42">
        <v>18.399999999999999</v>
      </c>
      <c r="L1238" s="42">
        <v>27.4</v>
      </c>
      <c r="M1238" s="48" t="s">
        <v>29</v>
      </c>
      <c r="N1238" s="42" t="s">
        <v>2246</v>
      </c>
      <c r="O1238" s="43">
        <v>44260</v>
      </c>
      <c r="P1238" s="42">
        <v>22.4</v>
      </c>
      <c r="Q1238" s="42">
        <v>29.2</v>
      </c>
      <c r="R1238" s="46" t="s">
        <v>29</v>
      </c>
      <c r="S1238" s="43">
        <v>44260</v>
      </c>
      <c r="T1238" s="51">
        <f t="shared" si="48"/>
        <v>3</v>
      </c>
      <c r="U1238" s="52" t="str">
        <f t="shared" si="47"/>
        <v>Detectável</v>
      </c>
    </row>
    <row r="1239" spans="1:21" ht="25.5" customHeight="1" x14ac:dyDescent="0.2">
      <c r="A1239" s="51">
        <v>1238</v>
      </c>
      <c r="B1239" s="59" t="s">
        <v>2258</v>
      </c>
      <c r="C1239" s="57">
        <v>25</v>
      </c>
      <c r="D1239" s="57" t="s">
        <v>34</v>
      </c>
      <c r="E1239" s="58">
        <v>44259</v>
      </c>
      <c r="F1239" s="56" t="s">
        <v>60</v>
      </c>
      <c r="G1239" s="57">
        <v>454</v>
      </c>
      <c r="H1239" s="58">
        <v>44260</v>
      </c>
      <c r="I1239" s="42" t="s">
        <v>2245</v>
      </c>
      <c r="J1239" s="43">
        <v>44260</v>
      </c>
      <c r="K1239" s="42">
        <v>18.600000000000001</v>
      </c>
      <c r="L1239" s="42">
        <v>26.7</v>
      </c>
      <c r="M1239" s="48" t="s">
        <v>29</v>
      </c>
      <c r="N1239" s="42" t="s">
        <v>2246</v>
      </c>
      <c r="O1239" s="43">
        <v>44260</v>
      </c>
      <c r="P1239" s="42">
        <v>17.899999999999999</v>
      </c>
      <c r="Q1239" s="42">
        <v>27.4</v>
      </c>
      <c r="R1239" s="46" t="s">
        <v>29</v>
      </c>
      <c r="S1239" s="43">
        <v>44260</v>
      </c>
      <c r="T1239" s="51">
        <f t="shared" si="48"/>
        <v>3</v>
      </c>
      <c r="U1239" s="52" t="str">
        <f t="shared" si="47"/>
        <v>Detectável</v>
      </c>
    </row>
    <row r="1240" spans="1:21" ht="25.5" customHeight="1" x14ac:dyDescent="0.2">
      <c r="A1240" s="51">
        <v>1239</v>
      </c>
      <c r="B1240" s="59" t="s">
        <v>2259</v>
      </c>
      <c r="C1240" s="57">
        <v>37</v>
      </c>
      <c r="D1240" s="57" t="s">
        <v>34</v>
      </c>
      <c r="E1240" s="58">
        <v>44259</v>
      </c>
      <c r="F1240" s="56" t="s">
        <v>60</v>
      </c>
      <c r="G1240" s="57">
        <v>454</v>
      </c>
      <c r="H1240" s="58">
        <v>44260</v>
      </c>
      <c r="I1240" s="42" t="s">
        <v>2245</v>
      </c>
      <c r="J1240" s="43">
        <v>44260</v>
      </c>
      <c r="K1240" s="42">
        <v>18.600000000000001</v>
      </c>
      <c r="L1240" s="42">
        <v>26.7</v>
      </c>
      <c r="M1240" s="48" t="s">
        <v>29</v>
      </c>
      <c r="N1240" s="42" t="s">
        <v>2246</v>
      </c>
      <c r="O1240" s="43">
        <v>44260</v>
      </c>
      <c r="P1240" s="42">
        <v>34.9</v>
      </c>
      <c r="Q1240" s="42">
        <v>26.6</v>
      </c>
      <c r="R1240" s="46" t="s">
        <v>29</v>
      </c>
      <c r="S1240" s="43">
        <v>44260</v>
      </c>
      <c r="T1240" s="51">
        <f t="shared" si="48"/>
        <v>3</v>
      </c>
      <c r="U1240" s="52" t="str">
        <f t="shared" si="47"/>
        <v>Detectável</v>
      </c>
    </row>
    <row r="1241" spans="1:21" ht="25.5" customHeight="1" x14ac:dyDescent="0.2">
      <c r="A1241" s="51">
        <v>1240</v>
      </c>
      <c r="B1241" s="59" t="s">
        <v>2260</v>
      </c>
      <c r="C1241" s="57">
        <v>56</v>
      </c>
      <c r="D1241" s="57" t="s">
        <v>34</v>
      </c>
      <c r="E1241" s="58">
        <v>44259</v>
      </c>
      <c r="F1241" s="56" t="s">
        <v>60</v>
      </c>
      <c r="G1241" s="57">
        <v>454</v>
      </c>
      <c r="H1241" s="58">
        <v>44260</v>
      </c>
      <c r="I1241" s="42" t="s">
        <v>2245</v>
      </c>
      <c r="J1241" s="43">
        <v>44260</v>
      </c>
      <c r="K1241" s="42">
        <v>18.600000000000001</v>
      </c>
      <c r="L1241" s="42">
        <v>26.7</v>
      </c>
      <c r="M1241" s="48" t="s">
        <v>29</v>
      </c>
      <c r="N1241" s="42" t="s">
        <v>2246</v>
      </c>
      <c r="O1241" s="43">
        <v>44260</v>
      </c>
      <c r="P1241" s="42" t="s">
        <v>36</v>
      </c>
      <c r="Q1241" s="42">
        <v>28.2</v>
      </c>
      <c r="R1241" s="46" t="s">
        <v>31</v>
      </c>
      <c r="S1241" s="43">
        <v>44260</v>
      </c>
      <c r="T1241" s="51">
        <f t="shared" si="48"/>
        <v>3</v>
      </c>
      <c r="U1241" s="52" t="str">
        <f t="shared" si="47"/>
        <v>Não Detectável</v>
      </c>
    </row>
    <row r="1242" spans="1:21" ht="25.5" customHeight="1" x14ac:dyDescent="0.2">
      <c r="A1242" s="51">
        <v>1241</v>
      </c>
      <c r="B1242" s="59" t="s">
        <v>2261</v>
      </c>
      <c r="C1242" s="57">
        <v>28</v>
      </c>
      <c r="D1242" s="57" t="s">
        <v>34</v>
      </c>
      <c r="E1242" s="58">
        <v>44259</v>
      </c>
      <c r="F1242" s="56" t="s">
        <v>60</v>
      </c>
      <c r="G1242" s="57">
        <v>455</v>
      </c>
      <c r="H1242" s="58">
        <v>44260</v>
      </c>
      <c r="I1242" s="42" t="s">
        <v>2245</v>
      </c>
      <c r="J1242" s="43">
        <v>44260</v>
      </c>
      <c r="K1242" s="42">
        <v>22.5</v>
      </c>
      <c r="L1242" s="42">
        <v>28.3</v>
      </c>
      <c r="M1242" s="48" t="s">
        <v>29</v>
      </c>
      <c r="N1242" s="42" t="s">
        <v>2246</v>
      </c>
      <c r="O1242" s="43">
        <v>44260</v>
      </c>
      <c r="P1242" s="42" t="s">
        <v>36</v>
      </c>
      <c r="Q1242" s="42">
        <v>29.6</v>
      </c>
      <c r="R1242" s="46" t="s">
        <v>31</v>
      </c>
      <c r="S1242" s="43">
        <v>44260</v>
      </c>
      <c r="T1242" s="51">
        <f t="shared" si="48"/>
        <v>3</v>
      </c>
      <c r="U1242" s="52" t="str">
        <f t="shared" si="47"/>
        <v>Não Detectável</v>
      </c>
    </row>
    <row r="1243" spans="1:21" ht="25.5" customHeight="1" x14ac:dyDescent="0.2">
      <c r="A1243" s="51">
        <v>1242</v>
      </c>
      <c r="B1243" s="59" t="s">
        <v>2262</v>
      </c>
      <c r="C1243" s="57">
        <v>38</v>
      </c>
      <c r="D1243" s="57" t="s">
        <v>34</v>
      </c>
      <c r="E1243" s="58">
        <v>44259</v>
      </c>
      <c r="F1243" s="56" t="s">
        <v>60</v>
      </c>
      <c r="G1243" s="57">
        <v>455</v>
      </c>
      <c r="H1243" s="58">
        <v>44260</v>
      </c>
      <c r="I1243" s="42" t="s">
        <v>2245</v>
      </c>
      <c r="J1243" s="43">
        <v>44260</v>
      </c>
      <c r="K1243" s="42">
        <v>22.5</v>
      </c>
      <c r="L1243" s="42">
        <v>28.3</v>
      </c>
      <c r="M1243" s="48" t="s">
        <v>29</v>
      </c>
      <c r="N1243" s="42" t="s">
        <v>2246</v>
      </c>
      <c r="O1243" s="43">
        <v>44260</v>
      </c>
      <c r="P1243" s="42">
        <v>21.4</v>
      </c>
      <c r="Q1243" s="42">
        <v>27.8</v>
      </c>
      <c r="R1243" s="46" t="s">
        <v>29</v>
      </c>
      <c r="S1243" s="43">
        <v>44260</v>
      </c>
      <c r="T1243" s="51">
        <f t="shared" si="48"/>
        <v>3</v>
      </c>
      <c r="U1243" s="52" t="str">
        <f t="shared" si="47"/>
        <v>Detectável</v>
      </c>
    </row>
    <row r="1244" spans="1:21" ht="25.5" customHeight="1" x14ac:dyDescent="0.2">
      <c r="A1244" s="51">
        <v>1243</v>
      </c>
      <c r="B1244" s="59" t="s">
        <v>2263</v>
      </c>
      <c r="C1244" s="57">
        <v>62</v>
      </c>
      <c r="D1244" s="57" t="s">
        <v>34</v>
      </c>
      <c r="E1244" s="58">
        <v>44259</v>
      </c>
      <c r="F1244" s="56" t="s">
        <v>60</v>
      </c>
      <c r="G1244" s="57">
        <v>455</v>
      </c>
      <c r="H1244" s="58">
        <v>44260</v>
      </c>
      <c r="I1244" s="42" t="s">
        <v>2245</v>
      </c>
      <c r="J1244" s="43">
        <v>44260</v>
      </c>
      <c r="K1244" s="42">
        <v>22.5</v>
      </c>
      <c r="L1244" s="42">
        <v>28.3</v>
      </c>
      <c r="M1244" s="48" t="s">
        <v>29</v>
      </c>
      <c r="N1244" s="42" t="s">
        <v>2246</v>
      </c>
      <c r="O1244" s="43">
        <v>44260</v>
      </c>
      <c r="P1244" s="42" t="s">
        <v>36</v>
      </c>
      <c r="Q1244" s="42">
        <v>29.7</v>
      </c>
      <c r="R1244" s="46" t="s">
        <v>31</v>
      </c>
      <c r="S1244" s="43">
        <v>44260</v>
      </c>
      <c r="T1244" s="51">
        <f t="shared" si="48"/>
        <v>3</v>
      </c>
      <c r="U1244" s="52" t="str">
        <f t="shared" si="47"/>
        <v>Não Detectável</v>
      </c>
    </row>
    <row r="1245" spans="1:21" ht="25.5" customHeight="1" x14ac:dyDescent="0.2">
      <c r="A1245" s="51">
        <v>1244</v>
      </c>
      <c r="B1245" s="59" t="s">
        <v>2264</v>
      </c>
      <c r="C1245" s="57">
        <v>73</v>
      </c>
      <c r="D1245" s="57" t="s">
        <v>34</v>
      </c>
      <c r="E1245" s="58">
        <v>44259</v>
      </c>
      <c r="F1245" s="56" t="s">
        <v>60</v>
      </c>
      <c r="G1245" s="57">
        <v>456</v>
      </c>
      <c r="H1245" s="58">
        <v>44260</v>
      </c>
      <c r="I1245" s="42" t="s">
        <v>2245</v>
      </c>
      <c r="J1245" s="43">
        <v>44260</v>
      </c>
      <c r="K1245" s="42">
        <v>20.3</v>
      </c>
      <c r="L1245" s="42">
        <v>27.4</v>
      </c>
      <c r="M1245" s="48" t="s">
        <v>29</v>
      </c>
      <c r="N1245" s="42" t="s">
        <v>2246</v>
      </c>
      <c r="O1245" s="43">
        <v>44260</v>
      </c>
      <c r="P1245" s="42">
        <v>17.8</v>
      </c>
      <c r="Q1245" s="42">
        <v>25.5</v>
      </c>
      <c r="R1245" s="46" t="s">
        <v>29</v>
      </c>
      <c r="S1245" s="43">
        <v>44260</v>
      </c>
      <c r="T1245" s="51">
        <f t="shared" si="48"/>
        <v>3</v>
      </c>
      <c r="U1245" s="52" t="str">
        <f t="shared" si="47"/>
        <v>Detectável</v>
      </c>
    </row>
    <row r="1246" spans="1:21" ht="25.5" customHeight="1" x14ac:dyDescent="0.2">
      <c r="A1246" s="51">
        <v>1245</v>
      </c>
      <c r="B1246" s="59" t="s">
        <v>2265</v>
      </c>
      <c r="C1246" s="57">
        <v>25</v>
      </c>
      <c r="D1246" s="57" t="s">
        <v>25</v>
      </c>
      <c r="E1246" s="58">
        <v>44259</v>
      </c>
      <c r="F1246" s="56" t="s">
        <v>60</v>
      </c>
      <c r="G1246" s="57">
        <v>456</v>
      </c>
      <c r="H1246" s="58">
        <v>44260</v>
      </c>
      <c r="I1246" s="42" t="s">
        <v>2245</v>
      </c>
      <c r="J1246" s="43">
        <v>44260</v>
      </c>
      <c r="K1246" s="42">
        <v>20.3</v>
      </c>
      <c r="L1246" s="42">
        <v>27.4</v>
      </c>
      <c r="M1246" s="48" t="s">
        <v>29</v>
      </c>
      <c r="N1246" s="42" t="s">
        <v>2246</v>
      </c>
      <c r="O1246" s="43">
        <v>44260</v>
      </c>
      <c r="P1246" s="42">
        <v>28</v>
      </c>
      <c r="Q1246" s="42">
        <v>28.7</v>
      </c>
      <c r="R1246" s="46" t="s">
        <v>29</v>
      </c>
      <c r="S1246" s="43">
        <v>44260</v>
      </c>
      <c r="T1246" s="51">
        <f t="shared" si="48"/>
        <v>3</v>
      </c>
      <c r="U1246" s="52" t="str">
        <f t="shared" si="47"/>
        <v>Detectável</v>
      </c>
    </row>
    <row r="1247" spans="1:21" ht="25.5" customHeight="1" x14ac:dyDescent="0.2">
      <c r="A1247" s="51">
        <v>1246</v>
      </c>
      <c r="B1247" s="59" t="s">
        <v>2266</v>
      </c>
      <c r="C1247" s="57">
        <v>24</v>
      </c>
      <c r="D1247" s="57" t="s">
        <v>25</v>
      </c>
      <c r="E1247" s="58">
        <v>44259</v>
      </c>
      <c r="F1247" s="56" t="s">
        <v>60</v>
      </c>
      <c r="G1247" s="57">
        <v>456</v>
      </c>
      <c r="H1247" s="58">
        <v>44260</v>
      </c>
      <c r="I1247" s="42" t="s">
        <v>2245</v>
      </c>
      <c r="J1247" s="43">
        <v>44260</v>
      </c>
      <c r="K1247" s="42">
        <v>20.3</v>
      </c>
      <c r="L1247" s="42">
        <v>27.4</v>
      </c>
      <c r="M1247" s="48" t="s">
        <v>29</v>
      </c>
      <c r="N1247" s="42" t="s">
        <v>2246</v>
      </c>
      <c r="O1247" s="43">
        <v>44260</v>
      </c>
      <c r="P1247" s="42" t="s">
        <v>36</v>
      </c>
      <c r="Q1247" s="42">
        <v>27.8</v>
      </c>
      <c r="R1247" s="46" t="s">
        <v>31</v>
      </c>
      <c r="S1247" s="43">
        <v>44260</v>
      </c>
      <c r="T1247" s="51">
        <f t="shared" si="48"/>
        <v>3</v>
      </c>
      <c r="U1247" s="52" t="str">
        <f t="shared" si="47"/>
        <v>Não Detectável</v>
      </c>
    </row>
    <row r="1248" spans="1:21" ht="25.5" customHeight="1" x14ac:dyDescent="0.2">
      <c r="A1248" s="51">
        <v>1247</v>
      </c>
      <c r="B1248" s="59" t="s">
        <v>2267</v>
      </c>
      <c r="C1248" s="57">
        <v>24</v>
      </c>
      <c r="D1248" s="57" t="s">
        <v>34</v>
      </c>
      <c r="E1248" s="58">
        <v>44259</v>
      </c>
      <c r="F1248" s="56" t="s">
        <v>60</v>
      </c>
      <c r="G1248" s="57">
        <v>457</v>
      </c>
      <c r="H1248" s="58">
        <v>44260</v>
      </c>
      <c r="I1248" s="42" t="s">
        <v>2245</v>
      </c>
      <c r="J1248" s="43">
        <v>44260</v>
      </c>
      <c r="K1248" s="42">
        <f>AVERAGE(26.525,26.605)</f>
        <v>26.564999999999998</v>
      </c>
      <c r="L1248" s="42">
        <f>AVERAGE(25.933,25.895)</f>
        <v>25.914000000000001</v>
      </c>
      <c r="M1248" s="48" t="s">
        <v>29</v>
      </c>
      <c r="N1248" s="42" t="s">
        <v>2246</v>
      </c>
      <c r="O1248" s="43">
        <v>44260</v>
      </c>
      <c r="P1248" s="42">
        <v>37.1</v>
      </c>
      <c r="Q1248" s="42">
        <v>29.5</v>
      </c>
      <c r="R1248" s="46" t="s">
        <v>201</v>
      </c>
      <c r="S1248" s="43">
        <v>44260</v>
      </c>
      <c r="T1248" s="51">
        <f t="shared" si="48"/>
        <v>3</v>
      </c>
      <c r="U1248" s="52" t="str">
        <f t="shared" si="47"/>
        <v>Inconclusivo</v>
      </c>
    </row>
    <row r="1249" spans="1:21" ht="25.5" customHeight="1" x14ac:dyDescent="0.2">
      <c r="A1249" s="51">
        <v>1248</v>
      </c>
      <c r="B1249" s="59" t="s">
        <v>2268</v>
      </c>
      <c r="C1249" s="57">
        <v>59</v>
      </c>
      <c r="D1249" s="57" t="s">
        <v>25</v>
      </c>
      <c r="E1249" s="58">
        <v>44259</v>
      </c>
      <c r="F1249" s="56" t="s">
        <v>60</v>
      </c>
      <c r="G1249" s="57">
        <v>457</v>
      </c>
      <c r="H1249" s="58">
        <v>44260</v>
      </c>
      <c r="I1249" s="42" t="s">
        <v>2245</v>
      </c>
      <c r="J1249" s="43">
        <v>44260</v>
      </c>
      <c r="K1249" s="42">
        <f>AVERAGE(26.525,26.605)</f>
        <v>26.564999999999998</v>
      </c>
      <c r="L1249" s="42">
        <f>AVERAGE(25.933,25.895)</f>
        <v>25.914000000000001</v>
      </c>
      <c r="M1249" s="48" t="s">
        <v>29</v>
      </c>
      <c r="N1249" s="42" t="s">
        <v>2246</v>
      </c>
      <c r="O1249" s="43">
        <v>44260</v>
      </c>
      <c r="P1249" s="42" t="s">
        <v>36</v>
      </c>
      <c r="Q1249" s="42">
        <v>23.6</v>
      </c>
      <c r="R1249" s="46" t="s">
        <v>31</v>
      </c>
      <c r="S1249" s="43">
        <v>44260</v>
      </c>
      <c r="T1249" s="51">
        <f t="shared" si="48"/>
        <v>3</v>
      </c>
      <c r="U1249" s="52" t="str">
        <f t="shared" si="47"/>
        <v>Não Detectável</v>
      </c>
    </row>
    <row r="1250" spans="1:21" ht="25.5" customHeight="1" x14ac:dyDescent="0.2">
      <c r="A1250" s="51">
        <v>1249</v>
      </c>
      <c r="B1250" s="59" t="s">
        <v>2269</v>
      </c>
      <c r="C1250" s="57">
        <v>19</v>
      </c>
      <c r="D1250" s="57" t="s">
        <v>25</v>
      </c>
      <c r="E1250" s="58">
        <v>44259</v>
      </c>
      <c r="F1250" s="56" t="s">
        <v>60</v>
      </c>
      <c r="G1250" s="57">
        <v>457</v>
      </c>
      <c r="H1250" s="58">
        <v>44260</v>
      </c>
      <c r="I1250" s="42" t="s">
        <v>2245</v>
      </c>
      <c r="J1250" s="43">
        <v>44260</v>
      </c>
      <c r="K1250" s="42">
        <f>AVERAGE(26.525,26.605)</f>
        <v>26.564999999999998</v>
      </c>
      <c r="L1250" s="42">
        <f>AVERAGE(25.933,25.895)</f>
        <v>25.914000000000001</v>
      </c>
      <c r="M1250" s="48" t="s">
        <v>29</v>
      </c>
      <c r="N1250" s="42" t="s">
        <v>2246</v>
      </c>
      <c r="O1250" s="43">
        <v>44260</v>
      </c>
      <c r="P1250" s="42">
        <v>23.6</v>
      </c>
      <c r="Q1250" s="42">
        <v>30.4</v>
      </c>
      <c r="R1250" s="46" t="s">
        <v>29</v>
      </c>
      <c r="S1250" s="43">
        <v>44260</v>
      </c>
      <c r="T1250" s="51">
        <f t="shared" si="48"/>
        <v>3</v>
      </c>
      <c r="U1250" s="52" t="str">
        <f t="shared" si="47"/>
        <v>Detectável</v>
      </c>
    </row>
    <row r="1251" spans="1:21" ht="25.5" customHeight="1" x14ac:dyDescent="0.2">
      <c r="A1251" s="51">
        <v>1250</v>
      </c>
      <c r="B1251" s="59" t="s">
        <v>2270</v>
      </c>
      <c r="C1251" s="57">
        <v>34</v>
      </c>
      <c r="D1251" s="57" t="s">
        <v>34</v>
      </c>
      <c r="E1251" s="58">
        <v>44259</v>
      </c>
      <c r="F1251" s="56" t="s">
        <v>60</v>
      </c>
      <c r="G1251" s="57">
        <v>458</v>
      </c>
      <c r="H1251" s="58">
        <v>44260</v>
      </c>
      <c r="I1251" s="42" t="s">
        <v>2245</v>
      </c>
      <c r="J1251" s="43">
        <v>44260</v>
      </c>
      <c r="K1251" s="42">
        <f>AVERAGE(16.194,16.291)</f>
        <v>16.2425</v>
      </c>
      <c r="L1251" s="42">
        <f>AVERAGE(29.388,29.411)</f>
        <v>29.399500000000003</v>
      </c>
      <c r="M1251" s="48" t="s">
        <v>29</v>
      </c>
      <c r="N1251" s="42" t="s">
        <v>2246</v>
      </c>
      <c r="O1251" s="43">
        <v>44260</v>
      </c>
      <c r="P1251" s="42">
        <v>12.3</v>
      </c>
      <c r="Q1251" s="42">
        <v>29</v>
      </c>
      <c r="R1251" s="46" t="s">
        <v>29</v>
      </c>
      <c r="S1251" s="43">
        <v>44260</v>
      </c>
      <c r="T1251" s="51">
        <f t="shared" si="48"/>
        <v>3</v>
      </c>
      <c r="U1251" s="52" t="str">
        <f t="shared" si="47"/>
        <v>Detectável</v>
      </c>
    </row>
    <row r="1252" spans="1:21" ht="25.5" customHeight="1" x14ac:dyDescent="0.2">
      <c r="A1252" s="51">
        <v>1251</v>
      </c>
      <c r="B1252" s="59" t="s">
        <v>2271</v>
      </c>
      <c r="C1252" s="57">
        <v>25</v>
      </c>
      <c r="D1252" s="57" t="s">
        <v>25</v>
      </c>
      <c r="E1252" s="58">
        <v>44259</v>
      </c>
      <c r="F1252" s="56" t="s">
        <v>60</v>
      </c>
      <c r="G1252" s="57">
        <v>458</v>
      </c>
      <c r="H1252" s="58">
        <v>44260</v>
      </c>
      <c r="I1252" s="42" t="s">
        <v>2245</v>
      </c>
      <c r="J1252" s="43">
        <v>44260</v>
      </c>
      <c r="K1252" s="42">
        <f>AVERAGE(16.194,16.291)</f>
        <v>16.2425</v>
      </c>
      <c r="L1252" s="42">
        <f>AVERAGE(29.388,29.411)</f>
        <v>29.399500000000003</v>
      </c>
      <c r="M1252" s="48" t="s">
        <v>29</v>
      </c>
      <c r="N1252" s="42" t="s">
        <v>2246</v>
      </c>
      <c r="O1252" s="43">
        <v>44260</v>
      </c>
      <c r="P1252" s="42" t="s">
        <v>36</v>
      </c>
      <c r="Q1252" s="42">
        <v>29.6</v>
      </c>
      <c r="R1252" s="46" t="s">
        <v>31</v>
      </c>
      <c r="S1252" s="43">
        <v>44260</v>
      </c>
      <c r="T1252" s="51">
        <f t="shared" si="48"/>
        <v>3</v>
      </c>
      <c r="U1252" s="52" t="str">
        <f t="shared" si="47"/>
        <v>Não Detectável</v>
      </c>
    </row>
    <row r="1253" spans="1:21" ht="25.5" customHeight="1" x14ac:dyDescent="0.2">
      <c r="A1253" s="51">
        <v>1252</v>
      </c>
      <c r="B1253" s="59" t="s">
        <v>2272</v>
      </c>
      <c r="C1253" s="57">
        <v>31</v>
      </c>
      <c r="D1253" s="57" t="s">
        <v>25</v>
      </c>
      <c r="E1253" s="58">
        <v>44259</v>
      </c>
      <c r="F1253" s="56" t="s">
        <v>60</v>
      </c>
      <c r="G1253" s="57">
        <v>458</v>
      </c>
      <c r="H1253" s="58">
        <v>44260</v>
      </c>
      <c r="I1253" s="42" t="s">
        <v>2245</v>
      </c>
      <c r="J1253" s="43">
        <v>44260</v>
      </c>
      <c r="K1253" s="42">
        <f>AVERAGE(16.194,16.291)</f>
        <v>16.2425</v>
      </c>
      <c r="L1253" s="42">
        <f>AVERAGE(29.388,29.411)</f>
        <v>29.399500000000003</v>
      </c>
      <c r="M1253" s="48" t="s">
        <v>29</v>
      </c>
      <c r="N1253" s="42" t="s">
        <v>2246</v>
      </c>
      <c r="O1253" s="43">
        <v>44260</v>
      </c>
      <c r="P1253" s="42" t="s">
        <v>36</v>
      </c>
      <c r="Q1253" s="42">
        <v>30</v>
      </c>
      <c r="R1253" s="46" t="s">
        <v>31</v>
      </c>
      <c r="S1253" s="43">
        <v>44260</v>
      </c>
      <c r="T1253" s="51">
        <f t="shared" si="48"/>
        <v>3</v>
      </c>
      <c r="U1253" s="52" t="str">
        <f t="shared" si="47"/>
        <v>Não Detectável</v>
      </c>
    </row>
    <row r="1254" spans="1:21" ht="25.5" customHeight="1" x14ac:dyDescent="0.2">
      <c r="A1254" s="51">
        <v>1253</v>
      </c>
      <c r="B1254" s="59" t="s">
        <v>2273</v>
      </c>
      <c r="C1254" s="57">
        <v>57</v>
      </c>
      <c r="D1254" s="57" t="s">
        <v>34</v>
      </c>
      <c r="E1254" s="58">
        <v>44260</v>
      </c>
      <c r="F1254" s="56" t="s">
        <v>60</v>
      </c>
      <c r="G1254" s="57">
        <v>459</v>
      </c>
      <c r="H1254" s="58">
        <v>44263</v>
      </c>
      <c r="I1254" s="42" t="s">
        <v>2274</v>
      </c>
      <c r="J1254" s="43">
        <v>44263</v>
      </c>
      <c r="K1254" s="42">
        <v>24.5</v>
      </c>
      <c r="L1254" s="42">
        <v>29.6</v>
      </c>
      <c r="M1254" s="48" t="s">
        <v>29</v>
      </c>
      <c r="N1254" s="42" t="s">
        <v>2275</v>
      </c>
      <c r="O1254" s="43">
        <v>44263</v>
      </c>
      <c r="P1254" s="42" t="s">
        <v>36</v>
      </c>
      <c r="Q1254" s="42">
        <v>30.8</v>
      </c>
      <c r="R1254" s="46" t="s">
        <v>31</v>
      </c>
      <c r="S1254" s="43">
        <v>44263</v>
      </c>
      <c r="T1254" s="51">
        <f t="shared" si="48"/>
        <v>3</v>
      </c>
      <c r="U1254" s="52" t="str">
        <f t="shared" si="47"/>
        <v>Não Detectável</v>
      </c>
    </row>
    <row r="1255" spans="1:21" ht="25.5" customHeight="1" x14ac:dyDescent="0.2">
      <c r="A1255" s="51">
        <v>1254</v>
      </c>
      <c r="B1255" s="59" t="s">
        <v>2276</v>
      </c>
      <c r="C1255" s="57">
        <v>77</v>
      </c>
      <c r="D1255" s="57" t="s">
        <v>34</v>
      </c>
      <c r="E1255" s="58">
        <v>44260</v>
      </c>
      <c r="F1255" s="56" t="s">
        <v>60</v>
      </c>
      <c r="G1255" s="57">
        <v>459</v>
      </c>
      <c r="H1255" s="58">
        <v>44263</v>
      </c>
      <c r="I1255" s="42" t="s">
        <v>2274</v>
      </c>
      <c r="J1255" s="43">
        <v>44263</v>
      </c>
      <c r="K1255" s="42">
        <v>24.5</v>
      </c>
      <c r="L1255" s="42">
        <v>29.6</v>
      </c>
      <c r="M1255" s="48" t="s">
        <v>29</v>
      </c>
      <c r="N1255" s="42" t="s">
        <v>2275</v>
      </c>
      <c r="O1255" s="43">
        <v>44263</v>
      </c>
      <c r="P1255" s="42" t="s">
        <v>36</v>
      </c>
      <c r="Q1255" s="42">
        <v>29.4</v>
      </c>
      <c r="R1255" s="46" t="s">
        <v>31</v>
      </c>
      <c r="S1255" s="43">
        <v>44263</v>
      </c>
      <c r="T1255" s="51">
        <f t="shared" si="48"/>
        <v>3</v>
      </c>
      <c r="U1255" s="52" t="str">
        <f t="shared" si="47"/>
        <v>Não Detectável</v>
      </c>
    </row>
    <row r="1256" spans="1:21" ht="25.5" customHeight="1" x14ac:dyDescent="0.2">
      <c r="A1256" s="51">
        <v>1255</v>
      </c>
      <c r="B1256" s="59" t="s">
        <v>2277</v>
      </c>
      <c r="C1256" s="57">
        <v>24</v>
      </c>
      <c r="D1256" s="57" t="s">
        <v>34</v>
      </c>
      <c r="E1256" s="58">
        <v>44260</v>
      </c>
      <c r="F1256" s="56" t="s">
        <v>60</v>
      </c>
      <c r="G1256" s="57">
        <v>459</v>
      </c>
      <c r="H1256" s="58">
        <v>44263</v>
      </c>
      <c r="I1256" s="42" t="s">
        <v>2274</v>
      </c>
      <c r="J1256" s="43">
        <v>44263</v>
      </c>
      <c r="K1256" s="42">
        <v>24.5</v>
      </c>
      <c r="L1256" s="42">
        <v>29.6</v>
      </c>
      <c r="M1256" s="48" t="s">
        <v>29</v>
      </c>
      <c r="N1256" s="42" t="s">
        <v>2275</v>
      </c>
      <c r="O1256" s="43">
        <v>44263</v>
      </c>
      <c r="P1256" s="42">
        <v>23.2</v>
      </c>
      <c r="Q1256" s="42">
        <v>29.6</v>
      </c>
      <c r="R1256" s="46" t="s">
        <v>29</v>
      </c>
      <c r="S1256" s="43">
        <v>44263</v>
      </c>
      <c r="T1256" s="51">
        <f t="shared" si="48"/>
        <v>3</v>
      </c>
      <c r="U1256" s="52" t="str">
        <f t="shared" si="47"/>
        <v>Detectável</v>
      </c>
    </row>
    <row r="1257" spans="1:21" ht="25.5" customHeight="1" x14ac:dyDescent="0.2">
      <c r="A1257" s="51">
        <v>1256</v>
      </c>
      <c r="B1257" s="59" t="s">
        <v>2278</v>
      </c>
      <c r="C1257" s="57">
        <v>24</v>
      </c>
      <c r="D1257" s="57" t="s">
        <v>34</v>
      </c>
      <c r="E1257" s="58">
        <v>44260</v>
      </c>
      <c r="F1257" s="56" t="s">
        <v>60</v>
      </c>
      <c r="G1257" s="57">
        <v>460</v>
      </c>
      <c r="H1257" s="58">
        <v>44263</v>
      </c>
      <c r="I1257" s="42" t="s">
        <v>2274</v>
      </c>
      <c r="J1257" s="43">
        <v>44263</v>
      </c>
      <c r="K1257" s="42">
        <v>23.7</v>
      </c>
      <c r="L1257" s="42">
        <v>28.5</v>
      </c>
      <c r="M1257" s="48" t="s">
        <v>29</v>
      </c>
      <c r="N1257" s="42" t="s">
        <v>2275</v>
      </c>
      <c r="O1257" s="43">
        <v>44263</v>
      </c>
      <c r="P1257" s="42" t="s">
        <v>36</v>
      </c>
      <c r="Q1257" s="42">
        <v>29.6</v>
      </c>
      <c r="R1257" s="46" t="s">
        <v>31</v>
      </c>
      <c r="S1257" s="43">
        <v>44263</v>
      </c>
      <c r="T1257" s="51">
        <f t="shared" si="48"/>
        <v>3</v>
      </c>
      <c r="U1257" s="52" t="str">
        <f t="shared" si="47"/>
        <v>Não Detectável</v>
      </c>
    </row>
    <row r="1258" spans="1:21" ht="25.5" customHeight="1" x14ac:dyDescent="0.2">
      <c r="A1258" s="51">
        <v>1257</v>
      </c>
      <c r="B1258" s="59" t="s">
        <v>2279</v>
      </c>
      <c r="C1258" s="57">
        <v>42</v>
      </c>
      <c r="D1258" s="57" t="s">
        <v>34</v>
      </c>
      <c r="E1258" s="58">
        <v>44260</v>
      </c>
      <c r="F1258" s="56" t="s">
        <v>60</v>
      </c>
      <c r="G1258" s="57">
        <v>460</v>
      </c>
      <c r="H1258" s="58">
        <v>44263</v>
      </c>
      <c r="I1258" s="42" t="s">
        <v>2274</v>
      </c>
      <c r="J1258" s="43">
        <v>44263</v>
      </c>
      <c r="K1258" s="42">
        <v>23.7</v>
      </c>
      <c r="L1258" s="42">
        <v>28.5</v>
      </c>
      <c r="M1258" s="48" t="s">
        <v>29</v>
      </c>
      <c r="N1258" s="42" t="s">
        <v>2275</v>
      </c>
      <c r="O1258" s="43">
        <v>44263</v>
      </c>
      <c r="P1258" s="42">
        <v>22</v>
      </c>
      <c r="Q1258" s="42">
        <v>29</v>
      </c>
      <c r="R1258" s="46" t="s">
        <v>29</v>
      </c>
      <c r="S1258" s="43">
        <v>44263</v>
      </c>
      <c r="T1258" s="51">
        <f t="shared" si="48"/>
        <v>3</v>
      </c>
      <c r="U1258" s="52" t="str">
        <f t="shared" si="47"/>
        <v>Detectável</v>
      </c>
    </row>
    <row r="1259" spans="1:21" ht="25.5" customHeight="1" x14ac:dyDescent="0.2">
      <c r="A1259" s="51">
        <v>1258</v>
      </c>
      <c r="B1259" s="59" t="s">
        <v>2280</v>
      </c>
      <c r="C1259" s="57">
        <v>68</v>
      </c>
      <c r="D1259" s="57" t="s">
        <v>34</v>
      </c>
      <c r="E1259" s="58">
        <v>44260</v>
      </c>
      <c r="F1259" s="56" t="s">
        <v>60</v>
      </c>
      <c r="G1259" s="57">
        <v>460</v>
      </c>
      <c r="H1259" s="58">
        <v>44263</v>
      </c>
      <c r="I1259" s="42" t="s">
        <v>2274</v>
      </c>
      <c r="J1259" s="43">
        <v>44263</v>
      </c>
      <c r="K1259" s="42">
        <v>23.7</v>
      </c>
      <c r="L1259" s="42">
        <v>28.5</v>
      </c>
      <c r="M1259" s="48" t="s">
        <v>29</v>
      </c>
      <c r="N1259" s="42" t="s">
        <v>2275</v>
      </c>
      <c r="O1259" s="43">
        <v>44263</v>
      </c>
      <c r="P1259" s="42" t="s">
        <v>36</v>
      </c>
      <c r="Q1259" s="42">
        <v>30</v>
      </c>
      <c r="R1259" s="46" t="s">
        <v>31</v>
      </c>
      <c r="S1259" s="43">
        <v>44263</v>
      </c>
      <c r="T1259" s="51">
        <f t="shared" si="48"/>
        <v>3</v>
      </c>
      <c r="U1259" s="52" t="str">
        <f t="shared" si="47"/>
        <v>Não Detectável</v>
      </c>
    </row>
    <row r="1260" spans="1:21" ht="25.5" customHeight="1" x14ac:dyDescent="0.2">
      <c r="A1260" s="51">
        <v>1259</v>
      </c>
      <c r="B1260" s="59" t="s">
        <v>2281</v>
      </c>
      <c r="C1260" s="57">
        <v>30</v>
      </c>
      <c r="D1260" s="57" t="s">
        <v>34</v>
      </c>
      <c r="E1260" s="58">
        <v>44263</v>
      </c>
      <c r="F1260" s="56" t="s">
        <v>60</v>
      </c>
      <c r="G1260" s="57">
        <v>461</v>
      </c>
      <c r="H1260" s="58">
        <v>44264</v>
      </c>
      <c r="I1260" s="42" t="s">
        <v>2282</v>
      </c>
      <c r="J1260" s="43">
        <v>44264</v>
      </c>
      <c r="K1260" s="42">
        <v>18.8</v>
      </c>
      <c r="L1260" s="42">
        <v>27.2</v>
      </c>
      <c r="M1260" s="48" t="s">
        <v>29</v>
      </c>
      <c r="N1260" s="42" t="s">
        <v>2283</v>
      </c>
      <c r="O1260" s="43">
        <v>44264</v>
      </c>
      <c r="P1260" s="42" t="s">
        <v>36</v>
      </c>
      <c r="Q1260" s="42">
        <v>28</v>
      </c>
      <c r="R1260" s="46" t="s">
        <v>31</v>
      </c>
      <c r="S1260" s="43">
        <v>44264</v>
      </c>
      <c r="T1260" s="51">
        <f t="shared" si="48"/>
        <v>3</v>
      </c>
      <c r="U1260" s="52" t="str">
        <f t="shared" si="47"/>
        <v>Não Detectável</v>
      </c>
    </row>
    <row r="1261" spans="1:21" ht="25.5" customHeight="1" x14ac:dyDescent="0.2">
      <c r="A1261" s="51">
        <v>1260</v>
      </c>
      <c r="B1261" s="59" t="s">
        <v>2284</v>
      </c>
      <c r="C1261" s="57">
        <v>28</v>
      </c>
      <c r="D1261" s="57" t="s">
        <v>25</v>
      </c>
      <c r="E1261" s="58">
        <v>44263</v>
      </c>
      <c r="F1261" s="56" t="s">
        <v>60</v>
      </c>
      <c r="G1261" s="57">
        <v>461</v>
      </c>
      <c r="H1261" s="58">
        <v>44264</v>
      </c>
      <c r="I1261" s="42" t="s">
        <v>2282</v>
      </c>
      <c r="J1261" s="43">
        <v>44264</v>
      </c>
      <c r="K1261" s="42">
        <v>18.8</v>
      </c>
      <c r="L1261" s="42">
        <v>27.2</v>
      </c>
      <c r="M1261" s="48" t="s">
        <v>29</v>
      </c>
      <c r="N1261" s="42" t="s">
        <v>2283</v>
      </c>
      <c r="O1261" s="43">
        <v>44264</v>
      </c>
      <c r="P1261" s="42" t="s">
        <v>36</v>
      </c>
      <c r="Q1261" s="42">
        <v>27.6</v>
      </c>
      <c r="R1261" s="46" t="s">
        <v>31</v>
      </c>
      <c r="S1261" s="43">
        <v>44264</v>
      </c>
      <c r="T1261" s="51">
        <f t="shared" si="48"/>
        <v>3</v>
      </c>
      <c r="U1261" s="52" t="str">
        <f t="shared" si="47"/>
        <v>Não Detectável</v>
      </c>
    </row>
    <row r="1262" spans="1:21" ht="25.5" customHeight="1" x14ac:dyDescent="0.2">
      <c r="A1262" s="51">
        <v>1261</v>
      </c>
      <c r="B1262" s="59" t="s">
        <v>2285</v>
      </c>
      <c r="C1262" s="57">
        <v>32</v>
      </c>
      <c r="D1262" s="57" t="s">
        <v>25</v>
      </c>
      <c r="E1262" s="58">
        <v>44263</v>
      </c>
      <c r="F1262" s="56" t="s">
        <v>60</v>
      </c>
      <c r="G1262" s="57">
        <v>461</v>
      </c>
      <c r="H1262" s="58">
        <v>44264</v>
      </c>
      <c r="I1262" s="42" t="s">
        <v>2282</v>
      </c>
      <c r="J1262" s="43">
        <v>44264</v>
      </c>
      <c r="K1262" s="42">
        <v>18.8</v>
      </c>
      <c r="L1262" s="42">
        <v>27.2</v>
      </c>
      <c r="M1262" s="48" t="s">
        <v>29</v>
      </c>
      <c r="N1262" s="42" t="s">
        <v>2283</v>
      </c>
      <c r="O1262" s="43">
        <v>44264</v>
      </c>
      <c r="P1262" s="42">
        <v>17.8</v>
      </c>
      <c r="Q1262" s="42">
        <v>29.4</v>
      </c>
      <c r="R1262" s="46" t="s">
        <v>29</v>
      </c>
      <c r="S1262" s="43">
        <v>44264</v>
      </c>
      <c r="T1262" s="51">
        <f t="shared" si="48"/>
        <v>3</v>
      </c>
      <c r="U1262" s="52" t="str">
        <f t="shared" si="47"/>
        <v>Detectável</v>
      </c>
    </row>
    <row r="1263" spans="1:21" ht="25.5" customHeight="1" x14ac:dyDescent="0.2">
      <c r="A1263" s="51">
        <v>1262</v>
      </c>
      <c r="B1263" s="59" t="s">
        <v>2286</v>
      </c>
      <c r="C1263" s="57">
        <v>58</v>
      </c>
      <c r="D1263" s="57" t="s">
        <v>34</v>
      </c>
      <c r="E1263" s="58">
        <v>44263</v>
      </c>
      <c r="F1263" s="56" t="s">
        <v>60</v>
      </c>
      <c r="G1263" s="57">
        <v>462</v>
      </c>
      <c r="H1263" s="58">
        <v>44264</v>
      </c>
      <c r="I1263" s="42" t="s">
        <v>2282</v>
      </c>
      <c r="J1263" s="43">
        <v>44264</v>
      </c>
      <c r="K1263" s="42">
        <v>18.8</v>
      </c>
      <c r="L1263" s="42">
        <v>26.2</v>
      </c>
      <c r="M1263" s="48" t="s">
        <v>29</v>
      </c>
      <c r="N1263" s="42" t="s">
        <v>2283</v>
      </c>
      <c r="O1263" s="43">
        <v>44264</v>
      </c>
      <c r="P1263" s="42">
        <v>19</v>
      </c>
      <c r="Q1263" s="42">
        <v>27.5</v>
      </c>
      <c r="R1263" s="46" t="s">
        <v>29</v>
      </c>
      <c r="S1263" s="43">
        <v>44264</v>
      </c>
      <c r="T1263" s="51">
        <f t="shared" si="48"/>
        <v>3</v>
      </c>
      <c r="U1263" s="52" t="str">
        <f t="shared" si="47"/>
        <v>Detectável</v>
      </c>
    </row>
    <row r="1264" spans="1:21" ht="25.5" customHeight="1" x14ac:dyDescent="0.2">
      <c r="A1264" s="51">
        <v>1263</v>
      </c>
      <c r="B1264" s="59" t="s">
        <v>2287</v>
      </c>
      <c r="C1264" s="57">
        <v>31</v>
      </c>
      <c r="D1264" s="57" t="s">
        <v>25</v>
      </c>
      <c r="E1264" s="58">
        <v>44263</v>
      </c>
      <c r="F1264" s="56" t="s">
        <v>60</v>
      </c>
      <c r="G1264" s="57">
        <v>462</v>
      </c>
      <c r="H1264" s="58">
        <v>44264</v>
      </c>
      <c r="I1264" s="42" t="s">
        <v>2282</v>
      </c>
      <c r="J1264" s="43">
        <v>44264</v>
      </c>
      <c r="K1264" s="42">
        <v>18.8</v>
      </c>
      <c r="L1264" s="42">
        <v>26.2</v>
      </c>
      <c r="M1264" s="48" t="s">
        <v>29</v>
      </c>
      <c r="N1264" s="42" t="s">
        <v>2283</v>
      </c>
      <c r="O1264" s="43">
        <v>44264</v>
      </c>
      <c r="P1264" s="42">
        <v>22.5</v>
      </c>
      <c r="Q1264" s="42">
        <v>27.2</v>
      </c>
      <c r="R1264" s="46" t="s">
        <v>29</v>
      </c>
      <c r="S1264" s="43">
        <v>44264</v>
      </c>
      <c r="T1264" s="51">
        <f t="shared" si="48"/>
        <v>3</v>
      </c>
      <c r="U1264" s="52" t="str">
        <f t="shared" si="47"/>
        <v>Detectável</v>
      </c>
    </row>
    <row r="1265" spans="1:21" ht="25.5" customHeight="1" x14ac:dyDescent="0.2">
      <c r="A1265" s="51">
        <v>1264</v>
      </c>
      <c r="B1265" s="59" t="s">
        <v>2288</v>
      </c>
      <c r="C1265" s="57">
        <v>22</v>
      </c>
      <c r="D1265" s="57" t="s">
        <v>25</v>
      </c>
      <c r="E1265" s="58">
        <v>44263</v>
      </c>
      <c r="F1265" s="56" t="s">
        <v>60</v>
      </c>
      <c r="G1265" s="57">
        <v>462</v>
      </c>
      <c r="H1265" s="58">
        <v>44264</v>
      </c>
      <c r="I1265" s="42" t="s">
        <v>2282</v>
      </c>
      <c r="J1265" s="43">
        <v>44264</v>
      </c>
      <c r="K1265" s="42">
        <v>18.8</v>
      </c>
      <c r="L1265" s="42">
        <v>26.2</v>
      </c>
      <c r="M1265" s="48" t="s">
        <v>29</v>
      </c>
      <c r="N1265" s="42" t="s">
        <v>2283</v>
      </c>
      <c r="O1265" s="43">
        <v>44264</v>
      </c>
      <c r="P1265" s="42" t="s">
        <v>36</v>
      </c>
      <c r="Q1265" s="42">
        <v>28.1</v>
      </c>
      <c r="R1265" s="46" t="s">
        <v>31</v>
      </c>
      <c r="S1265" s="43">
        <v>44264</v>
      </c>
      <c r="T1265" s="51">
        <f t="shared" si="48"/>
        <v>3</v>
      </c>
      <c r="U1265" s="52" t="str">
        <f t="shared" si="47"/>
        <v>Não Detectável</v>
      </c>
    </row>
    <row r="1266" spans="1:21" ht="25.5" customHeight="1" x14ac:dyDescent="0.2">
      <c r="A1266" s="51">
        <v>1265</v>
      </c>
      <c r="B1266" s="59" t="s">
        <v>2289</v>
      </c>
      <c r="C1266" s="57">
        <v>42</v>
      </c>
      <c r="D1266" s="57" t="s">
        <v>25</v>
      </c>
      <c r="E1266" s="58">
        <v>44263</v>
      </c>
      <c r="F1266" s="56" t="s">
        <v>60</v>
      </c>
      <c r="G1266" s="57">
        <v>463</v>
      </c>
      <c r="H1266" s="58">
        <v>44264</v>
      </c>
      <c r="I1266" s="42" t="s">
        <v>2282</v>
      </c>
      <c r="J1266" s="43">
        <v>44264</v>
      </c>
      <c r="K1266" s="42">
        <v>19.7</v>
      </c>
      <c r="L1266" s="42">
        <v>27.3</v>
      </c>
      <c r="M1266" s="48" t="s">
        <v>29</v>
      </c>
      <c r="N1266" s="42" t="s">
        <v>2283</v>
      </c>
      <c r="O1266" s="43">
        <v>44264</v>
      </c>
      <c r="P1266" s="42">
        <v>34.700000000000003</v>
      </c>
      <c r="Q1266" s="42">
        <v>27.9</v>
      </c>
      <c r="R1266" s="46" t="s">
        <v>29</v>
      </c>
      <c r="S1266" s="43">
        <v>44264</v>
      </c>
      <c r="T1266" s="51">
        <f t="shared" si="48"/>
        <v>3</v>
      </c>
      <c r="U1266" s="52" t="str">
        <f t="shared" si="47"/>
        <v>Detectável</v>
      </c>
    </row>
    <row r="1267" spans="1:21" ht="25.5" customHeight="1" x14ac:dyDescent="0.2">
      <c r="A1267" s="51">
        <v>1266</v>
      </c>
      <c r="B1267" s="59" t="s">
        <v>2290</v>
      </c>
      <c r="C1267" s="57">
        <v>28</v>
      </c>
      <c r="D1267" s="57" t="s">
        <v>25</v>
      </c>
      <c r="E1267" s="58">
        <v>44263</v>
      </c>
      <c r="F1267" s="56" t="s">
        <v>60</v>
      </c>
      <c r="G1267" s="57">
        <v>463</v>
      </c>
      <c r="H1267" s="58">
        <v>44264</v>
      </c>
      <c r="I1267" s="42" t="s">
        <v>2282</v>
      </c>
      <c r="J1267" s="43">
        <v>44264</v>
      </c>
      <c r="K1267" s="42">
        <v>19.7</v>
      </c>
      <c r="L1267" s="42">
        <v>27.3</v>
      </c>
      <c r="M1267" s="48" t="s">
        <v>29</v>
      </c>
      <c r="N1267" s="42" t="s">
        <v>2283</v>
      </c>
      <c r="O1267" s="43">
        <v>44264</v>
      </c>
      <c r="P1267" s="42">
        <v>20.100000000000001</v>
      </c>
      <c r="Q1267" s="42">
        <v>28.8</v>
      </c>
      <c r="R1267" s="46" t="s">
        <v>29</v>
      </c>
      <c r="S1267" s="43">
        <v>44264</v>
      </c>
      <c r="T1267" s="51">
        <f t="shared" si="48"/>
        <v>3</v>
      </c>
      <c r="U1267" s="52" t="str">
        <f t="shared" si="47"/>
        <v>Detectável</v>
      </c>
    </row>
    <row r="1268" spans="1:21" ht="25.5" customHeight="1" x14ac:dyDescent="0.2">
      <c r="A1268" s="51">
        <v>1267</v>
      </c>
      <c r="B1268" s="59" t="s">
        <v>2291</v>
      </c>
      <c r="C1268" s="57">
        <v>23</v>
      </c>
      <c r="D1268" s="57" t="s">
        <v>34</v>
      </c>
      <c r="E1268" s="58">
        <v>44263</v>
      </c>
      <c r="F1268" s="56" t="s">
        <v>60</v>
      </c>
      <c r="G1268" s="57">
        <v>463</v>
      </c>
      <c r="H1268" s="58">
        <v>44264</v>
      </c>
      <c r="I1268" s="42" t="s">
        <v>2282</v>
      </c>
      <c r="J1268" s="43">
        <v>44264</v>
      </c>
      <c r="K1268" s="42">
        <v>19.7</v>
      </c>
      <c r="L1268" s="42">
        <v>27.3</v>
      </c>
      <c r="M1268" s="48" t="s">
        <v>29</v>
      </c>
      <c r="N1268" s="42" t="s">
        <v>2283</v>
      </c>
      <c r="O1268" s="43">
        <v>44264</v>
      </c>
      <c r="P1268" s="42" t="s">
        <v>36</v>
      </c>
      <c r="Q1268" s="42">
        <v>29.8</v>
      </c>
      <c r="R1268" s="46" t="s">
        <v>31</v>
      </c>
      <c r="S1268" s="43">
        <v>44264</v>
      </c>
      <c r="T1268" s="51">
        <f t="shared" si="48"/>
        <v>3</v>
      </c>
      <c r="U1268" s="52" t="str">
        <f t="shared" ref="U1268:U1331" si="49">IF(M1268="Não Detectável","Não Detectável",IF(R1268="","",R1268))</f>
        <v>Não Detectável</v>
      </c>
    </row>
    <row r="1269" spans="1:21" ht="25.5" customHeight="1" x14ac:dyDescent="0.2">
      <c r="A1269" s="51">
        <v>1268</v>
      </c>
      <c r="B1269" s="59" t="s">
        <v>2292</v>
      </c>
      <c r="C1269" s="57">
        <v>56</v>
      </c>
      <c r="D1269" s="57" t="s">
        <v>25</v>
      </c>
      <c r="E1269" s="58">
        <v>44263</v>
      </c>
      <c r="F1269" s="56" t="s">
        <v>60</v>
      </c>
      <c r="G1269" s="57">
        <v>464</v>
      </c>
      <c r="H1269" s="58">
        <v>44264</v>
      </c>
      <c r="I1269" s="42" t="s">
        <v>2282</v>
      </c>
      <c r="J1269" s="43">
        <v>44264</v>
      </c>
      <c r="K1269" s="42">
        <v>19.5</v>
      </c>
      <c r="L1269" s="42">
        <v>28.5</v>
      </c>
      <c r="M1269" s="48" t="s">
        <v>29</v>
      </c>
      <c r="N1269" s="42" t="s">
        <v>2283</v>
      </c>
      <c r="O1269" s="43">
        <v>44264</v>
      </c>
      <c r="P1269" s="42">
        <v>19.100000000000001</v>
      </c>
      <c r="Q1269" s="42">
        <v>31.1</v>
      </c>
      <c r="R1269" s="46" t="s">
        <v>29</v>
      </c>
      <c r="S1269" s="43">
        <v>44264</v>
      </c>
      <c r="T1269" s="51">
        <f t="shared" ref="T1269:T1332" si="50">COUNTIF(G:G,G1269)</f>
        <v>3</v>
      </c>
      <c r="U1269" s="52" t="str">
        <f t="shared" si="49"/>
        <v>Detectável</v>
      </c>
    </row>
    <row r="1270" spans="1:21" ht="25.5" customHeight="1" x14ac:dyDescent="0.2">
      <c r="A1270" s="51">
        <v>1269</v>
      </c>
      <c r="B1270" s="59" t="s">
        <v>2293</v>
      </c>
      <c r="C1270" s="57">
        <v>27</v>
      </c>
      <c r="D1270" s="57" t="s">
        <v>34</v>
      </c>
      <c r="E1270" s="58">
        <v>44263</v>
      </c>
      <c r="F1270" s="56" t="s">
        <v>60</v>
      </c>
      <c r="G1270" s="57">
        <v>464</v>
      </c>
      <c r="H1270" s="58">
        <v>44264</v>
      </c>
      <c r="I1270" s="42" t="s">
        <v>2282</v>
      </c>
      <c r="J1270" s="43">
        <v>44264</v>
      </c>
      <c r="K1270" s="42">
        <v>19.5</v>
      </c>
      <c r="L1270" s="42">
        <v>28.5</v>
      </c>
      <c r="M1270" s="48" t="s">
        <v>29</v>
      </c>
      <c r="N1270" s="42" t="s">
        <v>2283</v>
      </c>
      <c r="O1270" s="43">
        <v>44264</v>
      </c>
      <c r="P1270" s="42" t="s">
        <v>36</v>
      </c>
      <c r="Q1270" s="42">
        <v>29.6</v>
      </c>
      <c r="R1270" s="46" t="s">
        <v>31</v>
      </c>
      <c r="S1270" s="43">
        <v>44264</v>
      </c>
      <c r="T1270" s="51">
        <f t="shared" si="50"/>
        <v>3</v>
      </c>
      <c r="U1270" s="52" t="str">
        <f t="shared" si="49"/>
        <v>Não Detectável</v>
      </c>
    </row>
    <row r="1271" spans="1:21" ht="25.5" customHeight="1" x14ac:dyDescent="0.2">
      <c r="A1271" s="51">
        <v>1270</v>
      </c>
      <c r="B1271" s="59" t="s">
        <v>2294</v>
      </c>
      <c r="C1271" s="57">
        <v>42</v>
      </c>
      <c r="D1271" s="57" t="s">
        <v>25</v>
      </c>
      <c r="E1271" s="58">
        <v>44263</v>
      </c>
      <c r="F1271" s="56" t="s">
        <v>60</v>
      </c>
      <c r="G1271" s="57">
        <v>464</v>
      </c>
      <c r="H1271" s="58">
        <v>44264</v>
      </c>
      <c r="I1271" s="42" t="s">
        <v>2282</v>
      </c>
      <c r="J1271" s="43">
        <v>44264</v>
      </c>
      <c r="K1271" s="42">
        <v>19.5</v>
      </c>
      <c r="L1271" s="42">
        <v>28.5</v>
      </c>
      <c r="M1271" s="48" t="s">
        <v>29</v>
      </c>
      <c r="N1271" s="42" t="s">
        <v>2283</v>
      </c>
      <c r="O1271" s="43">
        <v>44264</v>
      </c>
      <c r="P1271" s="42">
        <v>36.6</v>
      </c>
      <c r="Q1271" s="42">
        <v>29.2</v>
      </c>
      <c r="R1271" s="46" t="s">
        <v>201</v>
      </c>
      <c r="S1271" s="43">
        <v>44264</v>
      </c>
      <c r="T1271" s="51">
        <f t="shared" si="50"/>
        <v>3</v>
      </c>
      <c r="U1271" s="52" t="str">
        <f t="shared" si="49"/>
        <v>Inconclusivo</v>
      </c>
    </row>
    <row r="1272" spans="1:21" ht="25.5" customHeight="1" x14ac:dyDescent="0.2">
      <c r="A1272" s="51">
        <v>1271</v>
      </c>
      <c r="B1272" s="59" t="s">
        <v>2295</v>
      </c>
      <c r="C1272" s="57">
        <v>62</v>
      </c>
      <c r="D1272" s="57" t="s">
        <v>34</v>
      </c>
      <c r="E1272" s="58">
        <v>44264</v>
      </c>
      <c r="F1272" s="56" t="s">
        <v>60</v>
      </c>
      <c r="G1272" s="57">
        <v>465</v>
      </c>
      <c r="H1272" s="58">
        <v>44265</v>
      </c>
      <c r="I1272" s="42" t="s">
        <v>2296</v>
      </c>
      <c r="J1272" s="43">
        <v>44265</v>
      </c>
      <c r="K1272" s="42">
        <v>22</v>
      </c>
      <c r="L1272" s="42" t="s">
        <v>2297</v>
      </c>
      <c r="M1272" s="48" t="s">
        <v>29</v>
      </c>
      <c r="N1272" s="42" t="s">
        <v>2298</v>
      </c>
      <c r="O1272" s="43">
        <v>44265</v>
      </c>
      <c r="P1272" s="42" t="s">
        <v>36</v>
      </c>
      <c r="Q1272" s="42">
        <v>29</v>
      </c>
      <c r="R1272" s="46" t="s">
        <v>31</v>
      </c>
      <c r="S1272" s="43">
        <v>44265</v>
      </c>
      <c r="T1272" s="51">
        <f t="shared" si="50"/>
        <v>3</v>
      </c>
      <c r="U1272" s="52" t="str">
        <f t="shared" si="49"/>
        <v>Não Detectável</v>
      </c>
    </row>
    <row r="1273" spans="1:21" ht="25.5" customHeight="1" x14ac:dyDescent="0.2">
      <c r="A1273" s="51">
        <v>1272</v>
      </c>
      <c r="B1273" s="59" t="s">
        <v>2299</v>
      </c>
      <c r="C1273" s="57">
        <v>58</v>
      </c>
      <c r="D1273" s="57" t="s">
        <v>34</v>
      </c>
      <c r="E1273" s="58">
        <v>44264</v>
      </c>
      <c r="F1273" s="56" t="s">
        <v>60</v>
      </c>
      <c r="G1273" s="57">
        <v>465</v>
      </c>
      <c r="H1273" s="58">
        <v>44265</v>
      </c>
      <c r="I1273" s="42" t="s">
        <v>2296</v>
      </c>
      <c r="J1273" s="43">
        <v>44265</v>
      </c>
      <c r="K1273" s="42">
        <v>22</v>
      </c>
      <c r="L1273" s="42" t="s">
        <v>2297</v>
      </c>
      <c r="M1273" s="48" t="s">
        <v>29</v>
      </c>
      <c r="N1273" s="42" t="s">
        <v>2298</v>
      </c>
      <c r="O1273" s="43">
        <v>44265</v>
      </c>
      <c r="P1273" s="42">
        <v>22.8</v>
      </c>
      <c r="Q1273" s="42">
        <v>29.6</v>
      </c>
      <c r="R1273" s="46" t="s">
        <v>29</v>
      </c>
      <c r="S1273" s="43">
        <v>44265</v>
      </c>
      <c r="T1273" s="51">
        <f t="shared" si="50"/>
        <v>3</v>
      </c>
      <c r="U1273" s="52" t="str">
        <f t="shared" si="49"/>
        <v>Detectável</v>
      </c>
    </row>
    <row r="1274" spans="1:21" ht="25.5" customHeight="1" x14ac:dyDescent="0.2">
      <c r="A1274" s="51">
        <v>1273</v>
      </c>
      <c r="B1274" s="59" t="s">
        <v>2300</v>
      </c>
      <c r="C1274" s="57">
        <v>36</v>
      </c>
      <c r="D1274" s="57" t="s">
        <v>34</v>
      </c>
      <c r="E1274" s="58">
        <v>44264</v>
      </c>
      <c r="F1274" s="56" t="s">
        <v>60</v>
      </c>
      <c r="G1274" s="57">
        <v>465</v>
      </c>
      <c r="H1274" s="58">
        <v>44265</v>
      </c>
      <c r="I1274" s="42" t="s">
        <v>2296</v>
      </c>
      <c r="J1274" s="43">
        <v>44265</v>
      </c>
      <c r="K1274" s="42">
        <v>22</v>
      </c>
      <c r="L1274" s="42" t="s">
        <v>2297</v>
      </c>
      <c r="M1274" s="48" t="s">
        <v>29</v>
      </c>
      <c r="N1274" s="42" t="s">
        <v>2298</v>
      </c>
      <c r="O1274" s="43">
        <v>44265</v>
      </c>
      <c r="P1274" s="42">
        <v>20.6</v>
      </c>
      <c r="Q1274" s="42">
        <v>29.8</v>
      </c>
      <c r="R1274" s="46" t="s">
        <v>29</v>
      </c>
      <c r="S1274" s="43">
        <v>44265</v>
      </c>
      <c r="T1274" s="51">
        <f t="shared" si="50"/>
        <v>3</v>
      </c>
      <c r="U1274" s="52" t="str">
        <f t="shared" si="49"/>
        <v>Detectável</v>
      </c>
    </row>
    <row r="1275" spans="1:21" ht="25.5" customHeight="1" x14ac:dyDescent="0.2">
      <c r="A1275" s="51">
        <v>1274</v>
      </c>
      <c r="B1275" s="59" t="s">
        <v>2301</v>
      </c>
      <c r="C1275" s="57">
        <v>48</v>
      </c>
      <c r="D1275" s="57" t="s">
        <v>25</v>
      </c>
      <c r="E1275" s="58">
        <v>44264</v>
      </c>
      <c r="F1275" s="56" t="s">
        <v>60</v>
      </c>
      <c r="G1275" s="57">
        <v>466</v>
      </c>
      <c r="H1275" s="58">
        <v>44265</v>
      </c>
      <c r="I1275" s="42" t="s">
        <v>2296</v>
      </c>
      <c r="J1275" s="43">
        <v>44265</v>
      </c>
      <c r="K1275" s="42">
        <v>19.899999999999999</v>
      </c>
      <c r="L1275" s="42">
        <v>28.4</v>
      </c>
      <c r="M1275" s="48" t="s">
        <v>29</v>
      </c>
      <c r="N1275" s="42" t="s">
        <v>2298</v>
      </c>
      <c r="O1275" s="43">
        <v>44265</v>
      </c>
      <c r="P1275" s="42">
        <v>22.1</v>
      </c>
      <c r="Q1275" s="42">
        <v>28.8</v>
      </c>
      <c r="R1275" s="46" t="s">
        <v>29</v>
      </c>
      <c r="S1275" s="43">
        <v>44265</v>
      </c>
      <c r="T1275" s="51">
        <f t="shared" si="50"/>
        <v>3</v>
      </c>
      <c r="U1275" s="52" t="str">
        <f t="shared" si="49"/>
        <v>Detectável</v>
      </c>
    </row>
    <row r="1276" spans="1:21" ht="25.5" customHeight="1" x14ac:dyDescent="0.2">
      <c r="A1276" s="51">
        <v>1275</v>
      </c>
      <c r="B1276" s="59" t="s">
        <v>2302</v>
      </c>
      <c r="C1276" s="57">
        <v>48</v>
      </c>
      <c r="D1276" s="57" t="s">
        <v>34</v>
      </c>
      <c r="E1276" s="58">
        <v>44264</v>
      </c>
      <c r="F1276" s="56" t="s">
        <v>60</v>
      </c>
      <c r="G1276" s="57">
        <v>466</v>
      </c>
      <c r="H1276" s="58">
        <v>44265</v>
      </c>
      <c r="I1276" s="42" t="s">
        <v>2296</v>
      </c>
      <c r="J1276" s="43">
        <v>44265</v>
      </c>
      <c r="K1276" s="42">
        <v>19.899999999999999</v>
      </c>
      <c r="L1276" s="42">
        <v>28.4</v>
      </c>
      <c r="M1276" s="48" t="s">
        <v>29</v>
      </c>
      <c r="N1276" s="42" t="s">
        <v>2298</v>
      </c>
      <c r="O1276" s="43">
        <v>44265</v>
      </c>
      <c r="P1276" s="42">
        <v>19.899999999999999</v>
      </c>
      <c r="Q1276" s="42">
        <v>28.5</v>
      </c>
      <c r="R1276" s="46" t="s">
        <v>29</v>
      </c>
      <c r="S1276" s="43">
        <v>44265</v>
      </c>
      <c r="T1276" s="51">
        <f t="shared" si="50"/>
        <v>3</v>
      </c>
      <c r="U1276" s="52" t="str">
        <f t="shared" si="49"/>
        <v>Detectável</v>
      </c>
    </row>
    <row r="1277" spans="1:21" ht="25.5" customHeight="1" x14ac:dyDescent="0.2">
      <c r="A1277" s="51">
        <v>1276</v>
      </c>
      <c r="B1277" s="59" t="s">
        <v>2303</v>
      </c>
      <c r="C1277" s="57">
        <v>54</v>
      </c>
      <c r="D1277" s="57" t="s">
        <v>25</v>
      </c>
      <c r="E1277" s="58">
        <v>44264</v>
      </c>
      <c r="F1277" s="56" t="s">
        <v>60</v>
      </c>
      <c r="G1277" s="57">
        <v>466</v>
      </c>
      <c r="H1277" s="58">
        <v>44265</v>
      </c>
      <c r="I1277" s="42" t="s">
        <v>2296</v>
      </c>
      <c r="J1277" s="43">
        <v>44265</v>
      </c>
      <c r="K1277" s="42">
        <v>19.899999999999999</v>
      </c>
      <c r="L1277" s="42">
        <v>28.4</v>
      </c>
      <c r="M1277" s="48" t="s">
        <v>29</v>
      </c>
      <c r="N1277" s="42" t="s">
        <v>2298</v>
      </c>
      <c r="O1277" s="43">
        <v>44265</v>
      </c>
      <c r="P1277" s="42">
        <v>19.100000000000001</v>
      </c>
      <c r="Q1277" s="42">
        <v>28.9</v>
      </c>
      <c r="R1277" s="46" t="s">
        <v>29</v>
      </c>
      <c r="S1277" s="43">
        <v>44265</v>
      </c>
      <c r="T1277" s="51">
        <f t="shared" si="50"/>
        <v>3</v>
      </c>
      <c r="U1277" s="52" t="str">
        <f t="shared" si="49"/>
        <v>Detectável</v>
      </c>
    </row>
    <row r="1278" spans="1:21" ht="25.5" customHeight="1" x14ac:dyDescent="0.2">
      <c r="A1278" s="51">
        <v>1277</v>
      </c>
      <c r="B1278" s="59" t="s">
        <v>2304</v>
      </c>
      <c r="C1278" s="57">
        <v>48</v>
      </c>
      <c r="D1278" s="57" t="s">
        <v>34</v>
      </c>
      <c r="E1278" s="58">
        <v>44264</v>
      </c>
      <c r="F1278" s="56" t="s">
        <v>60</v>
      </c>
      <c r="G1278" s="57">
        <v>467</v>
      </c>
      <c r="H1278" s="58">
        <v>44265</v>
      </c>
      <c r="I1278" s="42" t="s">
        <v>2296</v>
      </c>
      <c r="J1278" s="43">
        <v>44265</v>
      </c>
      <c r="K1278" s="42">
        <v>19.2</v>
      </c>
      <c r="L1278" s="42">
        <v>29.5</v>
      </c>
      <c r="M1278" s="48" t="s">
        <v>29</v>
      </c>
      <c r="N1278" s="42" t="s">
        <v>2298</v>
      </c>
      <c r="O1278" s="43">
        <v>44265</v>
      </c>
      <c r="P1278" s="42">
        <v>16.2</v>
      </c>
      <c r="Q1278" s="42">
        <v>27.9</v>
      </c>
      <c r="R1278" s="46" t="s">
        <v>29</v>
      </c>
      <c r="S1278" s="43">
        <v>44265</v>
      </c>
      <c r="T1278" s="51">
        <f t="shared" si="50"/>
        <v>3</v>
      </c>
      <c r="U1278" s="52" t="str">
        <f t="shared" si="49"/>
        <v>Detectável</v>
      </c>
    </row>
    <row r="1279" spans="1:21" ht="25.5" customHeight="1" x14ac:dyDescent="0.2">
      <c r="A1279" s="51">
        <v>1278</v>
      </c>
      <c r="B1279" s="59" t="s">
        <v>2305</v>
      </c>
      <c r="C1279" s="57">
        <v>40</v>
      </c>
      <c r="D1279" s="57" t="s">
        <v>34</v>
      </c>
      <c r="E1279" s="58">
        <v>44264</v>
      </c>
      <c r="F1279" s="56" t="s">
        <v>60</v>
      </c>
      <c r="G1279" s="57">
        <v>467</v>
      </c>
      <c r="H1279" s="58">
        <v>44265</v>
      </c>
      <c r="I1279" s="42" t="s">
        <v>2296</v>
      </c>
      <c r="J1279" s="43">
        <v>44265</v>
      </c>
      <c r="K1279" s="42">
        <v>19.2</v>
      </c>
      <c r="L1279" s="42">
        <v>29.5</v>
      </c>
      <c r="M1279" s="48" t="s">
        <v>29</v>
      </c>
      <c r="N1279" s="42" t="s">
        <v>2298</v>
      </c>
      <c r="O1279" s="43">
        <v>44265</v>
      </c>
      <c r="P1279" s="42" t="s">
        <v>36</v>
      </c>
      <c r="Q1279" s="42">
        <v>29.9</v>
      </c>
      <c r="R1279" s="46" t="s">
        <v>31</v>
      </c>
      <c r="S1279" s="43">
        <v>44265</v>
      </c>
      <c r="T1279" s="51">
        <f t="shared" si="50"/>
        <v>3</v>
      </c>
      <c r="U1279" s="52" t="str">
        <f t="shared" si="49"/>
        <v>Não Detectável</v>
      </c>
    </row>
    <row r="1280" spans="1:21" ht="25.5" customHeight="1" x14ac:dyDescent="0.2">
      <c r="A1280" s="51">
        <v>1279</v>
      </c>
      <c r="B1280" s="59" t="s">
        <v>2306</v>
      </c>
      <c r="C1280" s="57">
        <v>40</v>
      </c>
      <c r="D1280" s="57" t="s">
        <v>34</v>
      </c>
      <c r="E1280" s="58">
        <v>44264</v>
      </c>
      <c r="F1280" s="56" t="s">
        <v>60</v>
      </c>
      <c r="G1280" s="57">
        <v>467</v>
      </c>
      <c r="H1280" s="58">
        <v>44265</v>
      </c>
      <c r="I1280" s="42" t="s">
        <v>2296</v>
      </c>
      <c r="J1280" s="43">
        <v>44265</v>
      </c>
      <c r="K1280" s="42">
        <v>19.2</v>
      </c>
      <c r="L1280" s="42">
        <v>29.5</v>
      </c>
      <c r="M1280" s="48" t="s">
        <v>29</v>
      </c>
      <c r="N1280" s="42" t="s">
        <v>2298</v>
      </c>
      <c r="O1280" s="43">
        <v>44265</v>
      </c>
      <c r="P1280" s="42">
        <v>31.8</v>
      </c>
      <c r="Q1280" s="42">
        <v>31.8</v>
      </c>
      <c r="R1280" s="46" t="s">
        <v>29</v>
      </c>
      <c r="S1280" s="43">
        <v>44265</v>
      </c>
      <c r="T1280" s="51">
        <f t="shared" si="50"/>
        <v>3</v>
      </c>
      <c r="U1280" s="52" t="str">
        <f t="shared" si="49"/>
        <v>Detectável</v>
      </c>
    </row>
    <row r="1281" spans="1:21" ht="25.5" customHeight="1" x14ac:dyDescent="0.2">
      <c r="A1281" s="51">
        <v>1280</v>
      </c>
      <c r="B1281" s="59" t="s">
        <v>2307</v>
      </c>
      <c r="C1281" s="57">
        <v>56</v>
      </c>
      <c r="D1281" s="57" t="s">
        <v>25</v>
      </c>
      <c r="E1281" s="58">
        <v>44264</v>
      </c>
      <c r="F1281" s="56" t="s">
        <v>60</v>
      </c>
      <c r="G1281" s="57">
        <v>468</v>
      </c>
      <c r="H1281" s="58">
        <v>44265</v>
      </c>
      <c r="I1281" s="42" t="s">
        <v>2296</v>
      </c>
      <c r="J1281" s="43">
        <v>44265</v>
      </c>
      <c r="K1281" s="42">
        <v>22.4</v>
      </c>
      <c r="L1281" s="42">
        <v>29.9</v>
      </c>
      <c r="M1281" s="48" t="s">
        <v>29</v>
      </c>
      <c r="N1281" s="42" t="s">
        <v>2298</v>
      </c>
      <c r="O1281" s="43">
        <v>44265</v>
      </c>
      <c r="P1281" s="42" t="s">
        <v>36</v>
      </c>
      <c r="Q1281" s="42">
        <v>30.7</v>
      </c>
      <c r="R1281" s="46" t="s">
        <v>31</v>
      </c>
      <c r="S1281" s="43">
        <v>44265</v>
      </c>
      <c r="T1281" s="51">
        <f t="shared" si="50"/>
        <v>3</v>
      </c>
      <c r="U1281" s="52" t="str">
        <f t="shared" si="49"/>
        <v>Não Detectável</v>
      </c>
    </row>
    <row r="1282" spans="1:21" ht="25.5" customHeight="1" x14ac:dyDescent="0.2">
      <c r="A1282" s="51">
        <v>1281</v>
      </c>
      <c r="B1282" s="59" t="s">
        <v>2308</v>
      </c>
      <c r="C1282" s="57">
        <v>26</v>
      </c>
      <c r="D1282" s="57" t="s">
        <v>25</v>
      </c>
      <c r="E1282" s="58">
        <v>44264</v>
      </c>
      <c r="F1282" s="56" t="s">
        <v>60</v>
      </c>
      <c r="G1282" s="57">
        <v>468</v>
      </c>
      <c r="H1282" s="58">
        <v>44265</v>
      </c>
      <c r="I1282" s="42" t="s">
        <v>2296</v>
      </c>
      <c r="J1282" s="43">
        <v>44265</v>
      </c>
      <c r="K1282" s="42">
        <v>22.4</v>
      </c>
      <c r="L1282" s="42">
        <v>29.9</v>
      </c>
      <c r="M1282" s="48" t="s">
        <v>29</v>
      </c>
      <c r="N1282" s="42" t="s">
        <v>2298</v>
      </c>
      <c r="O1282" s="43">
        <v>44265</v>
      </c>
      <c r="P1282" s="42" t="s">
        <v>36</v>
      </c>
      <c r="Q1282" s="42">
        <v>28.7</v>
      </c>
      <c r="R1282" s="46" t="s">
        <v>31</v>
      </c>
      <c r="S1282" s="43">
        <v>44265</v>
      </c>
      <c r="T1282" s="51">
        <f t="shared" si="50"/>
        <v>3</v>
      </c>
      <c r="U1282" s="52" t="str">
        <f t="shared" si="49"/>
        <v>Não Detectável</v>
      </c>
    </row>
    <row r="1283" spans="1:21" ht="25.5" customHeight="1" x14ac:dyDescent="0.2">
      <c r="A1283" s="51">
        <v>1282</v>
      </c>
      <c r="B1283" s="59" t="s">
        <v>2309</v>
      </c>
      <c r="C1283" s="57">
        <v>28</v>
      </c>
      <c r="D1283" s="57" t="s">
        <v>34</v>
      </c>
      <c r="E1283" s="58">
        <v>44264</v>
      </c>
      <c r="F1283" s="56" t="s">
        <v>60</v>
      </c>
      <c r="G1283" s="57">
        <v>468</v>
      </c>
      <c r="H1283" s="58">
        <v>44265</v>
      </c>
      <c r="I1283" s="42" t="s">
        <v>2296</v>
      </c>
      <c r="J1283" s="43">
        <v>44265</v>
      </c>
      <c r="K1283" s="42">
        <v>22.4</v>
      </c>
      <c r="L1283" s="42">
        <v>29.9</v>
      </c>
      <c r="M1283" s="48" t="s">
        <v>29</v>
      </c>
      <c r="N1283" s="42" t="s">
        <v>2298</v>
      </c>
      <c r="O1283" s="43">
        <v>44265</v>
      </c>
      <c r="P1283" s="42">
        <v>20.7</v>
      </c>
      <c r="Q1283" s="42">
        <v>31</v>
      </c>
      <c r="R1283" s="46" t="s">
        <v>29</v>
      </c>
      <c r="S1283" s="43">
        <v>44265</v>
      </c>
      <c r="T1283" s="51">
        <f t="shared" si="50"/>
        <v>3</v>
      </c>
      <c r="U1283" s="52" t="str">
        <f t="shared" si="49"/>
        <v>Detectável</v>
      </c>
    </row>
    <row r="1284" spans="1:21" ht="25.5" customHeight="1" x14ac:dyDescent="0.2">
      <c r="A1284" s="51">
        <v>1283</v>
      </c>
      <c r="B1284" s="59" t="s">
        <v>2310</v>
      </c>
      <c r="C1284" s="57">
        <v>31</v>
      </c>
      <c r="D1284" s="57" t="s">
        <v>34</v>
      </c>
      <c r="E1284" s="58">
        <v>44264</v>
      </c>
      <c r="F1284" s="56" t="s">
        <v>60</v>
      </c>
      <c r="G1284" s="57">
        <v>469</v>
      </c>
      <c r="H1284" s="58">
        <v>44265</v>
      </c>
      <c r="I1284" s="42" t="s">
        <v>2311</v>
      </c>
      <c r="J1284" s="43">
        <v>44266</v>
      </c>
      <c r="K1284" s="42" t="s">
        <v>36</v>
      </c>
      <c r="L1284" s="42">
        <v>28.8</v>
      </c>
      <c r="M1284" s="45" t="s">
        <v>31</v>
      </c>
      <c r="N1284" s="42" t="s">
        <v>60</v>
      </c>
      <c r="O1284" s="43" t="s">
        <v>60</v>
      </c>
      <c r="P1284" s="42" t="s">
        <v>60</v>
      </c>
      <c r="Q1284" s="42" t="s">
        <v>60</v>
      </c>
      <c r="R1284" s="46" t="s">
        <v>60</v>
      </c>
      <c r="S1284" s="43">
        <v>44266</v>
      </c>
      <c r="T1284" s="51">
        <f t="shared" si="50"/>
        <v>3</v>
      </c>
      <c r="U1284" s="52" t="str">
        <f t="shared" si="49"/>
        <v>Não Detectável</v>
      </c>
    </row>
    <row r="1285" spans="1:21" ht="25.5" customHeight="1" x14ac:dyDescent="0.2">
      <c r="A1285" s="51">
        <v>1284</v>
      </c>
      <c r="B1285" s="59" t="s">
        <v>2312</v>
      </c>
      <c r="C1285" s="57">
        <v>39</v>
      </c>
      <c r="D1285" s="57" t="s">
        <v>2313</v>
      </c>
      <c r="E1285" s="58">
        <v>44264</v>
      </c>
      <c r="F1285" s="56" t="s">
        <v>60</v>
      </c>
      <c r="G1285" s="57">
        <v>469</v>
      </c>
      <c r="H1285" s="58">
        <v>44265</v>
      </c>
      <c r="I1285" s="42" t="s">
        <v>2311</v>
      </c>
      <c r="J1285" s="43">
        <v>44266</v>
      </c>
      <c r="K1285" s="42" t="s">
        <v>36</v>
      </c>
      <c r="L1285" s="42">
        <v>28.8</v>
      </c>
      <c r="M1285" s="45" t="s">
        <v>31</v>
      </c>
      <c r="N1285" s="42" t="s">
        <v>60</v>
      </c>
      <c r="O1285" s="43" t="s">
        <v>60</v>
      </c>
      <c r="P1285" s="42" t="s">
        <v>60</v>
      </c>
      <c r="Q1285" s="42" t="s">
        <v>60</v>
      </c>
      <c r="R1285" s="46" t="s">
        <v>60</v>
      </c>
      <c r="S1285" s="43">
        <v>44266</v>
      </c>
      <c r="T1285" s="51">
        <f t="shared" si="50"/>
        <v>3</v>
      </c>
      <c r="U1285" s="52" t="str">
        <f t="shared" si="49"/>
        <v>Não Detectável</v>
      </c>
    </row>
    <row r="1286" spans="1:21" ht="25.5" customHeight="1" x14ac:dyDescent="0.2">
      <c r="A1286" s="51">
        <v>1285</v>
      </c>
      <c r="B1286" s="59" t="s">
        <v>2314</v>
      </c>
      <c r="C1286" s="57">
        <v>37</v>
      </c>
      <c r="D1286" s="57" t="s">
        <v>34</v>
      </c>
      <c r="E1286" s="58">
        <v>44265</v>
      </c>
      <c r="F1286" s="56" t="s">
        <v>60</v>
      </c>
      <c r="G1286" s="57">
        <v>469</v>
      </c>
      <c r="H1286" s="58">
        <v>44266</v>
      </c>
      <c r="I1286" s="42" t="s">
        <v>2311</v>
      </c>
      <c r="J1286" s="43">
        <v>44266</v>
      </c>
      <c r="K1286" s="42" t="s">
        <v>36</v>
      </c>
      <c r="L1286" s="42">
        <v>28.8</v>
      </c>
      <c r="M1286" s="45" t="s">
        <v>31</v>
      </c>
      <c r="N1286" s="42" t="s">
        <v>60</v>
      </c>
      <c r="O1286" s="43" t="s">
        <v>60</v>
      </c>
      <c r="P1286" s="42" t="s">
        <v>60</v>
      </c>
      <c r="Q1286" s="42" t="s">
        <v>60</v>
      </c>
      <c r="R1286" s="46" t="s">
        <v>60</v>
      </c>
      <c r="S1286" s="43">
        <v>44266</v>
      </c>
      <c r="T1286" s="51">
        <f t="shared" si="50"/>
        <v>3</v>
      </c>
      <c r="U1286" s="52" t="str">
        <f t="shared" si="49"/>
        <v>Não Detectável</v>
      </c>
    </row>
    <row r="1287" spans="1:21" ht="25.5" customHeight="1" x14ac:dyDescent="0.2">
      <c r="A1287" s="51">
        <v>1286</v>
      </c>
      <c r="B1287" s="59" t="s">
        <v>2315</v>
      </c>
      <c r="C1287" s="57">
        <v>39</v>
      </c>
      <c r="D1287" s="57" t="s">
        <v>25</v>
      </c>
      <c r="E1287" s="58">
        <v>44265</v>
      </c>
      <c r="F1287" s="56" t="s">
        <v>60</v>
      </c>
      <c r="G1287" s="57">
        <v>470</v>
      </c>
      <c r="H1287" s="58">
        <v>44266</v>
      </c>
      <c r="I1287" s="42" t="s">
        <v>2311</v>
      </c>
      <c r="J1287" s="43">
        <v>44266</v>
      </c>
      <c r="K1287" s="42">
        <v>18.5</v>
      </c>
      <c r="L1287" s="42">
        <v>29.5</v>
      </c>
      <c r="M1287" s="48" t="s">
        <v>29</v>
      </c>
      <c r="N1287" s="42" t="s">
        <v>2316</v>
      </c>
      <c r="O1287" s="43">
        <v>44266</v>
      </c>
      <c r="P1287" s="42">
        <v>16.7</v>
      </c>
      <c r="Q1287" s="42">
        <v>29</v>
      </c>
      <c r="R1287" s="46" t="s">
        <v>29</v>
      </c>
      <c r="S1287" s="43">
        <v>44266</v>
      </c>
      <c r="T1287" s="51">
        <f t="shared" si="50"/>
        <v>3</v>
      </c>
      <c r="U1287" s="52" t="str">
        <f t="shared" si="49"/>
        <v>Detectável</v>
      </c>
    </row>
    <row r="1288" spans="1:21" ht="25.5" customHeight="1" x14ac:dyDescent="0.2">
      <c r="A1288" s="51">
        <v>1287</v>
      </c>
      <c r="B1288" s="59" t="s">
        <v>2317</v>
      </c>
      <c r="C1288" s="57">
        <v>73</v>
      </c>
      <c r="D1288" s="57" t="s">
        <v>25</v>
      </c>
      <c r="E1288" s="58">
        <v>44265</v>
      </c>
      <c r="F1288" s="56" t="s">
        <v>60</v>
      </c>
      <c r="G1288" s="57">
        <v>470</v>
      </c>
      <c r="H1288" s="58">
        <v>44266</v>
      </c>
      <c r="I1288" s="42" t="s">
        <v>2311</v>
      </c>
      <c r="J1288" s="43">
        <v>44266</v>
      </c>
      <c r="K1288" s="42">
        <v>18.5</v>
      </c>
      <c r="L1288" s="42">
        <v>29.5</v>
      </c>
      <c r="M1288" s="48" t="s">
        <v>29</v>
      </c>
      <c r="N1288" s="42" t="s">
        <v>2316</v>
      </c>
      <c r="O1288" s="43">
        <v>44266</v>
      </c>
      <c r="P1288" s="42" t="s">
        <v>36</v>
      </c>
      <c r="Q1288" s="42">
        <v>28.8</v>
      </c>
      <c r="R1288" s="46" t="s">
        <v>31</v>
      </c>
      <c r="S1288" s="43">
        <v>44266</v>
      </c>
      <c r="T1288" s="51">
        <f t="shared" si="50"/>
        <v>3</v>
      </c>
      <c r="U1288" s="52" t="str">
        <f t="shared" si="49"/>
        <v>Não Detectável</v>
      </c>
    </row>
    <row r="1289" spans="1:21" ht="25.5" customHeight="1" x14ac:dyDescent="0.2">
      <c r="A1289" s="51">
        <v>1288</v>
      </c>
      <c r="B1289" s="59" t="s">
        <v>2318</v>
      </c>
      <c r="C1289" s="57">
        <v>61</v>
      </c>
      <c r="D1289" s="57" t="s">
        <v>34</v>
      </c>
      <c r="E1289" s="58">
        <v>44265</v>
      </c>
      <c r="F1289" s="56" t="s">
        <v>60</v>
      </c>
      <c r="G1289" s="57">
        <v>470</v>
      </c>
      <c r="H1289" s="58">
        <v>44266</v>
      </c>
      <c r="I1289" s="42" t="s">
        <v>2311</v>
      </c>
      <c r="J1289" s="43">
        <v>44266</v>
      </c>
      <c r="K1289" s="42">
        <v>18.5</v>
      </c>
      <c r="L1289" s="42">
        <v>29.5</v>
      </c>
      <c r="M1289" s="48" t="s">
        <v>29</v>
      </c>
      <c r="N1289" s="42" t="s">
        <v>2316</v>
      </c>
      <c r="O1289" s="43">
        <v>44266</v>
      </c>
      <c r="P1289" s="42" t="s">
        <v>36</v>
      </c>
      <c r="Q1289" s="42">
        <v>29.3</v>
      </c>
      <c r="R1289" s="46" t="s">
        <v>31</v>
      </c>
      <c r="S1289" s="43">
        <v>44266</v>
      </c>
      <c r="T1289" s="51">
        <f t="shared" si="50"/>
        <v>3</v>
      </c>
      <c r="U1289" s="52" t="str">
        <f t="shared" si="49"/>
        <v>Não Detectável</v>
      </c>
    </row>
    <row r="1290" spans="1:21" ht="25.5" customHeight="1" x14ac:dyDescent="0.2">
      <c r="A1290" s="51">
        <v>1289</v>
      </c>
      <c r="B1290" s="59" t="s">
        <v>2319</v>
      </c>
      <c r="C1290" s="57">
        <v>61</v>
      </c>
      <c r="D1290" s="57" t="s">
        <v>34</v>
      </c>
      <c r="E1290" s="58">
        <v>44265</v>
      </c>
      <c r="F1290" s="56" t="s">
        <v>60</v>
      </c>
      <c r="G1290" s="57">
        <v>471</v>
      </c>
      <c r="H1290" s="58">
        <v>44266</v>
      </c>
      <c r="I1290" s="42" t="s">
        <v>2311</v>
      </c>
      <c r="J1290" s="43">
        <v>44266</v>
      </c>
      <c r="K1290" s="42">
        <v>22.8</v>
      </c>
      <c r="L1290" s="42">
        <v>30.3</v>
      </c>
      <c r="M1290" s="48" t="s">
        <v>29</v>
      </c>
      <c r="N1290" s="42" t="s">
        <v>2316</v>
      </c>
      <c r="O1290" s="43">
        <v>44266</v>
      </c>
      <c r="P1290" s="42">
        <v>22.8</v>
      </c>
      <c r="Q1290" s="42">
        <v>30.5</v>
      </c>
      <c r="R1290" s="46" t="s">
        <v>29</v>
      </c>
      <c r="S1290" s="43">
        <v>44266</v>
      </c>
      <c r="T1290" s="51">
        <f t="shared" si="50"/>
        <v>3</v>
      </c>
      <c r="U1290" s="52" t="str">
        <f t="shared" si="49"/>
        <v>Detectável</v>
      </c>
    </row>
    <row r="1291" spans="1:21" ht="25.5" customHeight="1" x14ac:dyDescent="0.2">
      <c r="A1291" s="51">
        <v>1290</v>
      </c>
      <c r="B1291" s="59" t="s">
        <v>2320</v>
      </c>
      <c r="C1291" s="57">
        <v>28</v>
      </c>
      <c r="D1291" s="57" t="s">
        <v>25</v>
      </c>
      <c r="E1291" s="58">
        <v>44265</v>
      </c>
      <c r="F1291" s="56" t="s">
        <v>60</v>
      </c>
      <c r="G1291" s="57">
        <v>471</v>
      </c>
      <c r="H1291" s="58">
        <v>44266</v>
      </c>
      <c r="I1291" s="42" t="s">
        <v>2311</v>
      </c>
      <c r="J1291" s="43">
        <v>44266</v>
      </c>
      <c r="K1291" s="42">
        <v>22.8</v>
      </c>
      <c r="L1291" s="42">
        <v>30.3</v>
      </c>
      <c r="M1291" s="48" t="s">
        <v>29</v>
      </c>
      <c r="N1291" s="42" t="s">
        <v>2316</v>
      </c>
      <c r="O1291" s="43">
        <v>44266</v>
      </c>
      <c r="P1291" s="42">
        <v>23</v>
      </c>
      <c r="Q1291" s="42">
        <v>30</v>
      </c>
      <c r="R1291" s="46" t="s">
        <v>29</v>
      </c>
      <c r="S1291" s="43">
        <v>44266</v>
      </c>
      <c r="T1291" s="51">
        <f t="shared" si="50"/>
        <v>3</v>
      </c>
      <c r="U1291" s="52" t="str">
        <f t="shared" si="49"/>
        <v>Detectável</v>
      </c>
    </row>
    <row r="1292" spans="1:21" ht="25.5" customHeight="1" x14ac:dyDescent="0.2">
      <c r="A1292" s="51">
        <v>1291</v>
      </c>
      <c r="B1292" s="59" t="s">
        <v>2321</v>
      </c>
      <c r="C1292" s="57">
        <v>41</v>
      </c>
      <c r="D1292" s="57" t="s">
        <v>25</v>
      </c>
      <c r="E1292" s="58">
        <v>44265</v>
      </c>
      <c r="F1292" s="56" t="s">
        <v>60</v>
      </c>
      <c r="G1292" s="57">
        <v>471</v>
      </c>
      <c r="H1292" s="58">
        <v>44266</v>
      </c>
      <c r="I1292" s="42" t="s">
        <v>2311</v>
      </c>
      <c r="J1292" s="43">
        <v>44266</v>
      </c>
      <c r="K1292" s="42">
        <v>22.8</v>
      </c>
      <c r="L1292" s="42">
        <v>30.3</v>
      </c>
      <c r="M1292" s="48" t="s">
        <v>29</v>
      </c>
      <c r="N1292" s="42" t="s">
        <v>2316</v>
      </c>
      <c r="O1292" s="43">
        <v>44266</v>
      </c>
      <c r="P1292" s="42" t="s">
        <v>36</v>
      </c>
      <c r="Q1292" s="42">
        <v>29.5</v>
      </c>
      <c r="R1292" s="46" t="s">
        <v>31</v>
      </c>
      <c r="S1292" s="43">
        <v>44266</v>
      </c>
      <c r="T1292" s="51">
        <f t="shared" si="50"/>
        <v>3</v>
      </c>
      <c r="U1292" s="52" t="str">
        <f t="shared" si="49"/>
        <v>Não Detectável</v>
      </c>
    </row>
    <row r="1293" spans="1:21" ht="25.5" customHeight="1" x14ac:dyDescent="0.2">
      <c r="A1293" s="51">
        <v>1292</v>
      </c>
      <c r="B1293" s="59" t="s">
        <v>2322</v>
      </c>
      <c r="C1293" s="57">
        <v>39</v>
      </c>
      <c r="D1293" s="57" t="s">
        <v>25</v>
      </c>
      <c r="E1293" s="58">
        <v>44265</v>
      </c>
      <c r="F1293" s="56" t="s">
        <v>60</v>
      </c>
      <c r="G1293" s="57">
        <v>472</v>
      </c>
      <c r="H1293" s="58">
        <v>44266</v>
      </c>
      <c r="I1293" s="42" t="s">
        <v>2311</v>
      </c>
      <c r="J1293" s="43">
        <v>44266</v>
      </c>
      <c r="K1293" s="42">
        <v>20.8</v>
      </c>
      <c r="L1293" s="42">
        <v>29.4</v>
      </c>
      <c r="M1293" s="48" t="s">
        <v>29</v>
      </c>
      <c r="N1293" s="42" t="s">
        <v>2316</v>
      </c>
      <c r="O1293" s="43">
        <v>44266</v>
      </c>
      <c r="P1293" s="42">
        <v>21.4</v>
      </c>
      <c r="Q1293" s="42">
        <v>30.2</v>
      </c>
      <c r="R1293" s="46" t="s">
        <v>29</v>
      </c>
      <c r="S1293" s="43">
        <v>44266</v>
      </c>
      <c r="T1293" s="51">
        <f t="shared" si="50"/>
        <v>3</v>
      </c>
      <c r="U1293" s="52" t="str">
        <f t="shared" si="49"/>
        <v>Detectável</v>
      </c>
    </row>
    <row r="1294" spans="1:21" ht="25.5" customHeight="1" x14ac:dyDescent="0.2">
      <c r="A1294" s="51">
        <v>1293</v>
      </c>
      <c r="B1294" s="59" t="s">
        <v>2323</v>
      </c>
      <c r="C1294" s="57">
        <v>38</v>
      </c>
      <c r="D1294" s="57" t="s">
        <v>25</v>
      </c>
      <c r="E1294" s="58">
        <v>44265</v>
      </c>
      <c r="F1294" s="56" t="s">
        <v>60</v>
      </c>
      <c r="G1294" s="57">
        <v>472</v>
      </c>
      <c r="H1294" s="58">
        <v>44266</v>
      </c>
      <c r="I1294" s="42" t="s">
        <v>2311</v>
      </c>
      <c r="J1294" s="43">
        <v>44266</v>
      </c>
      <c r="K1294" s="42">
        <v>20.8</v>
      </c>
      <c r="L1294" s="42">
        <v>29.4</v>
      </c>
      <c r="M1294" s="48" t="s">
        <v>29</v>
      </c>
      <c r="N1294" s="42" t="s">
        <v>2316</v>
      </c>
      <c r="O1294" s="43">
        <v>44266</v>
      </c>
      <c r="P1294" s="42">
        <v>19.600000000000001</v>
      </c>
      <c r="Q1294" s="42">
        <v>29.1</v>
      </c>
      <c r="R1294" s="46" t="s">
        <v>29</v>
      </c>
      <c r="S1294" s="43">
        <v>44266</v>
      </c>
      <c r="T1294" s="51">
        <f t="shared" si="50"/>
        <v>3</v>
      </c>
      <c r="U1294" s="52" t="str">
        <f t="shared" si="49"/>
        <v>Detectável</v>
      </c>
    </row>
    <row r="1295" spans="1:21" ht="25.5" customHeight="1" x14ac:dyDescent="0.2">
      <c r="A1295" s="51">
        <v>1294</v>
      </c>
      <c r="B1295" s="59" t="s">
        <v>2324</v>
      </c>
      <c r="C1295" s="57">
        <v>30</v>
      </c>
      <c r="D1295" s="57" t="s">
        <v>34</v>
      </c>
      <c r="E1295" s="58">
        <v>44265</v>
      </c>
      <c r="F1295" s="56" t="s">
        <v>60</v>
      </c>
      <c r="G1295" s="57">
        <v>472</v>
      </c>
      <c r="H1295" s="58">
        <v>44266</v>
      </c>
      <c r="I1295" s="42" t="s">
        <v>2311</v>
      </c>
      <c r="J1295" s="43">
        <v>44266</v>
      </c>
      <c r="K1295" s="42">
        <v>20.8</v>
      </c>
      <c r="L1295" s="42">
        <v>29.4</v>
      </c>
      <c r="M1295" s="48" t="s">
        <v>29</v>
      </c>
      <c r="N1295" s="42" t="s">
        <v>2316</v>
      </c>
      <c r="O1295" s="43">
        <v>44266</v>
      </c>
      <c r="P1295" s="42">
        <v>40.4</v>
      </c>
      <c r="Q1295" s="42">
        <v>28.6</v>
      </c>
      <c r="R1295" s="46" t="s">
        <v>31</v>
      </c>
      <c r="S1295" s="43">
        <v>44266</v>
      </c>
      <c r="T1295" s="51">
        <f t="shared" si="50"/>
        <v>3</v>
      </c>
      <c r="U1295" s="52" t="str">
        <f t="shared" si="49"/>
        <v>Não Detectável</v>
      </c>
    </row>
    <row r="1296" spans="1:21" ht="25.5" customHeight="1" x14ac:dyDescent="0.2">
      <c r="A1296" s="51">
        <v>1295</v>
      </c>
      <c r="B1296" s="59" t="s">
        <v>2325</v>
      </c>
      <c r="C1296" s="57">
        <v>50</v>
      </c>
      <c r="D1296" s="57" t="s">
        <v>25</v>
      </c>
      <c r="E1296" s="58">
        <v>44265</v>
      </c>
      <c r="F1296" s="56" t="s">
        <v>60</v>
      </c>
      <c r="G1296" s="57">
        <v>473</v>
      </c>
      <c r="H1296" s="58">
        <v>44266</v>
      </c>
      <c r="I1296" s="42" t="s">
        <v>2311</v>
      </c>
      <c r="J1296" s="43">
        <v>44266</v>
      </c>
      <c r="K1296" s="42">
        <v>23.6</v>
      </c>
      <c r="L1296" s="42">
        <v>29.4</v>
      </c>
      <c r="M1296" s="48" t="s">
        <v>29</v>
      </c>
      <c r="N1296" s="42" t="s">
        <v>2316</v>
      </c>
      <c r="O1296" s="43">
        <v>44266</v>
      </c>
      <c r="P1296" s="42">
        <v>21.4</v>
      </c>
      <c r="Q1296" s="42">
        <v>29.2</v>
      </c>
      <c r="R1296" s="46" t="s">
        <v>29</v>
      </c>
      <c r="S1296" s="43">
        <v>44266</v>
      </c>
      <c r="T1296" s="51">
        <f t="shared" si="50"/>
        <v>3</v>
      </c>
      <c r="U1296" s="52" t="str">
        <f t="shared" si="49"/>
        <v>Detectável</v>
      </c>
    </row>
    <row r="1297" spans="1:21" ht="25.5" customHeight="1" x14ac:dyDescent="0.2">
      <c r="A1297" s="51">
        <v>1296</v>
      </c>
      <c r="B1297" s="59" t="s">
        <v>2326</v>
      </c>
      <c r="C1297" s="57">
        <v>39</v>
      </c>
      <c r="D1297" s="57" t="s">
        <v>34</v>
      </c>
      <c r="E1297" s="58">
        <v>44265</v>
      </c>
      <c r="F1297" s="56" t="s">
        <v>60</v>
      </c>
      <c r="G1297" s="57">
        <v>473</v>
      </c>
      <c r="H1297" s="58">
        <v>44266</v>
      </c>
      <c r="I1297" s="42" t="s">
        <v>2311</v>
      </c>
      <c r="J1297" s="43">
        <v>44266</v>
      </c>
      <c r="K1297" s="42">
        <v>23.6</v>
      </c>
      <c r="L1297" s="42">
        <v>29.4</v>
      </c>
      <c r="M1297" s="48" t="s">
        <v>29</v>
      </c>
      <c r="N1297" s="42" t="s">
        <v>2316</v>
      </c>
      <c r="O1297" s="43">
        <v>44266</v>
      </c>
      <c r="P1297" s="42">
        <v>42</v>
      </c>
      <c r="Q1297" s="42">
        <v>27.8</v>
      </c>
      <c r="R1297" s="46" t="s">
        <v>31</v>
      </c>
      <c r="S1297" s="43">
        <v>44266</v>
      </c>
      <c r="T1297" s="51">
        <f t="shared" si="50"/>
        <v>3</v>
      </c>
      <c r="U1297" s="52" t="str">
        <f t="shared" si="49"/>
        <v>Não Detectável</v>
      </c>
    </row>
    <row r="1298" spans="1:21" ht="25.5" customHeight="1" x14ac:dyDescent="0.2">
      <c r="A1298" s="51">
        <v>1297</v>
      </c>
      <c r="B1298" s="59" t="s">
        <v>2327</v>
      </c>
      <c r="C1298" s="57">
        <v>30</v>
      </c>
      <c r="D1298" s="57" t="s">
        <v>34</v>
      </c>
      <c r="E1298" s="58">
        <v>44265</v>
      </c>
      <c r="F1298" s="56" t="s">
        <v>60</v>
      </c>
      <c r="G1298" s="57">
        <v>473</v>
      </c>
      <c r="H1298" s="58">
        <v>44266</v>
      </c>
      <c r="I1298" s="42" t="s">
        <v>2311</v>
      </c>
      <c r="J1298" s="43">
        <v>44266</v>
      </c>
      <c r="K1298" s="42">
        <v>23.6</v>
      </c>
      <c r="L1298" s="42">
        <v>29.4</v>
      </c>
      <c r="M1298" s="48" t="s">
        <v>29</v>
      </c>
      <c r="N1298" s="42" t="s">
        <v>2316</v>
      </c>
      <c r="O1298" s="43">
        <v>44266</v>
      </c>
      <c r="P1298" s="42" t="s">
        <v>36</v>
      </c>
      <c r="Q1298" s="42">
        <v>30.5</v>
      </c>
      <c r="R1298" s="46" t="s">
        <v>31</v>
      </c>
      <c r="S1298" s="43">
        <v>44266</v>
      </c>
      <c r="T1298" s="51">
        <f t="shared" si="50"/>
        <v>3</v>
      </c>
      <c r="U1298" s="52" t="str">
        <f t="shared" si="49"/>
        <v>Não Detectável</v>
      </c>
    </row>
    <row r="1299" spans="1:21" ht="25.5" customHeight="1" x14ac:dyDescent="0.2">
      <c r="A1299" s="51">
        <v>1298</v>
      </c>
      <c r="B1299" s="59" t="s">
        <v>2328</v>
      </c>
      <c r="C1299" s="57">
        <v>39</v>
      </c>
      <c r="D1299" s="57" t="s">
        <v>25</v>
      </c>
      <c r="E1299" s="58">
        <v>44266</v>
      </c>
      <c r="F1299" s="56" t="s">
        <v>60</v>
      </c>
      <c r="G1299" s="57">
        <v>474</v>
      </c>
      <c r="H1299" s="58">
        <v>44266</v>
      </c>
      <c r="I1299" s="42" t="s">
        <v>2329</v>
      </c>
      <c r="J1299" s="43">
        <v>44267</v>
      </c>
      <c r="K1299" s="42">
        <v>28.3</v>
      </c>
      <c r="L1299" s="42">
        <v>28.4</v>
      </c>
      <c r="M1299" s="48" t="s">
        <v>29</v>
      </c>
      <c r="N1299" s="42" t="s">
        <v>2330</v>
      </c>
      <c r="O1299" s="43">
        <v>44270</v>
      </c>
      <c r="P1299" s="42" t="s">
        <v>36</v>
      </c>
      <c r="Q1299" s="42">
        <v>27.2</v>
      </c>
      <c r="R1299" s="46" t="s">
        <v>31</v>
      </c>
      <c r="S1299" s="43">
        <v>44270</v>
      </c>
      <c r="T1299" s="51">
        <f t="shared" si="50"/>
        <v>3</v>
      </c>
      <c r="U1299" s="52" t="str">
        <f t="shared" si="49"/>
        <v>Não Detectável</v>
      </c>
    </row>
    <row r="1300" spans="1:21" ht="25.5" customHeight="1" x14ac:dyDescent="0.2">
      <c r="A1300" s="51">
        <v>1299</v>
      </c>
      <c r="B1300" s="59" t="s">
        <v>2331</v>
      </c>
      <c r="C1300" s="57">
        <v>26</v>
      </c>
      <c r="D1300" s="57" t="s">
        <v>25</v>
      </c>
      <c r="E1300" s="58">
        <v>44266</v>
      </c>
      <c r="F1300" s="56" t="s">
        <v>60</v>
      </c>
      <c r="G1300" s="57">
        <v>474</v>
      </c>
      <c r="H1300" s="58">
        <v>44267</v>
      </c>
      <c r="I1300" s="42" t="s">
        <v>2329</v>
      </c>
      <c r="J1300" s="43">
        <v>44267</v>
      </c>
      <c r="K1300" s="42">
        <v>28.3</v>
      </c>
      <c r="L1300" s="42">
        <v>28.4</v>
      </c>
      <c r="M1300" s="48" t="s">
        <v>29</v>
      </c>
      <c r="N1300" s="42" t="s">
        <v>2330</v>
      </c>
      <c r="O1300" s="43">
        <v>44270</v>
      </c>
      <c r="P1300" s="42" t="s">
        <v>36</v>
      </c>
      <c r="Q1300" s="42">
        <v>27.9</v>
      </c>
      <c r="R1300" s="46" t="s">
        <v>31</v>
      </c>
      <c r="S1300" s="43">
        <v>44270</v>
      </c>
      <c r="T1300" s="51">
        <f t="shared" si="50"/>
        <v>3</v>
      </c>
      <c r="U1300" s="52" t="str">
        <f t="shared" si="49"/>
        <v>Não Detectável</v>
      </c>
    </row>
    <row r="1301" spans="1:21" ht="25.5" customHeight="1" x14ac:dyDescent="0.2">
      <c r="A1301" s="51">
        <v>1300</v>
      </c>
      <c r="B1301" s="59" t="s">
        <v>2332</v>
      </c>
      <c r="C1301" s="57">
        <v>28</v>
      </c>
      <c r="D1301" s="57" t="s">
        <v>34</v>
      </c>
      <c r="E1301" s="58">
        <v>44266</v>
      </c>
      <c r="F1301" s="56" t="s">
        <v>60</v>
      </c>
      <c r="G1301" s="57">
        <v>474</v>
      </c>
      <c r="H1301" s="58">
        <v>44267</v>
      </c>
      <c r="I1301" s="42" t="s">
        <v>2329</v>
      </c>
      <c r="J1301" s="43">
        <v>44267</v>
      </c>
      <c r="K1301" s="42">
        <v>28.3</v>
      </c>
      <c r="L1301" s="42">
        <v>28.4</v>
      </c>
      <c r="M1301" s="48" t="s">
        <v>29</v>
      </c>
      <c r="N1301" s="42" t="s">
        <v>2330</v>
      </c>
      <c r="O1301" s="43">
        <v>44270</v>
      </c>
      <c r="P1301" s="42">
        <v>24.5</v>
      </c>
      <c r="Q1301" s="42">
        <v>28.7</v>
      </c>
      <c r="R1301" s="46" t="s">
        <v>29</v>
      </c>
      <c r="S1301" s="43">
        <v>44270</v>
      </c>
      <c r="T1301" s="51">
        <f t="shared" si="50"/>
        <v>3</v>
      </c>
      <c r="U1301" s="52" t="str">
        <f t="shared" si="49"/>
        <v>Detectável</v>
      </c>
    </row>
    <row r="1302" spans="1:21" ht="25.5" customHeight="1" x14ac:dyDescent="0.2">
      <c r="A1302" s="51">
        <v>1301</v>
      </c>
      <c r="B1302" s="59" t="s">
        <v>2333</v>
      </c>
      <c r="C1302" s="57">
        <v>39</v>
      </c>
      <c r="D1302" s="57" t="s">
        <v>25</v>
      </c>
      <c r="E1302" s="58">
        <v>44266</v>
      </c>
      <c r="F1302" s="56" t="s">
        <v>60</v>
      </c>
      <c r="G1302" s="57">
        <v>475</v>
      </c>
      <c r="H1302" s="58">
        <v>44267</v>
      </c>
      <c r="I1302" s="42" t="s">
        <v>2329</v>
      </c>
      <c r="J1302" s="43">
        <v>44267</v>
      </c>
      <c r="K1302" s="42">
        <v>26.2</v>
      </c>
      <c r="L1302" s="42">
        <v>28</v>
      </c>
      <c r="M1302" s="48" t="s">
        <v>29</v>
      </c>
      <c r="N1302" s="42" t="s">
        <v>2330</v>
      </c>
      <c r="O1302" s="43">
        <v>44270</v>
      </c>
      <c r="P1302" s="42">
        <v>24.6</v>
      </c>
      <c r="Q1302" s="42">
        <v>28.1</v>
      </c>
      <c r="R1302" s="46" t="s">
        <v>29</v>
      </c>
      <c r="S1302" s="43">
        <v>44270</v>
      </c>
      <c r="T1302" s="51">
        <f t="shared" si="50"/>
        <v>3</v>
      </c>
      <c r="U1302" s="52" t="str">
        <f t="shared" si="49"/>
        <v>Detectável</v>
      </c>
    </row>
    <row r="1303" spans="1:21" ht="25.5" customHeight="1" x14ac:dyDescent="0.2">
      <c r="A1303" s="51">
        <v>1302</v>
      </c>
      <c r="B1303" s="59" t="s">
        <v>2334</v>
      </c>
      <c r="C1303" s="57">
        <v>26</v>
      </c>
      <c r="D1303" s="57" t="s">
        <v>25</v>
      </c>
      <c r="E1303" s="58">
        <v>44266</v>
      </c>
      <c r="F1303" s="56" t="s">
        <v>60</v>
      </c>
      <c r="G1303" s="57">
        <v>475</v>
      </c>
      <c r="H1303" s="58">
        <v>44267</v>
      </c>
      <c r="I1303" s="42" t="s">
        <v>2329</v>
      </c>
      <c r="J1303" s="43">
        <v>44267</v>
      </c>
      <c r="K1303" s="42">
        <v>26.2</v>
      </c>
      <c r="L1303" s="42">
        <v>28</v>
      </c>
      <c r="M1303" s="48" t="s">
        <v>29</v>
      </c>
      <c r="N1303" s="42" t="s">
        <v>2330</v>
      </c>
      <c r="O1303" s="43">
        <v>44270</v>
      </c>
      <c r="P1303" s="42" t="s">
        <v>36</v>
      </c>
      <c r="Q1303" s="42">
        <v>25.9</v>
      </c>
      <c r="R1303" s="46" t="s">
        <v>31</v>
      </c>
      <c r="S1303" s="43">
        <v>44270</v>
      </c>
      <c r="T1303" s="51">
        <f t="shared" si="50"/>
        <v>3</v>
      </c>
      <c r="U1303" s="52" t="str">
        <f t="shared" si="49"/>
        <v>Não Detectável</v>
      </c>
    </row>
    <row r="1304" spans="1:21" ht="25.5" customHeight="1" x14ac:dyDescent="0.2">
      <c r="A1304" s="51">
        <v>1303</v>
      </c>
      <c r="B1304" s="59" t="s">
        <v>2335</v>
      </c>
      <c r="C1304" s="57">
        <v>19</v>
      </c>
      <c r="D1304" s="57" t="s">
        <v>25</v>
      </c>
      <c r="E1304" s="58">
        <v>44266</v>
      </c>
      <c r="F1304" s="56" t="s">
        <v>60</v>
      </c>
      <c r="G1304" s="57">
        <v>475</v>
      </c>
      <c r="H1304" s="58">
        <v>44267</v>
      </c>
      <c r="I1304" s="42" t="s">
        <v>2329</v>
      </c>
      <c r="J1304" s="43">
        <v>44267</v>
      </c>
      <c r="K1304" s="42">
        <v>26.2</v>
      </c>
      <c r="L1304" s="42">
        <v>28</v>
      </c>
      <c r="M1304" s="48" t="s">
        <v>29</v>
      </c>
      <c r="N1304" s="42" t="s">
        <v>2330</v>
      </c>
      <c r="O1304" s="43">
        <v>44270</v>
      </c>
      <c r="P1304" s="42" t="s">
        <v>36</v>
      </c>
      <c r="Q1304" s="42">
        <v>29.1</v>
      </c>
      <c r="R1304" s="46" t="s">
        <v>31</v>
      </c>
      <c r="S1304" s="43">
        <v>44270</v>
      </c>
      <c r="T1304" s="51">
        <f t="shared" si="50"/>
        <v>3</v>
      </c>
      <c r="U1304" s="52" t="str">
        <f t="shared" si="49"/>
        <v>Não Detectável</v>
      </c>
    </row>
    <row r="1305" spans="1:21" ht="25.5" customHeight="1" x14ac:dyDescent="0.2">
      <c r="A1305" s="51">
        <v>1304</v>
      </c>
      <c r="B1305" s="59" t="s">
        <v>2336</v>
      </c>
      <c r="C1305" s="57">
        <v>15</v>
      </c>
      <c r="D1305" s="57" t="s">
        <v>34</v>
      </c>
      <c r="E1305" s="58">
        <v>44266</v>
      </c>
      <c r="F1305" s="56" t="s">
        <v>60</v>
      </c>
      <c r="G1305" s="57">
        <v>476</v>
      </c>
      <c r="H1305" s="58">
        <v>44267</v>
      </c>
      <c r="I1305" s="42" t="s">
        <v>2329</v>
      </c>
      <c r="J1305" s="43">
        <v>44267</v>
      </c>
      <c r="K1305" s="42">
        <v>15</v>
      </c>
      <c r="L1305" s="42">
        <v>26.6</v>
      </c>
      <c r="M1305" s="48" t="s">
        <v>29</v>
      </c>
      <c r="N1305" s="42" t="s">
        <v>2330</v>
      </c>
      <c r="O1305" s="43">
        <v>44270</v>
      </c>
      <c r="P1305" s="42" t="s">
        <v>36</v>
      </c>
      <c r="Q1305" s="42">
        <v>26</v>
      </c>
      <c r="R1305" s="46" t="s">
        <v>31</v>
      </c>
      <c r="S1305" s="43">
        <v>44270</v>
      </c>
      <c r="T1305" s="51">
        <f t="shared" si="50"/>
        <v>3</v>
      </c>
      <c r="U1305" s="52" t="str">
        <f t="shared" si="49"/>
        <v>Não Detectável</v>
      </c>
    </row>
    <row r="1306" spans="1:21" ht="25.5" customHeight="1" x14ac:dyDescent="0.2">
      <c r="A1306" s="51">
        <v>1305</v>
      </c>
      <c r="B1306" s="59" t="s">
        <v>2337</v>
      </c>
      <c r="C1306" s="57">
        <v>27</v>
      </c>
      <c r="D1306" s="57" t="s">
        <v>34</v>
      </c>
      <c r="E1306" s="58">
        <v>44266</v>
      </c>
      <c r="F1306" s="56" t="s">
        <v>60</v>
      </c>
      <c r="G1306" s="57">
        <v>476</v>
      </c>
      <c r="H1306" s="58">
        <v>44267</v>
      </c>
      <c r="I1306" s="42" t="s">
        <v>2329</v>
      </c>
      <c r="J1306" s="43">
        <v>44267</v>
      </c>
      <c r="K1306" s="42">
        <v>15</v>
      </c>
      <c r="L1306" s="42">
        <v>26.6</v>
      </c>
      <c r="M1306" s="48" t="s">
        <v>29</v>
      </c>
      <c r="N1306" s="42" t="s">
        <v>2330</v>
      </c>
      <c r="O1306" s="43">
        <v>44270</v>
      </c>
      <c r="P1306" s="42">
        <v>13.5</v>
      </c>
      <c r="Q1306" s="42">
        <v>26.7</v>
      </c>
      <c r="R1306" s="46" t="s">
        <v>29</v>
      </c>
      <c r="S1306" s="43">
        <v>44270</v>
      </c>
      <c r="T1306" s="51">
        <f t="shared" si="50"/>
        <v>3</v>
      </c>
      <c r="U1306" s="52" t="str">
        <f t="shared" si="49"/>
        <v>Detectável</v>
      </c>
    </row>
    <row r="1307" spans="1:21" ht="25.5" customHeight="1" x14ac:dyDescent="0.2">
      <c r="A1307" s="51">
        <v>1306</v>
      </c>
      <c r="B1307" s="59" t="s">
        <v>2338</v>
      </c>
      <c r="C1307" s="57">
        <v>20</v>
      </c>
      <c r="D1307" s="57" t="s">
        <v>34</v>
      </c>
      <c r="E1307" s="58">
        <v>44266</v>
      </c>
      <c r="F1307" s="56" t="s">
        <v>60</v>
      </c>
      <c r="G1307" s="57">
        <v>476</v>
      </c>
      <c r="H1307" s="58">
        <v>44267</v>
      </c>
      <c r="I1307" s="42" t="s">
        <v>2329</v>
      </c>
      <c r="J1307" s="43">
        <v>44267</v>
      </c>
      <c r="K1307" s="42">
        <v>15</v>
      </c>
      <c r="L1307" s="42">
        <v>26.6</v>
      </c>
      <c r="M1307" s="48" t="s">
        <v>29</v>
      </c>
      <c r="N1307" s="42" t="s">
        <v>2330</v>
      </c>
      <c r="O1307" s="43">
        <v>44270</v>
      </c>
      <c r="P1307" s="42" t="s">
        <v>36</v>
      </c>
      <c r="Q1307" s="42">
        <v>27.5</v>
      </c>
      <c r="R1307" s="46" t="s">
        <v>31</v>
      </c>
      <c r="S1307" s="43">
        <v>44270</v>
      </c>
      <c r="T1307" s="51">
        <f t="shared" si="50"/>
        <v>3</v>
      </c>
      <c r="U1307" s="52" t="str">
        <f t="shared" si="49"/>
        <v>Não Detectável</v>
      </c>
    </row>
    <row r="1308" spans="1:21" ht="25.5" customHeight="1" x14ac:dyDescent="0.2">
      <c r="A1308" s="51">
        <v>1307</v>
      </c>
      <c r="B1308" s="59" t="s">
        <v>2339</v>
      </c>
      <c r="C1308" s="57">
        <v>45</v>
      </c>
      <c r="D1308" s="57" t="s">
        <v>25</v>
      </c>
      <c r="E1308" s="58">
        <v>44266</v>
      </c>
      <c r="F1308" s="56" t="s">
        <v>60</v>
      </c>
      <c r="G1308" s="57">
        <v>477</v>
      </c>
      <c r="H1308" s="58">
        <v>44267</v>
      </c>
      <c r="I1308" s="42" t="s">
        <v>2329</v>
      </c>
      <c r="J1308" s="43">
        <v>44267</v>
      </c>
      <c r="K1308" s="42">
        <v>29.6</v>
      </c>
      <c r="L1308" s="42">
        <v>28.4</v>
      </c>
      <c r="M1308" s="48" t="s">
        <v>29</v>
      </c>
      <c r="N1308" s="42" t="s">
        <v>2330</v>
      </c>
      <c r="O1308" s="43">
        <v>44270</v>
      </c>
      <c r="P1308" s="42">
        <v>34.799999999999997</v>
      </c>
      <c r="Q1308" s="42">
        <v>27.3</v>
      </c>
      <c r="R1308" s="46" t="s">
        <v>29</v>
      </c>
      <c r="S1308" s="43">
        <v>44270</v>
      </c>
      <c r="T1308" s="51">
        <f t="shared" si="50"/>
        <v>3</v>
      </c>
      <c r="U1308" s="52" t="str">
        <f t="shared" si="49"/>
        <v>Detectável</v>
      </c>
    </row>
    <row r="1309" spans="1:21" ht="25.5" customHeight="1" x14ac:dyDescent="0.2">
      <c r="A1309" s="51">
        <v>1308</v>
      </c>
      <c r="B1309" s="59" t="s">
        <v>2340</v>
      </c>
      <c r="C1309" s="57">
        <v>36</v>
      </c>
      <c r="D1309" s="57" t="s">
        <v>34</v>
      </c>
      <c r="E1309" s="58">
        <v>44266</v>
      </c>
      <c r="F1309" s="56" t="s">
        <v>60</v>
      </c>
      <c r="G1309" s="57">
        <v>477</v>
      </c>
      <c r="H1309" s="58">
        <v>44267</v>
      </c>
      <c r="I1309" s="42" t="s">
        <v>2329</v>
      </c>
      <c r="J1309" s="43">
        <v>44267</v>
      </c>
      <c r="K1309" s="42">
        <v>29.6</v>
      </c>
      <c r="L1309" s="42">
        <v>28.4</v>
      </c>
      <c r="M1309" s="48" t="s">
        <v>29</v>
      </c>
      <c r="N1309" s="42" t="s">
        <v>2330</v>
      </c>
      <c r="O1309" s="43">
        <v>44270</v>
      </c>
      <c r="P1309" s="42">
        <v>36.799999999999997</v>
      </c>
      <c r="Q1309" s="42">
        <v>28</v>
      </c>
      <c r="R1309" s="46" t="s">
        <v>201</v>
      </c>
      <c r="S1309" s="43">
        <v>44270</v>
      </c>
      <c r="T1309" s="51">
        <f t="shared" si="50"/>
        <v>3</v>
      </c>
      <c r="U1309" s="52" t="str">
        <f t="shared" si="49"/>
        <v>Inconclusivo</v>
      </c>
    </row>
    <row r="1310" spans="1:21" ht="25.5" customHeight="1" x14ac:dyDescent="0.2">
      <c r="A1310" s="51">
        <v>1309</v>
      </c>
      <c r="B1310" s="59" t="s">
        <v>2341</v>
      </c>
      <c r="C1310" s="57">
        <v>39</v>
      </c>
      <c r="D1310" s="57" t="s">
        <v>25</v>
      </c>
      <c r="E1310" s="58">
        <v>44266</v>
      </c>
      <c r="F1310" s="56" t="s">
        <v>60</v>
      </c>
      <c r="G1310" s="57">
        <v>477</v>
      </c>
      <c r="H1310" s="58">
        <v>44267</v>
      </c>
      <c r="I1310" s="42" t="s">
        <v>2329</v>
      </c>
      <c r="J1310" s="43">
        <v>44267</v>
      </c>
      <c r="K1310" s="42">
        <v>29.6</v>
      </c>
      <c r="L1310" s="42">
        <v>28.4</v>
      </c>
      <c r="M1310" s="48" t="s">
        <v>29</v>
      </c>
      <c r="N1310" s="42" t="s">
        <v>2330</v>
      </c>
      <c r="O1310" s="43">
        <v>44270</v>
      </c>
      <c r="P1310" s="42">
        <v>27.8</v>
      </c>
      <c r="Q1310" s="42">
        <v>29.9</v>
      </c>
      <c r="R1310" s="46" t="s">
        <v>29</v>
      </c>
      <c r="S1310" s="43">
        <v>44270</v>
      </c>
      <c r="T1310" s="51">
        <f t="shared" si="50"/>
        <v>3</v>
      </c>
      <c r="U1310" s="52" t="str">
        <f t="shared" si="49"/>
        <v>Detectável</v>
      </c>
    </row>
    <row r="1311" spans="1:21" ht="25.5" customHeight="1" x14ac:dyDescent="0.2">
      <c r="A1311" s="51">
        <v>1310</v>
      </c>
      <c r="B1311" s="59" t="s">
        <v>2342</v>
      </c>
      <c r="C1311" s="57">
        <v>40</v>
      </c>
      <c r="D1311" s="57" t="s">
        <v>34</v>
      </c>
      <c r="E1311" s="58">
        <v>44266</v>
      </c>
      <c r="F1311" s="56" t="s">
        <v>60</v>
      </c>
      <c r="G1311" s="57">
        <v>478</v>
      </c>
      <c r="H1311" s="58">
        <v>44267</v>
      </c>
      <c r="I1311" s="42" t="s">
        <v>2329</v>
      </c>
      <c r="J1311" s="43">
        <v>44267</v>
      </c>
      <c r="K1311" s="42">
        <v>23.5</v>
      </c>
      <c r="L1311" s="42">
        <v>29.4</v>
      </c>
      <c r="M1311" s="48" t="s">
        <v>29</v>
      </c>
      <c r="N1311" s="42" t="s">
        <v>2330</v>
      </c>
      <c r="O1311" s="43">
        <v>44270</v>
      </c>
      <c r="P1311" s="42" t="s">
        <v>36</v>
      </c>
      <c r="Q1311" s="42">
        <v>29.9</v>
      </c>
      <c r="R1311" s="46" t="s">
        <v>31</v>
      </c>
      <c r="S1311" s="43">
        <v>44270</v>
      </c>
      <c r="T1311" s="51">
        <f t="shared" si="50"/>
        <v>3</v>
      </c>
      <c r="U1311" s="52" t="str">
        <f t="shared" si="49"/>
        <v>Não Detectável</v>
      </c>
    </row>
    <row r="1312" spans="1:21" ht="25.5" customHeight="1" x14ac:dyDescent="0.2">
      <c r="A1312" s="51">
        <v>1311</v>
      </c>
      <c r="B1312" s="59" t="s">
        <v>2343</v>
      </c>
      <c r="C1312" s="57">
        <v>26</v>
      </c>
      <c r="D1312" s="57" t="s">
        <v>34</v>
      </c>
      <c r="E1312" s="58">
        <v>44266</v>
      </c>
      <c r="F1312" s="56" t="s">
        <v>60</v>
      </c>
      <c r="G1312" s="57">
        <v>478</v>
      </c>
      <c r="H1312" s="58">
        <v>44267</v>
      </c>
      <c r="I1312" s="42" t="s">
        <v>2329</v>
      </c>
      <c r="J1312" s="43">
        <v>44267</v>
      </c>
      <c r="K1312" s="42">
        <v>23.5</v>
      </c>
      <c r="L1312" s="42">
        <v>29.4</v>
      </c>
      <c r="M1312" s="48" t="s">
        <v>29</v>
      </c>
      <c r="N1312" s="42" t="s">
        <v>2330</v>
      </c>
      <c r="O1312" s="43">
        <v>44270</v>
      </c>
      <c r="P1312" s="42" t="s">
        <v>36</v>
      </c>
      <c r="Q1312" s="42">
        <v>30.2</v>
      </c>
      <c r="R1312" s="46" t="s">
        <v>31</v>
      </c>
      <c r="S1312" s="43">
        <v>44270</v>
      </c>
      <c r="T1312" s="51">
        <f t="shared" si="50"/>
        <v>3</v>
      </c>
      <c r="U1312" s="52" t="str">
        <f t="shared" si="49"/>
        <v>Não Detectável</v>
      </c>
    </row>
    <row r="1313" spans="1:21" ht="25.5" customHeight="1" x14ac:dyDescent="0.2">
      <c r="A1313" s="51">
        <v>1312</v>
      </c>
      <c r="B1313" s="59" t="s">
        <v>2344</v>
      </c>
      <c r="C1313" s="57">
        <v>43</v>
      </c>
      <c r="D1313" s="57" t="s">
        <v>25</v>
      </c>
      <c r="E1313" s="58">
        <v>44266</v>
      </c>
      <c r="F1313" s="56" t="s">
        <v>60</v>
      </c>
      <c r="G1313" s="57">
        <v>478</v>
      </c>
      <c r="H1313" s="58">
        <v>44267</v>
      </c>
      <c r="I1313" s="42" t="s">
        <v>2329</v>
      </c>
      <c r="J1313" s="43">
        <v>44267</v>
      </c>
      <c r="K1313" s="42">
        <v>23.5</v>
      </c>
      <c r="L1313" s="42">
        <v>29.4</v>
      </c>
      <c r="M1313" s="48" t="s">
        <v>29</v>
      </c>
      <c r="N1313" s="42" t="s">
        <v>2330</v>
      </c>
      <c r="O1313" s="43">
        <v>44270</v>
      </c>
      <c r="P1313" s="42">
        <v>21.5</v>
      </c>
      <c r="Q1313" s="42">
        <v>28.6</v>
      </c>
      <c r="R1313" s="46" t="s">
        <v>29</v>
      </c>
      <c r="S1313" s="43">
        <v>44270</v>
      </c>
      <c r="T1313" s="51">
        <f t="shared" si="50"/>
        <v>3</v>
      </c>
      <c r="U1313" s="52" t="str">
        <f t="shared" si="49"/>
        <v>Detectável</v>
      </c>
    </row>
    <row r="1314" spans="1:21" ht="25.5" customHeight="1" x14ac:dyDescent="0.2">
      <c r="A1314" s="51">
        <v>1313</v>
      </c>
      <c r="B1314" s="59" t="s">
        <v>2345</v>
      </c>
      <c r="C1314" s="57">
        <v>50</v>
      </c>
      <c r="D1314" s="57" t="s">
        <v>34</v>
      </c>
      <c r="E1314" s="58">
        <v>44266</v>
      </c>
      <c r="F1314" s="56" t="s">
        <v>60</v>
      </c>
      <c r="G1314" s="57">
        <v>479</v>
      </c>
      <c r="H1314" s="58">
        <v>44267</v>
      </c>
      <c r="I1314" s="42" t="s">
        <v>2329</v>
      </c>
      <c r="J1314" s="43">
        <v>44267</v>
      </c>
      <c r="K1314" s="42">
        <v>27</v>
      </c>
      <c r="L1314" s="42">
        <v>28.5</v>
      </c>
      <c r="M1314" s="48" t="s">
        <v>29</v>
      </c>
      <c r="N1314" s="42" t="s">
        <v>2330</v>
      </c>
      <c r="O1314" s="43">
        <v>44270</v>
      </c>
      <c r="P1314" s="42">
        <v>33.9</v>
      </c>
      <c r="Q1314" s="42">
        <v>31.6</v>
      </c>
      <c r="R1314" s="46" t="s">
        <v>29</v>
      </c>
      <c r="S1314" s="43">
        <v>44270</v>
      </c>
      <c r="T1314" s="51">
        <f t="shared" si="50"/>
        <v>3</v>
      </c>
      <c r="U1314" s="52" t="str">
        <f t="shared" si="49"/>
        <v>Detectável</v>
      </c>
    </row>
    <row r="1315" spans="1:21" ht="25.5" customHeight="1" x14ac:dyDescent="0.2">
      <c r="A1315" s="51">
        <v>1314</v>
      </c>
      <c r="B1315" s="59" t="s">
        <v>2346</v>
      </c>
      <c r="C1315" s="57">
        <v>63</v>
      </c>
      <c r="D1315" s="57" t="s">
        <v>25</v>
      </c>
      <c r="E1315" s="58">
        <v>44266</v>
      </c>
      <c r="F1315" s="56" t="s">
        <v>60</v>
      </c>
      <c r="G1315" s="57">
        <v>479</v>
      </c>
      <c r="H1315" s="58">
        <v>44267</v>
      </c>
      <c r="I1315" s="42" t="s">
        <v>2329</v>
      </c>
      <c r="J1315" s="43">
        <v>44267</v>
      </c>
      <c r="K1315" s="42">
        <v>27</v>
      </c>
      <c r="L1315" s="42">
        <v>28.5</v>
      </c>
      <c r="M1315" s="48" t="s">
        <v>29</v>
      </c>
      <c r="N1315" s="42" t="s">
        <v>2330</v>
      </c>
      <c r="O1315" s="43">
        <v>44270</v>
      </c>
      <c r="P1315" s="42">
        <v>32.5</v>
      </c>
      <c r="Q1315" s="42">
        <v>28.9</v>
      </c>
      <c r="R1315" s="46" t="s">
        <v>29</v>
      </c>
      <c r="S1315" s="43">
        <v>44270</v>
      </c>
      <c r="T1315" s="51">
        <f t="shared" si="50"/>
        <v>3</v>
      </c>
      <c r="U1315" s="52" t="str">
        <f t="shared" si="49"/>
        <v>Detectável</v>
      </c>
    </row>
    <row r="1316" spans="1:21" ht="25.5" customHeight="1" x14ac:dyDescent="0.2">
      <c r="A1316" s="51">
        <v>1315</v>
      </c>
      <c r="B1316" s="59" t="s">
        <v>2347</v>
      </c>
      <c r="C1316" s="57">
        <v>57</v>
      </c>
      <c r="D1316" s="57" t="s">
        <v>34</v>
      </c>
      <c r="E1316" s="58">
        <v>44266</v>
      </c>
      <c r="F1316" s="56" t="s">
        <v>60</v>
      </c>
      <c r="G1316" s="57">
        <v>479</v>
      </c>
      <c r="H1316" s="58">
        <v>44267</v>
      </c>
      <c r="I1316" s="42" t="s">
        <v>2329</v>
      </c>
      <c r="J1316" s="43">
        <v>44267</v>
      </c>
      <c r="K1316" s="42">
        <v>27</v>
      </c>
      <c r="L1316" s="42">
        <v>28.5</v>
      </c>
      <c r="M1316" s="48" t="s">
        <v>29</v>
      </c>
      <c r="N1316" s="42" t="s">
        <v>2330</v>
      </c>
      <c r="O1316" s="43">
        <v>44270</v>
      </c>
      <c r="P1316" s="42">
        <v>26.4</v>
      </c>
      <c r="Q1316" s="42">
        <v>28.8</v>
      </c>
      <c r="R1316" s="46" t="s">
        <v>29</v>
      </c>
      <c r="S1316" s="43">
        <v>44270</v>
      </c>
      <c r="T1316" s="51">
        <f t="shared" si="50"/>
        <v>3</v>
      </c>
      <c r="U1316" s="52" t="str">
        <f t="shared" si="49"/>
        <v>Detectável</v>
      </c>
    </row>
    <row r="1317" spans="1:21" ht="25.5" customHeight="1" x14ac:dyDescent="0.2">
      <c r="A1317" s="51">
        <v>1316</v>
      </c>
      <c r="B1317" s="59" t="s">
        <v>2348</v>
      </c>
      <c r="C1317" s="57">
        <v>58</v>
      </c>
      <c r="D1317" s="57" t="s">
        <v>34</v>
      </c>
      <c r="E1317" s="58">
        <v>44266</v>
      </c>
      <c r="F1317" s="56" t="s">
        <v>60</v>
      </c>
      <c r="G1317" s="57">
        <v>480</v>
      </c>
      <c r="H1317" s="58">
        <v>44267</v>
      </c>
      <c r="I1317" s="42" t="s">
        <v>2329</v>
      </c>
      <c r="J1317" s="43">
        <v>44267</v>
      </c>
      <c r="K1317" s="42">
        <v>24.7</v>
      </c>
      <c r="L1317" s="42">
        <v>28.9</v>
      </c>
      <c r="M1317" s="48" t="s">
        <v>29</v>
      </c>
      <c r="N1317" s="42" t="s">
        <v>2330</v>
      </c>
      <c r="O1317" s="43">
        <v>44270</v>
      </c>
      <c r="P1317" s="42" t="s">
        <v>36</v>
      </c>
      <c r="Q1317" s="42">
        <v>29.9</v>
      </c>
      <c r="R1317" s="46" t="s">
        <v>31</v>
      </c>
      <c r="S1317" s="43">
        <v>44270</v>
      </c>
      <c r="T1317" s="51">
        <f t="shared" si="50"/>
        <v>3</v>
      </c>
      <c r="U1317" s="52" t="str">
        <f t="shared" si="49"/>
        <v>Não Detectável</v>
      </c>
    </row>
    <row r="1318" spans="1:21" ht="25.5" customHeight="1" x14ac:dyDescent="0.2">
      <c r="A1318" s="51">
        <v>1317</v>
      </c>
      <c r="B1318" s="59" t="s">
        <v>2349</v>
      </c>
      <c r="C1318" s="57">
        <v>34</v>
      </c>
      <c r="D1318" s="57" t="s">
        <v>25</v>
      </c>
      <c r="E1318" s="58">
        <v>44266</v>
      </c>
      <c r="F1318" s="56" t="s">
        <v>60</v>
      </c>
      <c r="G1318" s="57">
        <v>480</v>
      </c>
      <c r="H1318" s="58">
        <v>44267</v>
      </c>
      <c r="I1318" s="42" t="s">
        <v>2329</v>
      </c>
      <c r="J1318" s="43">
        <v>44267</v>
      </c>
      <c r="K1318" s="42">
        <v>24.7</v>
      </c>
      <c r="L1318" s="42">
        <v>28.9</v>
      </c>
      <c r="M1318" s="48" t="s">
        <v>29</v>
      </c>
      <c r="N1318" s="42" t="s">
        <v>2330</v>
      </c>
      <c r="O1318" s="43">
        <v>44270</v>
      </c>
      <c r="P1318" s="42" t="s">
        <v>36</v>
      </c>
      <c r="Q1318" s="42">
        <v>28.9</v>
      </c>
      <c r="R1318" s="46" t="s">
        <v>31</v>
      </c>
      <c r="S1318" s="43">
        <v>44270</v>
      </c>
      <c r="T1318" s="51">
        <f t="shared" si="50"/>
        <v>3</v>
      </c>
      <c r="U1318" s="52" t="str">
        <f t="shared" si="49"/>
        <v>Não Detectável</v>
      </c>
    </row>
    <row r="1319" spans="1:21" ht="25.5" customHeight="1" x14ac:dyDescent="0.2">
      <c r="A1319" s="51">
        <v>1318</v>
      </c>
      <c r="B1319" s="59" t="s">
        <v>2350</v>
      </c>
      <c r="C1319" s="57">
        <v>41</v>
      </c>
      <c r="D1319" s="57" t="s">
        <v>34</v>
      </c>
      <c r="E1319" s="58">
        <v>44266</v>
      </c>
      <c r="F1319" s="56" t="s">
        <v>60</v>
      </c>
      <c r="G1319" s="57">
        <v>480</v>
      </c>
      <c r="H1319" s="58">
        <v>44267</v>
      </c>
      <c r="I1319" s="42" t="s">
        <v>2329</v>
      </c>
      <c r="J1319" s="43">
        <v>44267</v>
      </c>
      <c r="K1319" s="42">
        <v>24.7</v>
      </c>
      <c r="L1319" s="42">
        <v>28.9</v>
      </c>
      <c r="M1319" s="48" t="s">
        <v>29</v>
      </c>
      <c r="N1319" s="42" t="s">
        <v>2330</v>
      </c>
      <c r="O1319" s="43">
        <v>44270</v>
      </c>
      <c r="P1319" s="42">
        <v>22.4</v>
      </c>
      <c r="Q1319" s="42">
        <v>31.3</v>
      </c>
      <c r="R1319" s="46" t="s">
        <v>29</v>
      </c>
      <c r="S1319" s="43">
        <v>44270</v>
      </c>
      <c r="T1319" s="51">
        <f t="shared" si="50"/>
        <v>3</v>
      </c>
      <c r="U1319" s="52" t="str">
        <f t="shared" si="49"/>
        <v>Detectável</v>
      </c>
    </row>
    <row r="1320" spans="1:21" ht="25.5" customHeight="1" x14ac:dyDescent="0.2">
      <c r="A1320" s="51">
        <v>1319</v>
      </c>
      <c r="B1320" s="59" t="s">
        <v>2351</v>
      </c>
      <c r="C1320" s="57">
        <v>39</v>
      </c>
      <c r="D1320" s="57" t="s">
        <v>25</v>
      </c>
      <c r="E1320" s="58">
        <v>44266</v>
      </c>
      <c r="F1320" s="56" t="s">
        <v>60</v>
      </c>
      <c r="G1320" s="57">
        <v>481</v>
      </c>
      <c r="H1320" s="58">
        <v>44267</v>
      </c>
      <c r="I1320" s="42" t="s">
        <v>2330</v>
      </c>
      <c r="J1320" s="43">
        <v>44270</v>
      </c>
      <c r="K1320" s="42">
        <v>20.8</v>
      </c>
      <c r="L1320" s="42">
        <v>30.1</v>
      </c>
      <c r="M1320" s="48" t="s">
        <v>29</v>
      </c>
      <c r="N1320" s="42" t="s">
        <v>2352</v>
      </c>
      <c r="O1320" s="43">
        <v>44270</v>
      </c>
      <c r="P1320" s="42" t="s">
        <v>36</v>
      </c>
      <c r="Q1320" s="42">
        <v>29.6</v>
      </c>
      <c r="R1320" s="46" t="s">
        <v>31</v>
      </c>
      <c r="S1320" s="43">
        <v>44270</v>
      </c>
      <c r="T1320" s="51">
        <f t="shared" si="50"/>
        <v>3</v>
      </c>
      <c r="U1320" s="52" t="str">
        <f t="shared" si="49"/>
        <v>Não Detectável</v>
      </c>
    </row>
    <row r="1321" spans="1:21" ht="25.5" customHeight="1" x14ac:dyDescent="0.2">
      <c r="A1321" s="51">
        <v>1320</v>
      </c>
      <c r="B1321" s="59" t="s">
        <v>2353</v>
      </c>
      <c r="C1321" s="57">
        <v>28</v>
      </c>
      <c r="D1321" s="57" t="s">
        <v>34</v>
      </c>
      <c r="E1321" s="58">
        <v>44266</v>
      </c>
      <c r="F1321" s="56" t="s">
        <v>60</v>
      </c>
      <c r="G1321" s="57">
        <v>481</v>
      </c>
      <c r="H1321" s="58">
        <v>44267</v>
      </c>
      <c r="I1321" s="42" t="s">
        <v>2330</v>
      </c>
      <c r="J1321" s="43">
        <v>44270</v>
      </c>
      <c r="K1321" s="42">
        <v>20.8</v>
      </c>
      <c r="L1321" s="42">
        <v>30.1</v>
      </c>
      <c r="M1321" s="48" t="s">
        <v>29</v>
      </c>
      <c r="N1321" s="42" t="s">
        <v>2352</v>
      </c>
      <c r="O1321" s="43">
        <v>44270</v>
      </c>
      <c r="P1321" s="42">
        <v>35.5</v>
      </c>
      <c r="Q1321" s="42">
        <v>29.2</v>
      </c>
      <c r="R1321" s="46" t="s">
        <v>29</v>
      </c>
      <c r="S1321" s="43">
        <v>44270</v>
      </c>
      <c r="T1321" s="51">
        <f t="shared" si="50"/>
        <v>3</v>
      </c>
      <c r="U1321" s="52" t="str">
        <f t="shared" si="49"/>
        <v>Detectável</v>
      </c>
    </row>
    <row r="1322" spans="1:21" ht="25.5" customHeight="1" x14ac:dyDescent="0.2">
      <c r="A1322" s="51">
        <v>1321</v>
      </c>
      <c r="B1322" s="59" t="s">
        <v>2354</v>
      </c>
      <c r="C1322" s="57">
        <v>24</v>
      </c>
      <c r="D1322" s="57" t="s">
        <v>25</v>
      </c>
      <c r="E1322" s="58">
        <v>44267</v>
      </c>
      <c r="F1322" s="56" t="s">
        <v>60</v>
      </c>
      <c r="G1322" s="57">
        <v>481</v>
      </c>
      <c r="H1322" s="58">
        <v>44270</v>
      </c>
      <c r="I1322" s="42" t="s">
        <v>2330</v>
      </c>
      <c r="J1322" s="43">
        <v>44270</v>
      </c>
      <c r="K1322" s="42">
        <v>20.8</v>
      </c>
      <c r="L1322" s="42">
        <v>30.1</v>
      </c>
      <c r="M1322" s="48" t="s">
        <v>29</v>
      </c>
      <c r="N1322" s="42" t="s">
        <v>2352</v>
      </c>
      <c r="O1322" s="43">
        <v>44270</v>
      </c>
      <c r="P1322" s="42">
        <v>18.8</v>
      </c>
      <c r="Q1322" s="42">
        <v>29.1</v>
      </c>
      <c r="R1322" s="46" t="s">
        <v>29</v>
      </c>
      <c r="S1322" s="43">
        <v>44270</v>
      </c>
      <c r="T1322" s="51">
        <f t="shared" si="50"/>
        <v>3</v>
      </c>
      <c r="U1322" s="52" t="str">
        <f t="shared" si="49"/>
        <v>Detectável</v>
      </c>
    </row>
    <row r="1323" spans="1:21" ht="25.5" customHeight="1" x14ac:dyDescent="0.2">
      <c r="A1323" s="51">
        <v>1322</v>
      </c>
      <c r="B1323" s="59" t="s">
        <v>2355</v>
      </c>
      <c r="C1323" s="57">
        <v>22</v>
      </c>
      <c r="D1323" s="57" t="s">
        <v>34</v>
      </c>
      <c r="E1323" s="58">
        <v>44267</v>
      </c>
      <c r="F1323" s="56" t="s">
        <v>60</v>
      </c>
      <c r="G1323" s="57">
        <v>482</v>
      </c>
      <c r="H1323" s="58">
        <v>44270</v>
      </c>
      <c r="I1323" s="42" t="s">
        <v>2330</v>
      </c>
      <c r="J1323" s="43">
        <v>44270</v>
      </c>
      <c r="K1323" s="42">
        <v>19.2</v>
      </c>
      <c r="L1323" s="42">
        <v>28.6</v>
      </c>
      <c r="M1323" s="48" t="s">
        <v>29</v>
      </c>
      <c r="N1323" s="42" t="s">
        <v>2352</v>
      </c>
      <c r="O1323" s="43">
        <v>44270</v>
      </c>
      <c r="P1323" s="42">
        <v>16.600000000000001</v>
      </c>
      <c r="Q1323" s="42">
        <v>26.6</v>
      </c>
      <c r="R1323" s="46" t="s">
        <v>29</v>
      </c>
      <c r="S1323" s="43">
        <v>44270</v>
      </c>
      <c r="T1323" s="51">
        <f t="shared" si="50"/>
        <v>3</v>
      </c>
      <c r="U1323" s="52" t="str">
        <f t="shared" si="49"/>
        <v>Detectável</v>
      </c>
    </row>
    <row r="1324" spans="1:21" ht="25.5" customHeight="1" x14ac:dyDescent="0.2">
      <c r="A1324" s="51">
        <v>1323</v>
      </c>
      <c r="B1324" s="59" t="s">
        <v>2356</v>
      </c>
      <c r="C1324" s="57">
        <v>37</v>
      </c>
      <c r="D1324" s="57" t="s">
        <v>25</v>
      </c>
      <c r="E1324" s="58">
        <v>44267</v>
      </c>
      <c r="F1324" s="56" t="s">
        <v>60</v>
      </c>
      <c r="G1324" s="57">
        <v>482</v>
      </c>
      <c r="H1324" s="58">
        <v>44270</v>
      </c>
      <c r="I1324" s="42" t="s">
        <v>2330</v>
      </c>
      <c r="J1324" s="43">
        <v>44270</v>
      </c>
      <c r="K1324" s="42">
        <v>19.2</v>
      </c>
      <c r="L1324" s="42">
        <v>28.6</v>
      </c>
      <c r="M1324" s="48" t="s">
        <v>29</v>
      </c>
      <c r="N1324" s="42" t="s">
        <v>2352</v>
      </c>
      <c r="O1324" s="43">
        <v>44270</v>
      </c>
      <c r="P1324" s="42">
        <v>26</v>
      </c>
      <c r="Q1324" s="42">
        <v>29</v>
      </c>
      <c r="R1324" s="46" t="s">
        <v>29</v>
      </c>
      <c r="S1324" s="43">
        <v>44270</v>
      </c>
      <c r="T1324" s="51">
        <f t="shared" si="50"/>
        <v>3</v>
      </c>
      <c r="U1324" s="52" t="str">
        <f t="shared" si="49"/>
        <v>Detectável</v>
      </c>
    </row>
    <row r="1325" spans="1:21" ht="25.5" customHeight="1" x14ac:dyDescent="0.2">
      <c r="A1325" s="51">
        <v>1324</v>
      </c>
      <c r="B1325" s="59" t="s">
        <v>2357</v>
      </c>
      <c r="C1325" s="57">
        <v>22</v>
      </c>
      <c r="D1325" s="57" t="s">
        <v>25</v>
      </c>
      <c r="E1325" s="58">
        <v>44267</v>
      </c>
      <c r="F1325" s="56" t="s">
        <v>60</v>
      </c>
      <c r="G1325" s="57">
        <v>482</v>
      </c>
      <c r="H1325" s="58">
        <v>44270</v>
      </c>
      <c r="I1325" s="42" t="s">
        <v>2330</v>
      </c>
      <c r="J1325" s="43">
        <v>44270</v>
      </c>
      <c r="K1325" s="42">
        <v>19.2</v>
      </c>
      <c r="L1325" s="42">
        <v>28.6</v>
      </c>
      <c r="M1325" s="48" t="s">
        <v>29</v>
      </c>
      <c r="N1325" s="42" t="s">
        <v>2352</v>
      </c>
      <c r="O1325" s="43">
        <v>44270</v>
      </c>
      <c r="P1325" s="42">
        <v>21.4</v>
      </c>
      <c r="Q1325" s="42">
        <v>28.2</v>
      </c>
      <c r="R1325" s="46" t="s">
        <v>29</v>
      </c>
      <c r="S1325" s="43">
        <v>44270</v>
      </c>
      <c r="T1325" s="51">
        <f t="shared" si="50"/>
        <v>3</v>
      </c>
      <c r="U1325" s="52" t="str">
        <f t="shared" si="49"/>
        <v>Detectável</v>
      </c>
    </row>
    <row r="1326" spans="1:21" ht="25.5" customHeight="1" x14ac:dyDescent="0.2">
      <c r="A1326" s="51">
        <v>1325</v>
      </c>
      <c r="B1326" s="59" t="s">
        <v>2358</v>
      </c>
      <c r="C1326" s="57">
        <v>47</v>
      </c>
      <c r="D1326" s="57" t="s">
        <v>25</v>
      </c>
      <c r="E1326" s="58">
        <v>44267</v>
      </c>
      <c r="F1326" s="56" t="s">
        <v>60</v>
      </c>
      <c r="G1326" s="57">
        <v>483</v>
      </c>
      <c r="H1326" s="58">
        <v>44270</v>
      </c>
      <c r="I1326" s="42" t="s">
        <v>2330</v>
      </c>
      <c r="J1326" s="43">
        <v>44270</v>
      </c>
      <c r="K1326" s="42">
        <v>26.5</v>
      </c>
      <c r="L1326" s="42">
        <v>28.9</v>
      </c>
      <c r="M1326" s="48" t="s">
        <v>29</v>
      </c>
      <c r="N1326" s="42" t="s">
        <v>2352</v>
      </c>
      <c r="O1326" s="43">
        <v>44270</v>
      </c>
      <c r="P1326" s="42" t="s">
        <v>36</v>
      </c>
      <c r="Q1326" s="42">
        <v>27.7</v>
      </c>
      <c r="R1326" s="46" t="s">
        <v>31</v>
      </c>
      <c r="S1326" s="43">
        <v>44270</v>
      </c>
      <c r="T1326" s="51">
        <f t="shared" si="50"/>
        <v>3</v>
      </c>
      <c r="U1326" s="52" t="str">
        <f t="shared" si="49"/>
        <v>Não Detectável</v>
      </c>
    </row>
    <row r="1327" spans="1:21" ht="25.5" customHeight="1" x14ac:dyDescent="0.2">
      <c r="A1327" s="51">
        <v>1326</v>
      </c>
      <c r="B1327" s="59" t="s">
        <v>2359</v>
      </c>
      <c r="C1327" s="57">
        <v>70</v>
      </c>
      <c r="D1327" s="57" t="s">
        <v>34</v>
      </c>
      <c r="E1327" s="58">
        <v>44267</v>
      </c>
      <c r="F1327" s="56" t="s">
        <v>60</v>
      </c>
      <c r="G1327" s="57">
        <v>483</v>
      </c>
      <c r="H1327" s="58">
        <v>44270</v>
      </c>
      <c r="I1327" s="42" t="s">
        <v>2330</v>
      </c>
      <c r="J1327" s="43">
        <v>44270</v>
      </c>
      <c r="K1327" s="42">
        <v>26.5</v>
      </c>
      <c r="L1327" s="42">
        <v>28.9</v>
      </c>
      <c r="M1327" s="48" t="s">
        <v>29</v>
      </c>
      <c r="N1327" s="42" t="s">
        <v>2352</v>
      </c>
      <c r="O1327" s="43">
        <v>44270</v>
      </c>
      <c r="P1327" s="42">
        <v>25.7</v>
      </c>
      <c r="Q1327" s="42">
        <v>31.5</v>
      </c>
      <c r="R1327" s="46" t="s">
        <v>29</v>
      </c>
      <c r="S1327" s="43">
        <v>44270</v>
      </c>
      <c r="T1327" s="51">
        <f t="shared" si="50"/>
        <v>3</v>
      </c>
      <c r="U1327" s="52" t="str">
        <f t="shared" si="49"/>
        <v>Detectável</v>
      </c>
    </row>
    <row r="1328" spans="1:21" ht="25.5" customHeight="1" x14ac:dyDescent="0.2">
      <c r="A1328" s="51">
        <v>1327</v>
      </c>
      <c r="B1328" s="59" t="s">
        <v>2360</v>
      </c>
      <c r="C1328" s="57">
        <v>16</v>
      </c>
      <c r="D1328" s="57" t="s">
        <v>34</v>
      </c>
      <c r="E1328" s="58">
        <v>44267</v>
      </c>
      <c r="F1328" s="56" t="s">
        <v>60</v>
      </c>
      <c r="G1328" s="57">
        <v>483</v>
      </c>
      <c r="H1328" s="58">
        <v>44270</v>
      </c>
      <c r="I1328" s="42" t="s">
        <v>2330</v>
      </c>
      <c r="J1328" s="43">
        <v>44270</v>
      </c>
      <c r="K1328" s="42">
        <v>26.5</v>
      </c>
      <c r="L1328" s="42">
        <v>28.9</v>
      </c>
      <c r="M1328" s="48" t="s">
        <v>29</v>
      </c>
      <c r="N1328" s="42" t="s">
        <v>2352</v>
      </c>
      <c r="O1328" s="43">
        <v>44270</v>
      </c>
      <c r="P1328" s="42">
        <v>24.6</v>
      </c>
      <c r="Q1328" s="42">
        <v>27.1</v>
      </c>
      <c r="R1328" s="46" t="s">
        <v>29</v>
      </c>
      <c r="S1328" s="43">
        <v>44270</v>
      </c>
      <c r="T1328" s="51">
        <f t="shared" si="50"/>
        <v>3</v>
      </c>
      <c r="U1328" s="52" t="str">
        <f t="shared" si="49"/>
        <v>Detectável</v>
      </c>
    </row>
    <row r="1329" spans="1:21" ht="25.5" customHeight="1" x14ac:dyDescent="0.2">
      <c r="A1329" s="51">
        <v>1328</v>
      </c>
      <c r="B1329" s="59" t="s">
        <v>2361</v>
      </c>
      <c r="C1329" s="57">
        <v>67</v>
      </c>
      <c r="D1329" s="57" t="s">
        <v>34</v>
      </c>
      <c r="E1329" s="58">
        <v>44267</v>
      </c>
      <c r="F1329" s="56" t="s">
        <v>60</v>
      </c>
      <c r="G1329" s="57">
        <v>484</v>
      </c>
      <c r="H1329" s="58">
        <v>44270</v>
      </c>
      <c r="I1329" s="42" t="s">
        <v>2330</v>
      </c>
      <c r="J1329" s="43">
        <v>44270</v>
      </c>
      <c r="K1329" s="42">
        <v>29.4</v>
      </c>
      <c r="L1329" s="42">
        <v>28.6</v>
      </c>
      <c r="M1329" s="48" t="s">
        <v>29</v>
      </c>
      <c r="N1329" s="42" t="s">
        <v>2352</v>
      </c>
      <c r="O1329" s="43">
        <v>44270</v>
      </c>
      <c r="P1329" s="42" t="s">
        <v>36</v>
      </c>
      <c r="Q1329" s="42">
        <v>28.6</v>
      </c>
      <c r="R1329" s="46" t="s">
        <v>31</v>
      </c>
      <c r="S1329" s="43">
        <v>44270</v>
      </c>
      <c r="T1329" s="51">
        <f t="shared" si="50"/>
        <v>3</v>
      </c>
      <c r="U1329" s="52" t="str">
        <f t="shared" si="49"/>
        <v>Não Detectável</v>
      </c>
    </row>
    <row r="1330" spans="1:21" ht="25.5" customHeight="1" x14ac:dyDescent="0.2">
      <c r="A1330" s="51">
        <v>1329</v>
      </c>
      <c r="B1330" s="59" t="s">
        <v>2362</v>
      </c>
      <c r="C1330" s="57">
        <v>47</v>
      </c>
      <c r="D1330" s="57" t="s">
        <v>25</v>
      </c>
      <c r="E1330" s="58">
        <v>44267</v>
      </c>
      <c r="F1330" s="56" t="s">
        <v>60</v>
      </c>
      <c r="G1330" s="57">
        <v>484</v>
      </c>
      <c r="H1330" s="58">
        <v>44270</v>
      </c>
      <c r="I1330" s="42" t="s">
        <v>2330</v>
      </c>
      <c r="J1330" s="43">
        <v>44270</v>
      </c>
      <c r="K1330" s="42">
        <v>29.4</v>
      </c>
      <c r="L1330" s="42">
        <v>28.6</v>
      </c>
      <c r="M1330" s="48" t="s">
        <v>29</v>
      </c>
      <c r="N1330" s="42" t="s">
        <v>2352</v>
      </c>
      <c r="O1330" s="43">
        <v>44270</v>
      </c>
      <c r="P1330" s="42">
        <v>28.4</v>
      </c>
      <c r="Q1330" s="42">
        <v>26.3</v>
      </c>
      <c r="R1330" s="46" t="s">
        <v>29</v>
      </c>
      <c r="S1330" s="43">
        <v>44270</v>
      </c>
      <c r="T1330" s="51">
        <f t="shared" si="50"/>
        <v>3</v>
      </c>
      <c r="U1330" s="52" t="str">
        <f t="shared" si="49"/>
        <v>Detectável</v>
      </c>
    </row>
    <row r="1331" spans="1:21" ht="25.5" customHeight="1" x14ac:dyDescent="0.2">
      <c r="A1331" s="51">
        <v>1330</v>
      </c>
      <c r="B1331" s="59" t="s">
        <v>2363</v>
      </c>
      <c r="C1331" s="57">
        <v>30</v>
      </c>
      <c r="D1331" s="57" t="s">
        <v>25</v>
      </c>
      <c r="E1331" s="58">
        <v>44267</v>
      </c>
      <c r="F1331" s="56" t="s">
        <v>60</v>
      </c>
      <c r="G1331" s="57">
        <v>484</v>
      </c>
      <c r="H1331" s="58">
        <v>44270</v>
      </c>
      <c r="I1331" s="42" t="s">
        <v>2330</v>
      </c>
      <c r="J1331" s="43">
        <v>44270</v>
      </c>
      <c r="K1331" s="42">
        <v>29.4</v>
      </c>
      <c r="L1331" s="42">
        <v>28.6</v>
      </c>
      <c r="M1331" s="48" t="s">
        <v>29</v>
      </c>
      <c r="N1331" s="42" t="s">
        <v>2352</v>
      </c>
      <c r="O1331" s="43">
        <v>44270</v>
      </c>
      <c r="P1331" s="42" t="s">
        <v>36</v>
      </c>
      <c r="Q1331" s="42">
        <v>29.2</v>
      </c>
      <c r="R1331" s="46" t="s">
        <v>31</v>
      </c>
      <c r="S1331" s="43">
        <v>44270</v>
      </c>
      <c r="T1331" s="51">
        <f t="shared" si="50"/>
        <v>3</v>
      </c>
      <c r="U1331" s="52" t="str">
        <f t="shared" si="49"/>
        <v>Não Detectável</v>
      </c>
    </row>
    <row r="1332" spans="1:21" ht="25.5" customHeight="1" x14ac:dyDescent="0.2">
      <c r="A1332" s="51">
        <v>1331</v>
      </c>
      <c r="B1332" s="59" t="s">
        <v>2364</v>
      </c>
      <c r="C1332" s="57">
        <v>79</v>
      </c>
      <c r="D1332" s="57" t="s">
        <v>34</v>
      </c>
      <c r="E1332" s="58">
        <v>44267</v>
      </c>
      <c r="F1332" s="56" t="s">
        <v>60</v>
      </c>
      <c r="G1332" s="57">
        <v>485</v>
      </c>
      <c r="H1332" s="58">
        <v>44270</v>
      </c>
      <c r="I1332" s="42" t="s">
        <v>2365</v>
      </c>
      <c r="J1332" s="43">
        <v>44271</v>
      </c>
      <c r="K1332" s="42" t="s">
        <v>36</v>
      </c>
      <c r="L1332" s="42">
        <v>29.3</v>
      </c>
      <c r="M1332" s="45" t="s">
        <v>31</v>
      </c>
      <c r="N1332" s="42" t="s">
        <v>60</v>
      </c>
      <c r="O1332" s="43" t="s">
        <v>60</v>
      </c>
      <c r="P1332" s="42" t="s">
        <v>60</v>
      </c>
      <c r="Q1332" s="42" t="s">
        <v>60</v>
      </c>
      <c r="R1332" s="46" t="s">
        <v>60</v>
      </c>
      <c r="S1332" s="43">
        <v>44271</v>
      </c>
      <c r="T1332" s="51">
        <f t="shared" si="50"/>
        <v>3</v>
      </c>
      <c r="U1332" s="52" t="str">
        <f t="shared" ref="U1332:U1394" si="51">IF(M1332="Não Detectável","Não Detectável",IF(R1332="","",R1332))</f>
        <v>Não Detectável</v>
      </c>
    </row>
    <row r="1333" spans="1:21" ht="25.5" customHeight="1" x14ac:dyDescent="0.2">
      <c r="A1333" s="51">
        <v>1332</v>
      </c>
      <c r="B1333" s="59" t="s">
        <v>2366</v>
      </c>
      <c r="C1333" s="57">
        <v>24</v>
      </c>
      <c r="D1333" s="57" t="s">
        <v>25</v>
      </c>
      <c r="E1333" s="58" t="s">
        <v>2367</v>
      </c>
      <c r="F1333" s="56" t="s">
        <v>60</v>
      </c>
      <c r="G1333" s="57">
        <v>485</v>
      </c>
      <c r="H1333" s="58">
        <v>44271</v>
      </c>
      <c r="I1333" s="42" t="s">
        <v>2365</v>
      </c>
      <c r="J1333" s="43">
        <v>44271</v>
      </c>
      <c r="K1333" s="42" t="s">
        <v>36</v>
      </c>
      <c r="L1333" s="42">
        <v>29.3</v>
      </c>
      <c r="M1333" s="45" t="s">
        <v>31</v>
      </c>
      <c r="N1333" s="42" t="s">
        <v>60</v>
      </c>
      <c r="O1333" s="43" t="s">
        <v>60</v>
      </c>
      <c r="P1333" s="42" t="s">
        <v>60</v>
      </c>
      <c r="Q1333" s="42" t="s">
        <v>60</v>
      </c>
      <c r="R1333" s="46" t="s">
        <v>60</v>
      </c>
      <c r="S1333" s="43">
        <v>44271</v>
      </c>
      <c r="T1333" s="51">
        <f t="shared" ref="T1333:T1394" si="52">COUNTIF(G:G,G1333)</f>
        <v>3</v>
      </c>
      <c r="U1333" s="52" t="str">
        <f t="shared" si="51"/>
        <v>Não Detectável</v>
      </c>
    </row>
    <row r="1334" spans="1:21" ht="25.5" customHeight="1" x14ac:dyDescent="0.2">
      <c r="A1334" s="51">
        <v>1333</v>
      </c>
      <c r="B1334" s="59" t="s">
        <v>2368</v>
      </c>
      <c r="C1334" s="57">
        <v>36</v>
      </c>
      <c r="D1334" s="57" t="s">
        <v>34</v>
      </c>
      <c r="E1334" s="58" t="s">
        <v>2367</v>
      </c>
      <c r="F1334" s="56" t="s">
        <v>60</v>
      </c>
      <c r="G1334" s="57">
        <v>485</v>
      </c>
      <c r="H1334" s="58">
        <v>44271</v>
      </c>
      <c r="I1334" s="42" t="s">
        <v>2365</v>
      </c>
      <c r="J1334" s="43">
        <v>44271</v>
      </c>
      <c r="K1334" s="42" t="s">
        <v>36</v>
      </c>
      <c r="L1334" s="42">
        <v>29.3</v>
      </c>
      <c r="M1334" s="45" t="s">
        <v>31</v>
      </c>
      <c r="N1334" s="42" t="s">
        <v>60</v>
      </c>
      <c r="O1334" s="43" t="s">
        <v>60</v>
      </c>
      <c r="P1334" s="42" t="s">
        <v>60</v>
      </c>
      <c r="Q1334" s="42" t="s">
        <v>60</v>
      </c>
      <c r="R1334" s="46" t="s">
        <v>60</v>
      </c>
      <c r="S1334" s="43">
        <v>44271</v>
      </c>
      <c r="T1334" s="51">
        <f t="shared" si="52"/>
        <v>3</v>
      </c>
      <c r="U1334" s="52" t="str">
        <f t="shared" si="51"/>
        <v>Não Detectável</v>
      </c>
    </row>
    <row r="1335" spans="1:21" ht="25.5" customHeight="1" x14ac:dyDescent="0.2">
      <c r="A1335" s="51">
        <v>1334</v>
      </c>
      <c r="B1335" s="59" t="s">
        <v>2369</v>
      </c>
      <c r="C1335" s="57">
        <v>35</v>
      </c>
      <c r="D1335" s="57" t="s">
        <v>34</v>
      </c>
      <c r="E1335" s="58" t="s">
        <v>2367</v>
      </c>
      <c r="F1335" s="56" t="s">
        <v>60</v>
      </c>
      <c r="G1335" s="57">
        <v>486</v>
      </c>
      <c r="H1335" s="58">
        <v>44271</v>
      </c>
      <c r="I1335" s="42" t="s">
        <v>2365</v>
      </c>
      <c r="J1335" s="43">
        <v>44271</v>
      </c>
      <c r="K1335" s="42">
        <v>37.200000000000003</v>
      </c>
      <c r="L1335" s="42">
        <v>27.5</v>
      </c>
      <c r="M1335" s="48" t="s">
        <v>29</v>
      </c>
      <c r="N1335" s="42" t="s">
        <v>2370</v>
      </c>
      <c r="O1335" s="43">
        <v>44271</v>
      </c>
      <c r="P1335" s="42">
        <v>36.200000000000003</v>
      </c>
      <c r="Q1335" s="42">
        <v>26.7</v>
      </c>
      <c r="R1335" s="46" t="s">
        <v>201</v>
      </c>
      <c r="S1335" s="43">
        <v>44271</v>
      </c>
      <c r="T1335" s="51">
        <f t="shared" si="52"/>
        <v>3</v>
      </c>
      <c r="U1335" s="52" t="str">
        <f t="shared" si="51"/>
        <v>Inconclusivo</v>
      </c>
    </row>
    <row r="1336" spans="1:21" ht="25.5" customHeight="1" x14ac:dyDescent="0.2">
      <c r="A1336" s="51">
        <v>1335</v>
      </c>
      <c r="B1336" s="59" t="s">
        <v>2371</v>
      </c>
      <c r="C1336" s="57">
        <v>42</v>
      </c>
      <c r="D1336" s="57" t="s">
        <v>25</v>
      </c>
      <c r="E1336" s="58" t="s">
        <v>2367</v>
      </c>
      <c r="F1336" s="56" t="s">
        <v>60</v>
      </c>
      <c r="G1336" s="57">
        <v>486</v>
      </c>
      <c r="H1336" s="58">
        <v>44271</v>
      </c>
      <c r="I1336" s="42" t="s">
        <v>2365</v>
      </c>
      <c r="J1336" s="43">
        <v>44271</v>
      </c>
      <c r="K1336" s="42">
        <v>37.200000000000003</v>
      </c>
      <c r="L1336" s="42">
        <v>27.5</v>
      </c>
      <c r="M1336" s="48" t="s">
        <v>29</v>
      </c>
      <c r="N1336" s="42" t="s">
        <v>2370</v>
      </c>
      <c r="O1336" s="43">
        <v>44271</v>
      </c>
      <c r="P1336" s="42" t="s">
        <v>36</v>
      </c>
      <c r="Q1336" s="42">
        <v>28</v>
      </c>
      <c r="R1336" s="46" t="s">
        <v>31</v>
      </c>
      <c r="S1336" s="43">
        <v>44271</v>
      </c>
      <c r="T1336" s="51">
        <f t="shared" si="52"/>
        <v>3</v>
      </c>
      <c r="U1336" s="52" t="str">
        <f t="shared" si="51"/>
        <v>Não Detectável</v>
      </c>
    </row>
    <row r="1337" spans="1:21" ht="25.5" customHeight="1" x14ac:dyDescent="0.2">
      <c r="A1337" s="51">
        <v>1336</v>
      </c>
      <c r="B1337" s="59" t="s">
        <v>2372</v>
      </c>
      <c r="C1337" s="57">
        <v>39</v>
      </c>
      <c r="D1337" s="57" t="s">
        <v>25</v>
      </c>
      <c r="E1337" s="58" t="s">
        <v>2367</v>
      </c>
      <c r="F1337" s="56" t="s">
        <v>60</v>
      </c>
      <c r="G1337" s="57">
        <v>486</v>
      </c>
      <c r="H1337" s="58">
        <v>44271</v>
      </c>
      <c r="I1337" s="42" t="s">
        <v>2365</v>
      </c>
      <c r="J1337" s="43">
        <v>44271</v>
      </c>
      <c r="K1337" s="42">
        <v>37.200000000000003</v>
      </c>
      <c r="L1337" s="42">
        <v>27.5</v>
      </c>
      <c r="M1337" s="48" t="s">
        <v>29</v>
      </c>
      <c r="N1337" s="42" t="s">
        <v>2370</v>
      </c>
      <c r="O1337" s="43">
        <v>44271</v>
      </c>
      <c r="P1337" s="42" t="s">
        <v>36</v>
      </c>
      <c r="Q1337" s="42">
        <v>26</v>
      </c>
      <c r="R1337" s="46" t="s">
        <v>31</v>
      </c>
      <c r="S1337" s="43">
        <v>44271</v>
      </c>
      <c r="T1337" s="51">
        <f t="shared" si="52"/>
        <v>3</v>
      </c>
      <c r="U1337" s="52" t="str">
        <f t="shared" si="51"/>
        <v>Não Detectável</v>
      </c>
    </row>
    <row r="1338" spans="1:21" ht="25.5" customHeight="1" x14ac:dyDescent="0.2">
      <c r="A1338" s="51">
        <v>1337</v>
      </c>
      <c r="B1338" s="59" t="s">
        <v>2373</v>
      </c>
      <c r="C1338" s="57">
        <v>23</v>
      </c>
      <c r="D1338" s="57" t="s">
        <v>34</v>
      </c>
      <c r="E1338" s="58" t="s">
        <v>2367</v>
      </c>
      <c r="F1338" s="56" t="s">
        <v>60</v>
      </c>
      <c r="G1338" s="57">
        <v>487</v>
      </c>
      <c r="H1338" s="58">
        <v>44271</v>
      </c>
      <c r="I1338" s="42" t="s">
        <v>2365</v>
      </c>
      <c r="J1338" s="43">
        <v>44271</v>
      </c>
      <c r="K1338" s="42">
        <v>20.7</v>
      </c>
      <c r="L1338" s="42">
        <v>28.5</v>
      </c>
      <c r="M1338" s="48" t="s">
        <v>29</v>
      </c>
      <c r="N1338" s="42" t="s">
        <v>2370</v>
      </c>
      <c r="O1338" s="43">
        <v>44271</v>
      </c>
      <c r="P1338" s="42" t="s">
        <v>36</v>
      </c>
      <c r="Q1338" s="42">
        <v>27.5</v>
      </c>
      <c r="R1338" s="46" t="s">
        <v>31</v>
      </c>
      <c r="S1338" s="43">
        <v>44271</v>
      </c>
      <c r="T1338" s="51">
        <f t="shared" si="52"/>
        <v>3</v>
      </c>
      <c r="U1338" s="52" t="str">
        <f t="shared" si="51"/>
        <v>Não Detectável</v>
      </c>
    </row>
    <row r="1339" spans="1:21" ht="25.5" customHeight="1" x14ac:dyDescent="0.2">
      <c r="A1339" s="51">
        <v>1338</v>
      </c>
      <c r="B1339" s="59" t="s">
        <v>2374</v>
      </c>
      <c r="C1339" s="57">
        <v>25</v>
      </c>
      <c r="D1339" s="57" t="s">
        <v>34</v>
      </c>
      <c r="E1339" s="58" t="s">
        <v>2367</v>
      </c>
      <c r="F1339" s="56" t="s">
        <v>60</v>
      </c>
      <c r="G1339" s="57">
        <v>487</v>
      </c>
      <c r="H1339" s="58">
        <v>44271</v>
      </c>
      <c r="I1339" s="42" t="s">
        <v>2365</v>
      </c>
      <c r="J1339" s="43">
        <v>44271</v>
      </c>
      <c r="K1339" s="42">
        <v>20.7</v>
      </c>
      <c r="L1339" s="42">
        <v>28.5</v>
      </c>
      <c r="M1339" s="48" t="s">
        <v>29</v>
      </c>
      <c r="N1339" s="42" t="s">
        <v>2370</v>
      </c>
      <c r="O1339" s="43">
        <v>44271</v>
      </c>
      <c r="P1339" s="42">
        <v>29.8</v>
      </c>
      <c r="Q1339" s="42">
        <v>27.9</v>
      </c>
      <c r="R1339" s="46" t="s">
        <v>29</v>
      </c>
      <c r="S1339" s="43">
        <v>44271</v>
      </c>
      <c r="T1339" s="51">
        <f t="shared" si="52"/>
        <v>3</v>
      </c>
      <c r="U1339" s="52" t="str">
        <f t="shared" si="51"/>
        <v>Detectável</v>
      </c>
    </row>
    <row r="1340" spans="1:21" ht="25.5" customHeight="1" x14ac:dyDescent="0.2">
      <c r="A1340" s="51">
        <v>1339</v>
      </c>
      <c r="B1340" s="59" t="s">
        <v>2375</v>
      </c>
      <c r="C1340" s="57">
        <v>20</v>
      </c>
      <c r="D1340" s="57" t="s">
        <v>25</v>
      </c>
      <c r="E1340" s="58" t="s">
        <v>2367</v>
      </c>
      <c r="F1340" s="56" t="s">
        <v>60</v>
      </c>
      <c r="G1340" s="57">
        <v>487</v>
      </c>
      <c r="H1340" s="58">
        <v>44271</v>
      </c>
      <c r="I1340" s="42" t="s">
        <v>2365</v>
      </c>
      <c r="J1340" s="43">
        <v>44271</v>
      </c>
      <c r="K1340" s="42">
        <v>20.7</v>
      </c>
      <c r="L1340" s="42">
        <v>28.5</v>
      </c>
      <c r="M1340" s="48" t="s">
        <v>29</v>
      </c>
      <c r="N1340" s="42" t="s">
        <v>2370</v>
      </c>
      <c r="O1340" s="43">
        <v>44271</v>
      </c>
      <c r="P1340" s="42">
        <v>20.8</v>
      </c>
      <c r="Q1340" s="42">
        <v>30.2</v>
      </c>
      <c r="R1340" s="46" t="s">
        <v>29</v>
      </c>
      <c r="S1340" s="43">
        <v>44271</v>
      </c>
      <c r="T1340" s="51">
        <f t="shared" si="52"/>
        <v>3</v>
      </c>
      <c r="U1340" s="52" t="str">
        <f t="shared" si="51"/>
        <v>Detectável</v>
      </c>
    </row>
    <row r="1341" spans="1:21" ht="25.5" customHeight="1" x14ac:dyDescent="0.2">
      <c r="A1341" s="51">
        <v>1340</v>
      </c>
      <c r="B1341" s="59" t="s">
        <v>2376</v>
      </c>
      <c r="C1341" s="57">
        <v>66</v>
      </c>
      <c r="D1341" s="57" t="s">
        <v>34</v>
      </c>
      <c r="E1341" s="58" t="s">
        <v>2367</v>
      </c>
      <c r="F1341" s="56" t="s">
        <v>60</v>
      </c>
      <c r="G1341" s="57">
        <v>488</v>
      </c>
      <c r="H1341" s="58">
        <v>44271</v>
      </c>
      <c r="I1341" s="42" t="s">
        <v>2365</v>
      </c>
      <c r="J1341" s="43">
        <v>44271</v>
      </c>
      <c r="K1341" s="42">
        <v>19.3</v>
      </c>
      <c r="L1341" s="42">
        <v>28.1</v>
      </c>
      <c r="M1341" s="48" t="s">
        <v>29</v>
      </c>
      <c r="N1341" s="42" t="s">
        <v>2370</v>
      </c>
      <c r="O1341" s="43">
        <v>44271</v>
      </c>
      <c r="P1341" s="42">
        <v>17.7</v>
      </c>
      <c r="Q1341" s="42">
        <v>27.7</v>
      </c>
      <c r="R1341" s="46" t="s">
        <v>29</v>
      </c>
      <c r="S1341" s="43">
        <v>44271</v>
      </c>
      <c r="T1341" s="51">
        <f t="shared" si="52"/>
        <v>3</v>
      </c>
      <c r="U1341" s="52" t="str">
        <f t="shared" si="51"/>
        <v>Detectável</v>
      </c>
    </row>
    <row r="1342" spans="1:21" ht="25.5" customHeight="1" x14ac:dyDescent="0.2">
      <c r="A1342" s="51">
        <v>1341</v>
      </c>
      <c r="B1342" s="59" t="s">
        <v>2377</v>
      </c>
      <c r="C1342" s="57">
        <v>53</v>
      </c>
      <c r="D1342" s="57" t="s">
        <v>34</v>
      </c>
      <c r="E1342" s="58" t="s">
        <v>2367</v>
      </c>
      <c r="F1342" s="56" t="s">
        <v>60</v>
      </c>
      <c r="G1342" s="57">
        <v>488</v>
      </c>
      <c r="H1342" s="58">
        <v>44271</v>
      </c>
      <c r="I1342" s="42" t="s">
        <v>2365</v>
      </c>
      <c r="J1342" s="43">
        <v>44271</v>
      </c>
      <c r="K1342" s="42">
        <v>19.3</v>
      </c>
      <c r="L1342" s="42">
        <v>28.1</v>
      </c>
      <c r="M1342" s="48" t="s">
        <v>29</v>
      </c>
      <c r="N1342" s="42" t="s">
        <v>2370</v>
      </c>
      <c r="O1342" s="43">
        <v>44271</v>
      </c>
      <c r="P1342" s="42" t="s">
        <v>36</v>
      </c>
      <c r="Q1342" s="42">
        <v>27.6</v>
      </c>
      <c r="R1342" s="46" t="s">
        <v>31</v>
      </c>
      <c r="S1342" s="43">
        <v>44271</v>
      </c>
      <c r="T1342" s="51">
        <f t="shared" si="52"/>
        <v>3</v>
      </c>
      <c r="U1342" s="52" t="str">
        <f t="shared" si="51"/>
        <v>Não Detectável</v>
      </c>
    </row>
    <row r="1343" spans="1:21" ht="25.5" customHeight="1" x14ac:dyDescent="0.2">
      <c r="A1343" s="51">
        <v>1342</v>
      </c>
      <c r="B1343" s="59" t="s">
        <v>2378</v>
      </c>
      <c r="C1343" s="57">
        <v>57</v>
      </c>
      <c r="D1343" s="57" t="s">
        <v>25</v>
      </c>
      <c r="E1343" s="58" t="s">
        <v>2367</v>
      </c>
      <c r="F1343" s="56" t="s">
        <v>60</v>
      </c>
      <c r="G1343" s="57">
        <v>488</v>
      </c>
      <c r="H1343" s="58">
        <v>44271</v>
      </c>
      <c r="I1343" s="42" t="s">
        <v>2365</v>
      </c>
      <c r="J1343" s="43">
        <v>44271</v>
      </c>
      <c r="K1343" s="42">
        <v>19.3</v>
      </c>
      <c r="L1343" s="42">
        <v>28.1</v>
      </c>
      <c r="M1343" s="48" t="s">
        <v>29</v>
      </c>
      <c r="N1343" s="42" t="s">
        <v>2370</v>
      </c>
      <c r="O1343" s="43">
        <v>44271</v>
      </c>
      <c r="P1343" s="42">
        <v>21.4</v>
      </c>
      <c r="Q1343" s="42">
        <v>27.7</v>
      </c>
      <c r="R1343" s="46" t="s">
        <v>29</v>
      </c>
      <c r="S1343" s="43">
        <v>44271</v>
      </c>
      <c r="T1343" s="51">
        <f t="shared" si="52"/>
        <v>3</v>
      </c>
      <c r="U1343" s="52" t="str">
        <f t="shared" si="51"/>
        <v>Detectável</v>
      </c>
    </row>
    <row r="1344" spans="1:21" ht="25.5" customHeight="1" x14ac:dyDescent="0.2">
      <c r="A1344" s="51">
        <v>1343</v>
      </c>
      <c r="B1344" s="59" t="s">
        <v>2379</v>
      </c>
      <c r="C1344" s="57">
        <v>42</v>
      </c>
      <c r="D1344" s="57" t="s">
        <v>34</v>
      </c>
      <c r="E1344" s="58" t="s">
        <v>2367</v>
      </c>
      <c r="F1344" s="56" t="s">
        <v>60</v>
      </c>
      <c r="G1344" s="57">
        <v>489</v>
      </c>
      <c r="H1344" s="58">
        <v>44271</v>
      </c>
      <c r="I1344" s="58" t="s">
        <v>2380</v>
      </c>
      <c r="J1344" s="43">
        <v>44273</v>
      </c>
      <c r="K1344" s="42">
        <v>14.6</v>
      </c>
      <c r="L1344" s="42">
        <v>28.1</v>
      </c>
      <c r="M1344" s="48" t="s">
        <v>29</v>
      </c>
      <c r="N1344" s="42" t="s">
        <v>2381</v>
      </c>
      <c r="O1344" s="43">
        <v>44273</v>
      </c>
      <c r="P1344" s="42">
        <v>12.7</v>
      </c>
      <c r="Q1344" s="42">
        <v>26.2</v>
      </c>
      <c r="R1344" s="46" t="s">
        <v>29</v>
      </c>
      <c r="S1344" s="43">
        <v>44273</v>
      </c>
      <c r="T1344" s="51">
        <f t="shared" si="52"/>
        <v>3</v>
      </c>
      <c r="U1344" s="52" t="str">
        <f t="shared" si="51"/>
        <v>Detectável</v>
      </c>
    </row>
    <row r="1345" spans="1:21" ht="25.5" customHeight="1" x14ac:dyDescent="0.2">
      <c r="A1345" s="51">
        <v>1344</v>
      </c>
      <c r="B1345" s="59" t="s">
        <v>2382</v>
      </c>
      <c r="C1345" s="57">
        <v>32</v>
      </c>
      <c r="D1345" s="57" t="s">
        <v>25</v>
      </c>
      <c r="E1345" s="58" t="s">
        <v>2367</v>
      </c>
      <c r="F1345" s="56" t="s">
        <v>60</v>
      </c>
      <c r="G1345" s="57">
        <v>489</v>
      </c>
      <c r="H1345" s="58">
        <v>44271</v>
      </c>
      <c r="I1345" s="58" t="s">
        <v>2380</v>
      </c>
      <c r="J1345" s="43">
        <v>44273</v>
      </c>
      <c r="K1345" s="42">
        <v>14.6</v>
      </c>
      <c r="L1345" s="42">
        <v>28.1</v>
      </c>
      <c r="M1345" s="48" t="s">
        <v>29</v>
      </c>
      <c r="N1345" s="42" t="s">
        <v>2381</v>
      </c>
      <c r="O1345" s="43">
        <v>44273</v>
      </c>
      <c r="P1345" s="42">
        <v>19.8</v>
      </c>
      <c r="Q1345" s="42">
        <v>27.2</v>
      </c>
      <c r="R1345" s="46" t="s">
        <v>29</v>
      </c>
      <c r="S1345" s="43">
        <v>44273</v>
      </c>
      <c r="T1345" s="51">
        <f t="shared" si="52"/>
        <v>3</v>
      </c>
      <c r="U1345" s="52" t="str">
        <f t="shared" si="51"/>
        <v>Detectável</v>
      </c>
    </row>
    <row r="1346" spans="1:21" ht="25.5" customHeight="1" x14ac:dyDescent="0.2">
      <c r="A1346" s="51">
        <v>1345</v>
      </c>
      <c r="B1346" s="59" t="s">
        <v>2383</v>
      </c>
      <c r="C1346" s="57">
        <v>51</v>
      </c>
      <c r="D1346" s="57" t="s">
        <v>34</v>
      </c>
      <c r="E1346" s="58" t="s">
        <v>2384</v>
      </c>
      <c r="F1346" s="56" t="s">
        <v>60</v>
      </c>
      <c r="G1346" s="57">
        <v>489</v>
      </c>
      <c r="H1346" s="58">
        <v>44272</v>
      </c>
      <c r="I1346" s="58" t="s">
        <v>2380</v>
      </c>
      <c r="J1346" s="43">
        <v>44273</v>
      </c>
      <c r="K1346" s="42">
        <v>14.6</v>
      </c>
      <c r="L1346" s="42">
        <v>28.1</v>
      </c>
      <c r="M1346" s="48" t="s">
        <v>29</v>
      </c>
      <c r="N1346" s="42" t="s">
        <v>2381</v>
      </c>
      <c r="O1346" s="43">
        <v>44273</v>
      </c>
      <c r="P1346" s="42">
        <v>26</v>
      </c>
      <c r="Q1346" s="42">
        <v>28.1</v>
      </c>
      <c r="R1346" s="46" t="s">
        <v>29</v>
      </c>
      <c r="S1346" s="43">
        <v>44273</v>
      </c>
      <c r="T1346" s="51">
        <f t="shared" si="52"/>
        <v>3</v>
      </c>
      <c r="U1346" s="52" t="str">
        <f t="shared" si="51"/>
        <v>Detectável</v>
      </c>
    </row>
    <row r="1347" spans="1:21" ht="25.5" customHeight="1" x14ac:dyDescent="0.2">
      <c r="A1347" s="51">
        <v>1346</v>
      </c>
      <c r="B1347" s="59" t="s">
        <v>2385</v>
      </c>
      <c r="C1347" s="57">
        <v>63</v>
      </c>
      <c r="D1347" s="57" t="s">
        <v>34</v>
      </c>
      <c r="E1347" s="58" t="s">
        <v>2384</v>
      </c>
      <c r="F1347" s="56" t="s">
        <v>60</v>
      </c>
      <c r="G1347" s="57">
        <v>490</v>
      </c>
      <c r="H1347" s="58">
        <v>44272</v>
      </c>
      <c r="I1347" s="58" t="s">
        <v>2380</v>
      </c>
      <c r="J1347" s="43">
        <v>44273</v>
      </c>
      <c r="K1347" s="42">
        <v>17.5</v>
      </c>
      <c r="L1347" s="42">
        <v>29.2</v>
      </c>
      <c r="M1347" s="48" t="s">
        <v>29</v>
      </c>
      <c r="N1347" s="42" t="s">
        <v>2381</v>
      </c>
      <c r="O1347" s="43">
        <v>44273</v>
      </c>
      <c r="P1347" s="42">
        <v>14.9</v>
      </c>
      <c r="Q1347" s="42">
        <v>28.8</v>
      </c>
      <c r="R1347" s="46" t="s">
        <v>29</v>
      </c>
      <c r="S1347" s="43">
        <v>44273</v>
      </c>
      <c r="T1347" s="51">
        <f t="shared" si="52"/>
        <v>3</v>
      </c>
      <c r="U1347" s="52" t="str">
        <f t="shared" si="51"/>
        <v>Detectável</v>
      </c>
    </row>
    <row r="1348" spans="1:21" ht="25.5" customHeight="1" x14ac:dyDescent="0.2">
      <c r="A1348" s="51">
        <v>1347</v>
      </c>
      <c r="B1348" s="59" t="s">
        <v>2386</v>
      </c>
      <c r="C1348" s="57">
        <v>36</v>
      </c>
      <c r="D1348" s="57" t="s">
        <v>34</v>
      </c>
      <c r="E1348" s="58" t="s">
        <v>2384</v>
      </c>
      <c r="F1348" s="56" t="s">
        <v>60</v>
      </c>
      <c r="G1348" s="57">
        <v>490</v>
      </c>
      <c r="H1348" s="58">
        <v>44272</v>
      </c>
      <c r="I1348" s="58" t="s">
        <v>2380</v>
      </c>
      <c r="J1348" s="43">
        <v>44273</v>
      </c>
      <c r="K1348" s="42">
        <v>17.5</v>
      </c>
      <c r="L1348" s="42">
        <v>29.2</v>
      </c>
      <c r="M1348" s="48" t="s">
        <v>29</v>
      </c>
      <c r="N1348" s="42" t="s">
        <v>2381</v>
      </c>
      <c r="O1348" s="43">
        <v>44273</v>
      </c>
      <c r="P1348" s="42">
        <v>36.4</v>
      </c>
      <c r="Q1348" s="42">
        <v>28.7</v>
      </c>
      <c r="R1348" s="46" t="s">
        <v>201</v>
      </c>
      <c r="S1348" s="43">
        <v>44273</v>
      </c>
      <c r="T1348" s="51">
        <f t="shared" si="52"/>
        <v>3</v>
      </c>
      <c r="U1348" s="52" t="str">
        <f t="shared" si="51"/>
        <v>Inconclusivo</v>
      </c>
    </row>
    <row r="1349" spans="1:21" ht="25.5" customHeight="1" x14ac:dyDescent="0.2">
      <c r="A1349" s="51">
        <v>1348</v>
      </c>
      <c r="B1349" s="59" t="s">
        <v>2387</v>
      </c>
      <c r="C1349" s="57">
        <v>67</v>
      </c>
      <c r="D1349" s="57" t="s">
        <v>34</v>
      </c>
      <c r="E1349" s="58" t="s">
        <v>2384</v>
      </c>
      <c r="F1349" s="56" t="s">
        <v>60</v>
      </c>
      <c r="G1349" s="57">
        <v>490</v>
      </c>
      <c r="H1349" s="58">
        <v>44272</v>
      </c>
      <c r="I1349" s="58" t="s">
        <v>2380</v>
      </c>
      <c r="J1349" s="43">
        <v>44273</v>
      </c>
      <c r="K1349" s="42">
        <v>17.5</v>
      </c>
      <c r="L1349" s="42">
        <v>29.2</v>
      </c>
      <c r="M1349" s="48" t="s">
        <v>29</v>
      </c>
      <c r="N1349" s="42" t="s">
        <v>2381</v>
      </c>
      <c r="O1349" s="43">
        <v>44273</v>
      </c>
      <c r="P1349" s="42" t="s">
        <v>36</v>
      </c>
      <c r="Q1349" s="42">
        <v>26.5</v>
      </c>
      <c r="R1349" s="46" t="s">
        <v>31</v>
      </c>
      <c r="S1349" s="43">
        <v>44273</v>
      </c>
      <c r="T1349" s="51">
        <f t="shared" si="52"/>
        <v>3</v>
      </c>
      <c r="U1349" s="52" t="str">
        <f t="shared" si="51"/>
        <v>Não Detectável</v>
      </c>
    </row>
    <row r="1350" spans="1:21" ht="25.5" customHeight="1" x14ac:dyDescent="0.2">
      <c r="A1350" s="51">
        <v>1349</v>
      </c>
      <c r="B1350" s="59" t="s">
        <v>2388</v>
      </c>
      <c r="C1350" s="57">
        <v>42</v>
      </c>
      <c r="D1350" s="57" t="s">
        <v>34</v>
      </c>
      <c r="E1350" s="58" t="s">
        <v>2384</v>
      </c>
      <c r="F1350" s="56" t="s">
        <v>60</v>
      </c>
      <c r="G1350" s="57">
        <v>491</v>
      </c>
      <c r="H1350" s="58">
        <v>44272</v>
      </c>
      <c r="I1350" s="58" t="s">
        <v>2380</v>
      </c>
      <c r="J1350" s="43">
        <v>44273</v>
      </c>
      <c r="K1350" s="42">
        <v>25.9</v>
      </c>
      <c r="L1350" s="42">
        <v>29.9</v>
      </c>
      <c r="M1350" s="48" t="s">
        <v>29</v>
      </c>
      <c r="N1350" s="42" t="s">
        <v>2381</v>
      </c>
      <c r="O1350" s="43">
        <v>44273</v>
      </c>
      <c r="P1350" s="42">
        <v>22.8</v>
      </c>
      <c r="Q1350" s="42">
        <v>28.3</v>
      </c>
      <c r="R1350" s="46" t="s">
        <v>29</v>
      </c>
      <c r="S1350" s="43">
        <v>44273</v>
      </c>
      <c r="T1350" s="51">
        <f t="shared" si="52"/>
        <v>3</v>
      </c>
      <c r="U1350" s="52" t="str">
        <f t="shared" si="51"/>
        <v>Detectável</v>
      </c>
    </row>
    <row r="1351" spans="1:21" ht="25.5" customHeight="1" x14ac:dyDescent="0.2">
      <c r="A1351" s="51">
        <v>1350</v>
      </c>
      <c r="B1351" s="59" t="s">
        <v>2389</v>
      </c>
      <c r="C1351" s="57">
        <v>50</v>
      </c>
      <c r="D1351" s="57" t="s">
        <v>25</v>
      </c>
      <c r="E1351" s="58" t="s">
        <v>2384</v>
      </c>
      <c r="F1351" s="56" t="s">
        <v>60</v>
      </c>
      <c r="G1351" s="57">
        <v>491</v>
      </c>
      <c r="H1351" s="58">
        <v>44272</v>
      </c>
      <c r="I1351" s="58" t="s">
        <v>2380</v>
      </c>
      <c r="J1351" s="43">
        <v>44273</v>
      </c>
      <c r="K1351" s="42">
        <v>25.9</v>
      </c>
      <c r="L1351" s="42">
        <v>29.9</v>
      </c>
      <c r="M1351" s="48" t="s">
        <v>29</v>
      </c>
      <c r="N1351" s="42" t="s">
        <v>2381</v>
      </c>
      <c r="O1351" s="43">
        <v>44273</v>
      </c>
      <c r="P1351" s="42" t="s">
        <v>36</v>
      </c>
      <c r="Q1351" s="42">
        <v>28.8</v>
      </c>
      <c r="R1351" s="46" t="s">
        <v>31</v>
      </c>
      <c r="S1351" s="43">
        <v>44273</v>
      </c>
      <c r="T1351" s="51">
        <f t="shared" si="52"/>
        <v>3</v>
      </c>
      <c r="U1351" s="52" t="str">
        <f t="shared" si="51"/>
        <v>Não Detectável</v>
      </c>
    </row>
    <row r="1352" spans="1:21" ht="25.5" customHeight="1" x14ac:dyDescent="0.2">
      <c r="A1352" s="51">
        <v>1351</v>
      </c>
      <c r="B1352" s="59" t="s">
        <v>2390</v>
      </c>
      <c r="C1352" s="57">
        <v>41</v>
      </c>
      <c r="D1352" s="57" t="s">
        <v>25</v>
      </c>
      <c r="E1352" s="58" t="s">
        <v>2384</v>
      </c>
      <c r="F1352" s="56" t="s">
        <v>60</v>
      </c>
      <c r="G1352" s="57">
        <v>491</v>
      </c>
      <c r="H1352" s="58">
        <v>44272</v>
      </c>
      <c r="I1352" s="58" t="s">
        <v>2380</v>
      </c>
      <c r="J1352" s="43">
        <v>44273</v>
      </c>
      <c r="K1352" s="42">
        <v>25.9</v>
      </c>
      <c r="L1352" s="42">
        <v>29.9</v>
      </c>
      <c r="M1352" s="48" t="s">
        <v>29</v>
      </c>
      <c r="N1352" s="42" t="s">
        <v>2381</v>
      </c>
      <c r="O1352" s="43">
        <v>44273</v>
      </c>
      <c r="P1352" s="42" t="s">
        <v>36</v>
      </c>
      <c r="Q1352" s="42">
        <v>29.4</v>
      </c>
      <c r="R1352" s="46" t="s">
        <v>31</v>
      </c>
      <c r="S1352" s="43">
        <v>44273</v>
      </c>
      <c r="T1352" s="51">
        <f t="shared" si="52"/>
        <v>3</v>
      </c>
      <c r="U1352" s="52" t="str">
        <f t="shared" si="51"/>
        <v>Não Detectável</v>
      </c>
    </row>
    <row r="1353" spans="1:21" ht="25.5" customHeight="1" x14ac:dyDescent="0.2">
      <c r="A1353" s="51">
        <v>1352</v>
      </c>
      <c r="B1353" s="59" t="s">
        <v>2391</v>
      </c>
      <c r="C1353" s="57">
        <v>79</v>
      </c>
      <c r="D1353" s="57" t="s">
        <v>25</v>
      </c>
      <c r="E1353" s="58" t="s">
        <v>2384</v>
      </c>
      <c r="F1353" s="56" t="s">
        <v>60</v>
      </c>
      <c r="G1353" s="57">
        <v>492</v>
      </c>
      <c r="H1353" s="58">
        <v>44272</v>
      </c>
      <c r="I1353" s="58" t="s">
        <v>2380</v>
      </c>
      <c r="J1353" s="43">
        <v>44273</v>
      </c>
      <c r="K1353" s="42" t="s">
        <v>36</v>
      </c>
      <c r="L1353" s="42">
        <v>28.8</v>
      </c>
      <c r="M1353" s="45" t="s">
        <v>31</v>
      </c>
      <c r="N1353" s="42" t="s">
        <v>60</v>
      </c>
      <c r="O1353" s="43" t="s">
        <v>60</v>
      </c>
      <c r="P1353" s="42" t="s">
        <v>60</v>
      </c>
      <c r="Q1353" s="42" t="s">
        <v>60</v>
      </c>
      <c r="R1353" s="46" t="s">
        <v>60</v>
      </c>
      <c r="S1353" s="43">
        <v>44273</v>
      </c>
      <c r="T1353" s="51">
        <f t="shared" si="52"/>
        <v>3</v>
      </c>
      <c r="U1353" s="52" t="str">
        <f t="shared" si="51"/>
        <v>Não Detectável</v>
      </c>
    </row>
    <row r="1354" spans="1:21" ht="25.5" customHeight="1" x14ac:dyDescent="0.2">
      <c r="A1354" s="51">
        <v>1353</v>
      </c>
      <c r="B1354" s="59" t="s">
        <v>2392</v>
      </c>
      <c r="C1354" s="57">
        <v>23</v>
      </c>
      <c r="D1354" s="57" t="s">
        <v>25</v>
      </c>
      <c r="E1354" s="58" t="s">
        <v>2384</v>
      </c>
      <c r="F1354" s="56" t="s">
        <v>60</v>
      </c>
      <c r="G1354" s="57">
        <v>492</v>
      </c>
      <c r="H1354" s="58">
        <v>44272</v>
      </c>
      <c r="I1354" s="58" t="s">
        <v>2380</v>
      </c>
      <c r="J1354" s="43">
        <v>44273</v>
      </c>
      <c r="K1354" s="42" t="s">
        <v>36</v>
      </c>
      <c r="L1354" s="42">
        <v>28.8</v>
      </c>
      <c r="M1354" s="45" t="s">
        <v>31</v>
      </c>
      <c r="N1354" s="42" t="s">
        <v>60</v>
      </c>
      <c r="O1354" s="43" t="s">
        <v>60</v>
      </c>
      <c r="P1354" s="42" t="s">
        <v>60</v>
      </c>
      <c r="Q1354" s="42" t="s">
        <v>60</v>
      </c>
      <c r="R1354" s="46" t="s">
        <v>60</v>
      </c>
      <c r="S1354" s="43">
        <v>44273</v>
      </c>
      <c r="T1354" s="51">
        <f t="shared" si="52"/>
        <v>3</v>
      </c>
      <c r="U1354" s="52" t="str">
        <f t="shared" si="51"/>
        <v>Não Detectável</v>
      </c>
    </row>
    <row r="1355" spans="1:21" ht="25.5" customHeight="1" x14ac:dyDescent="0.2">
      <c r="A1355" s="51">
        <v>1354</v>
      </c>
      <c r="B1355" s="59" t="s">
        <v>2393</v>
      </c>
      <c r="C1355" s="57">
        <v>49</v>
      </c>
      <c r="D1355" s="57" t="s">
        <v>25</v>
      </c>
      <c r="E1355" s="58" t="s">
        <v>2384</v>
      </c>
      <c r="F1355" s="56" t="s">
        <v>60</v>
      </c>
      <c r="G1355" s="57">
        <v>492</v>
      </c>
      <c r="H1355" s="58">
        <v>44272</v>
      </c>
      <c r="I1355" s="58" t="s">
        <v>2380</v>
      </c>
      <c r="J1355" s="43">
        <v>44273</v>
      </c>
      <c r="K1355" s="42" t="s">
        <v>36</v>
      </c>
      <c r="L1355" s="42">
        <v>28.8</v>
      </c>
      <c r="M1355" s="45" t="s">
        <v>31</v>
      </c>
      <c r="N1355" s="42" t="s">
        <v>60</v>
      </c>
      <c r="O1355" s="43" t="s">
        <v>60</v>
      </c>
      <c r="P1355" s="42" t="s">
        <v>60</v>
      </c>
      <c r="Q1355" s="42" t="s">
        <v>60</v>
      </c>
      <c r="R1355" s="46" t="s">
        <v>60</v>
      </c>
      <c r="S1355" s="43">
        <v>44273</v>
      </c>
      <c r="T1355" s="51">
        <f t="shared" si="52"/>
        <v>3</v>
      </c>
      <c r="U1355" s="52" t="str">
        <f t="shared" si="51"/>
        <v>Não Detectável</v>
      </c>
    </row>
    <row r="1356" spans="1:21" ht="25.5" customHeight="1" x14ac:dyDescent="0.2">
      <c r="A1356" s="51">
        <v>1355</v>
      </c>
      <c r="B1356" s="59" t="s">
        <v>2394</v>
      </c>
      <c r="C1356" s="57">
        <v>27</v>
      </c>
      <c r="D1356" s="57" t="s">
        <v>34</v>
      </c>
      <c r="E1356" s="58" t="s">
        <v>2384</v>
      </c>
      <c r="F1356" s="56" t="s">
        <v>60</v>
      </c>
      <c r="G1356" s="57">
        <v>493</v>
      </c>
      <c r="H1356" s="58">
        <v>44272</v>
      </c>
      <c r="I1356" s="58" t="s">
        <v>2380</v>
      </c>
      <c r="J1356" s="43">
        <v>44273</v>
      </c>
      <c r="K1356" s="42">
        <v>21.4</v>
      </c>
      <c r="L1356" s="42">
        <v>29.5</v>
      </c>
      <c r="M1356" s="48" t="s">
        <v>29</v>
      </c>
      <c r="N1356" s="42" t="s">
        <v>2381</v>
      </c>
      <c r="O1356" s="43">
        <v>44273</v>
      </c>
      <c r="P1356" s="42" t="s">
        <v>36</v>
      </c>
      <c r="Q1356" s="42">
        <v>28.5</v>
      </c>
      <c r="R1356" s="46" t="s">
        <v>31</v>
      </c>
      <c r="S1356" s="43">
        <v>44273</v>
      </c>
      <c r="T1356" s="51">
        <f t="shared" si="52"/>
        <v>3</v>
      </c>
      <c r="U1356" s="52" t="str">
        <f t="shared" si="51"/>
        <v>Não Detectável</v>
      </c>
    </row>
    <row r="1357" spans="1:21" ht="25.5" customHeight="1" x14ac:dyDescent="0.2">
      <c r="A1357" s="51">
        <v>1356</v>
      </c>
      <c r="B1357" s="59" t="s">
        <v>2395</v>
      </c>
      <c r="C1357" s="57">
        <v>60</v>
      </c>
      <c r="D1357" s="57" t="s">
        <v>34</v>
      </c>
      <c r="E1357" s="58" t="s">
        <v>2384</v>
      </c>
      <c r="F1357" s="56" t="s">
        <v>60</v>
      </c>
      <c r="G1357" s="57">
        <v>493</v>
      </c>
      <c r="H1357" s="58">
        <v>44272</v>
      </c>
      <c r="I1357" s="58" t="s">
        <v>2380</v>
      </c>
      <c r="J1357" s="43">
        <v>44273</v>
      </c>
      <c r="K1357" s="42">
        <v>21.4</v>
      </c>
      <c r="L1357" s="42">
        <v>29.5</v>
      </c>
      <c r="M1357" s="48" t="s">
        <v>29</v>
      </c>
      <c r="N1357" s="42" t="s">
        <v>2381</v>
      </c>
      <c r="O1357" s="43">
        <v>44273</v>
      </c>
      <c r="P1357" s="42">
        <v>19.3</v>
      </c>
      <c r="Q1357" s="42">
        <v>29.4</v>
      </c>
      <c r="R1357" s="46" t="s">
        <v>29</v>
      </c>
      <c r="S1357" s="43">
        <v>44273</v>
      </c>
      <c r="T1357" s="51">
        <f t="shared" si="52"/>
        <v>3</v>
      </c>
      <c r="U1357" s="52" t="str">
        <f t="shared" si="51"/>
        <v>Detectável</v>
      </c>
    </row>
    <row r="1358" spans="1:21" ht="25.5" customHeight="1" x14ac:dyDescent="0.2">
      <c r="A1358" s="51">
        <v>1357</v>
      </c>
      <c r="B1358" s="59" t="s">
        <v>2396</v>
      </c>
      <c r="C1358" s="57">
        <v>43</v>
      </c>
      <c r="D1358" s="57" t="s">
        <v>25</v>
      </c>
      <c r="E1358" s="58" t="s">
        <v>2384</v>
      </c>
      <c r="F1358" s="56" t="s">
        <v>60</v>
      </c>
      <c r="G1358" s="57">
        <v>493</v>
      </c>
      <c r="H1358" s="58">
        <v>44272</v>
      </c>
      <c r="I1358" s="58" t="s">
        <v>2380</v>
      </c>
      <c r="J1358" s="43">
        <v>44273</v>
      </c>
      <c r="K1358" s="42">
        <v>21.4</v>
      </c>
      <c r="L1358" s="42">
        <v>29.5</v>
      </c>
      <c r="M1358" s="48" t="s">
        <v>29</v>
      </c>
      <c r="N1358" s="42" t="s">
        <v>2381</v>
      </c>
      <c r="O1358" s="43">
        <v>44273</v>
      </c>
      <c r="P1358" s="42">
        <v>28.9</v>
      </c>
      <c r="Q1358" s="42">
        <v>28.7</v>
      </c>
      <c r="R1358" s="46" t="s">
        <v>29</v>
      </c>
      <c r="S1358" s="43">
        <v>44273</v>
      </c>
      <c r="T1358" s="51">
        <f t="shared" si="52"/>
        <v>3</v>
      </c>
      <c r="U1358" s="52" t="str">
        <f t="shared" si="51"/>
        <v>Detectável</v>
      </c>
    </row>
    <row r="1359" spans="1:21" ht="25.5" customHeight="1" x14ac:dyDescent="0.2">
      <c r="A1359" s="51">
        <v>1358</v>
      </c>
      <c r="B1359" s="59" t="s">
        <v>2397</v>
      </c>
      <c r="C1359" s="57">
        <v>49</v>
      </c>
      <c r="D1359" s="57" t="s">
        <v>34</v>
      </c>
      <c r="E1359" s="58" t="s">
        <v>2384</v>
      </c>
      <c r="F1359" s="56" t="s">
        <v>60</v>
      </c>
      <c r="G1359" s="57">
        <v>494</v>
      </c>
      <c r="H1359" s="58">
        <v>44272</v>
      </c>
      <c r="I1359" s="42" t="s">
        <v>2381</v>
      </c>
      <c r="J1359" s="43">
        <v>44273</v>
      </c>
      <c r="K1359" s="42" t="s">
        <v>36</v>
      </c>
      <c r="L1359" s="42">
        <v>28.2</v>
      </c>
      <c r="M1359" s="45" t="s">
        <v>31</v>
      </c>
      <c r="N1359" s="42" t="s">
        <v>60</v>
      </c>
      <c r="O1359" s="43" t="s">
        <v>60</v>
      </c>
      <c r="P1359" s="42" t="s">
        <v>60</v>
      </c>
      <c r="Q1359" s="42" t="s">
        <v>60</v>
      </c>
      <c r="R1359" s="46" t="s">
        <v>60</v>
      </c>
      <c r="S1359" s="43">
        <v>44273</v>
      </c>
      <c r="T1359" s="51">
        <f t="shared" si="52"/>
        <v>3</v>
      </c>
      <c r="U1359" s="52" t="str">
        <f t="shared" si="51"/>
        <v>Não Detectável</v>
      </c>
    </row>
    <row r="1360" spans="1:21" ht="25.5" customHeight="1" x14ac:dyDescent="0.2">
      <c r="A1360" s="51">
        <v>1359</v>
      </c>
      <c r="B1360" s="59" t="s">
        <v>2398</v>
      </c>
      <c r="C1360" s="57">
        <v>22</v>
      </c>
      <c r="D1360" s="57" t="s">
        <v>25</v>
      </c>
      <c r="E1360" s="58" t="s">
        <v>2399</v>
      </c>
      <c r="F1360" s="56" t="s">
        <v>60</v>
      </c>
      <c r="G1360" s="57">
        <v>494</v>
      </c>
      <c r="H1360" s="58">
        <v>44273</v>
      </c>
      <c r="I1360" s="42" t="s">
        <v>2381</v>
      </c>
      <c r="J1360" s="43">
        <v>44273</v>
      </c>
      <c r="K1360" s="42" t="s">
        <v>36</v>
      </c>
      <c r="L1360" s="42">
        <v>28.2</v>
      </c>
      <c r="M1360" s="45" t="s">
        <v>31</v>
      </c>
      <c r="N1360" s="42" t="s">
        <v>60</v>
      </c>
      <c r="O1360" s="43" t="s">
        <v>60</v>
      </c>
      <c r="P1360" s="42" t="s">
        <v>60</v>
      </c>
      <c r="Q1360" s="42" t="s">
        <v>60</v>
      </c>
      <c r="R1360" s="46" t="s">
        <v>60</v>
      </c>
      <c r="S1360" s="43">
        <v>44273</v>
      </c>
      <c r="T1360" s="51">
        <f t="shared" si="52"/>
        <v>3</v>
      </c>
      <c r="U1360" s="52" t="str">
        <f t="shared" si="51"/>
        <v>Não Detectável</v>
      </c>
    </row>
    <row r="1361" spans="1:21" ht="25.5" customHeight="1" x14ac:dyDescent="0.2">
      <c r="A1361" s="51">
        <v>1360</v>
      </c>
      <c r="B1361" s="59" t="s">
        <v>2400</v>
      </c>
      <c r="C1361" s="57">
        <v>19</v>
      </c>
      <c r="D1361" s="57" t="s">
        <v>25</v>
      </c>
      <c r="E1361" s="58" t="s">
        <v>2399</v>
      </c>
      <c r="F1361" s="56" t="s">
        <v>60</v>
      </c>
      <c r="G1361" s="57">
        <v>494</v>
      </c>
      <c r="H1361" s="58">
        <v>44273</v>
      </c>
      <c r="I1361" s="42" t="s">
        <v>2381</v>
      </c>
      <c r="J1361" s="43">
        <v>44273</v>
      </c>
      <c r="K1361" s="42" t="s">
        <v>36</v>
      </c>
      <c r="L1361" s="42">
        <v>28.2</v>
      </c>
      <c r="M1361" s="45" t="s">
        <v>31</v>
      </c>
      <c r="N1361" s="42" t="s">
        <v>60</v>
      </c>
      <c r="O1361" s="43" t="s">
        <v>60</v>
      </c>
      <c r="P1361" s="42" t="s">
        <v>60</v>
      </c>
      <c r="Q1361" s="42" t="s">
        <v>60</v>
      </c>
      <c r="R1361" s="46" t="s">
        <v>60</v>
      </c>
      <c r="S1361" s="43">
        <v>44273</v>
      </c>
      <c r="T1361" s="51">
        <f t="shared" si="52"/>
        <v>3</v>
      </c>
      <c r="U1361" s="52" t="str">
        <f t="shared" si="51"/>
        <v>Não Detectável</v>
      </c>
    </row>
    <row r="1362" spans="1:21" ht="25.5" customHeight="1" x14ac:dyDescent="0.2">
      <c r="A1362" s="51">
        <v>1361</v>
      </c>
      <c r="B1362" s="59" t="s">
        <v>2401</v>
      </c>
      <c r="C1362" s="57">
        <v>23</v>
      </c>
      <c r="D1362" s="57" t="s">
        <v>25</v>
      </c>
      <c r="E1362" s="58" t="s">
        <v>2399</v>
      </c>
      <c r="F1362" s="56" t="s">
        <v>60</v>
      </c>
      <c r="G1362" s="57">
        <v>495</v>
      </c>
      <c r="H1362" s="58">
        <v>44273</v>
      </c>
      <c r="I1362" s="42" t="s">
        <v>2381</v>
      </c>
      <c r="J1362" s="43">
        <v>44273</v>
      </c>
      <c r="K1362" s="42" t="s">
        <v>36</v>
      </c>
      <c r="L1362" s="42">
        <v>26.2</v>
      </c>
      <c r="M1362" s="45" t="s">
        <v>31</v>
      </c>
      <c r="N1362" s="42" t="s">
        <v>60</v>
      </c>
      <c r="O1362" s="43" t="s">
        <v>60</v>
      </c>
      <c r="P1362" s="42" t="s">
        <v>60</v>
      </c>
      <c r="Q1362" s="42" t="s">
        <v>60</v>
      </c>
      <c r="R1362" s="46" t="s">
        <v>60</v>
      </c>
      <c r="S1362" s="43">
        <v>44273</v>
      </c>
      <c r="T1362" s="51">
        <f t="shared" si="52"/>
        <v>3</v>
      </c>
      <c r="U1362" s="52" t="str">
        <f t="shared" si="51"/>
        <v>Não Detectável</v>
      </c>
    </row>
    <row r="1363" spans="1:21" ht="25.5" customHeight="1" x14ac:dyDescent="0.2">
      <c r="A1363" s="51">
        <v>1362</v>
      </c>
      <c r="B1363" s="59" t="s">
        <v>2402</v>
      </c>
      <c r="C1363" s="57">
        <v>48</v>
      </c>
      <c r="D1363" s="57" t="s">
        <v>34</v>
      </c>
      <c r="E1363" s="58" t="s">
        <v>2399</v>
      </c>
      <c r="F1363" s="56" t="s">
        <v>60</v>
      </c>
      <c r="G1363" s="57">
        <v>495</v>
      </c>
      <c r="H1363" s="58">
        <v>44273</v>
      </c>
      <c r="I1363" s="42" t="s">
        <v>2381</v>
      </c>
      <c r="J1363" s="43">
        <v>44273</v>
      </c>
      <c r="K1363" s="42" t="s">
        <v>36</v>
      </c>
      <c r="L1363" s="42">
        <v>26.2</v>
      </c>
      <c r="M1363" s="45" t="s">
        <v>31</v>
      </c>
      <c r="N1363" s="42" t="s">
        <v>60</v>
      </c>
      <c r="O1363" s="43" t="s">
        <v>60</v>
      </c>
      <c r="P1363" s="42" t="s">
        <v>60</v>
      </c>
      <c r="Q1363" s="42" t="s">
        <v>60</v>
      </c>
      <c r="R1363" s="46" t="s">
        <v>60</v>
      </c>
      <c r="S1363" s="43">
        <v>44273</v>
      </c>
      <c r="T1363" s="51">
        <f t="shared" si="52"/>
        <v>3</v>
      </c>
      <c r="U1363" s="52" t="str">
        <f t="shared" si="51"/>
        <v>Não Detectável</v>
      </c>
    </row>
    <row r="1364" spans="1:21" ht="25.5" customHeight="1" x14ac:dyDescent="0.2">
      <c r="A1364" s="51">
        <v>1363</v>
      </c>
      <c r="B1364" s="59" t="s">
        <v>2403</v>
      </c>
      <c r="C1364" s="57">
        <v>56</v>
      </c>
      <c r="D1364" s="57" t="s">
        <v>25</v>
      </c>
      <c r="E1364" s="58" t="s">
        <v>2399</v>
      </c>
      <c r="F1364" s="56" t="s">
        <v>60</v>
      </c>
      <c r="G1364" s="57">
        <v>495</v>
      </c>
      <c r="H1364" s="58">
        <v>44273</v>
      </c>
      <c r="I1364" s="42" t="s">
        <v>2381</v>
      </c>
      <c r="J1364" s="43">
        <v>44273</v>
      </c>
      <c r="K1364" s="42" t="s">
        <v>36</v>
      </c>
      <c r="L1364" s="42">
        <v>26.2</v>
      </c>
      <c r="M1364" s="45" t="s">
        <v>31</v>
      </c>
      <c r="N1364" s="42" t="s">
        <v>60</v>
      </c>
      <c r="O1364" s="43" t="s">
        <v>60</v>
      </c>
      <c r="P1364" s="42" t="s">
        <v>60</v>
      </c>
      <c r="Q1364" s="42" t="s">
        <v>60</v>
      </c>
      <c r="R1364" s="46" t="s">
        <v>60</v>
      </c>
      <c r="S1364" s="43">
        <v>44273</v>
      </c>
      <c r="T1364" s="51">
        <f t="shared" si="52"/>
        <v>3</v>
      </c>
      <c r="U1364" s="52" t="str">
        <f t="shared" si="51"/>
        <v>Não Detectável</v>
      </c>
    </row>
    <row r="1365" spans="1:21" ht="25.5" customHeight="1" x14ac:dyDescent="0.2">
      <c r="A1365" s="51">
        <v>1364</v>
      </c>
      <c r="B1365" s="59" t="s">
        <v>2404</v>
      </c>
      <c r="C1365" s="57">
        <v>75</v>
      </c>
      <c r="D1365" s="57" t="s">
        <v>25</v>
      </c>
      <c r="E1365" s="58" t="s">
        <v>2399</v>
      </c>
      <c r="F1365" s="56" t="s">
        <v>60</v>
      </c>
      <c r="G1365" s="57">
        <v>496</v>
      </c>
      <c r="H1365" s="58">
        <v>44273</v>
      </c>
      <c r="I1365" s="42" t="s">
        <v>2381</v>
      </c>
      <c r="J1365" s="43">
        <v>44273</v>
      </c>
      <c r="K1365" s="42">
        <v>15.8</v>
      </c>
      <c r="L1365" s="42">
        <v>25.4</v>
      </c>
      <c r="M1365" s="48" t="s">
        <v>29</v>
      </c>
      <c r="N1365" s="42" t="s">
        <v>2405</v>
      </c>
      <c r="O1365" s="43">
        <v>44274</v>
      </c>
      <c r="P1365" s="42" t="s">
        <v>36</v>
      </c>
      <c r="Q1365" s="42">
        <v>25.8</v>
      </c>
      <c r="R1365" s="46" t="s">
        <v>31</v>
      </c>
      <c r="S1365" s="43">
        <v>44274</v>
      </c>
      <c r="T1365" s="51">
        <f t="shared" si="52"/>
        <v>3</v>
      </c>
      <c r="U1365" s="52" t="str">
        <f t="shared" si="51"/>
        <v>Não Detectável</v>
      </c>
    </row>
    <row r="1366" spans="1:21" ht="25.5" customHeight="1" x14ac:dyDescent="0.2">
      <c r="A1366" s="51">
        <v>1365</v>
      </c>
      <c r="B1366" s="59" t="s">
        <v>2406</v>
      </c>
      <c r="C1366" s="57">
        <v>43</v>
      </c>
      <c r="D1366" s="57" t="s">
        <v>34</v>
      </c>
      <c r="E1366" s="58" t="s">
        <v>2399</v>
      </c>
      <c r="F1366" s="56" t="s">
        <v>60</v>
      </c>
      <c r="G1366" s="57">
        <v>496</v>
      </c>
      <c r="H1366" s="58">
        <v>44273</v>
      </c>
      <c r="I1366" s="42" t="s">
        <v>2381</v>
      </c>
      <c r="J1366" s="43">
        <v>44273</v>
      </c>
      <c r="K1366" s="42">
        <v>15.8</v>
      </c>
      <c r="L1366" s="42">
        <v>25.4</v>
      </c>
      <c r="M1366" s="48" t="s">
        <v>29</v>
      </c>
      <c r="N1366" s="42" t="s">
        <v>2405</v>
      </c>
      <c r="O1366" s="43">
        <v>44274</v>
      </c>
      <c r="P1366" s="42" t="s">
        <v>36</v>
      </c>
      <c r="Q1366" s="42">
        <v>24.2</v>
      </c>
      <c r="R1366" s="46" t="s">
        <v>31</v>
      </c>
      <c r="S1366" s="43">
        <v>44274</v>
      </c>
      <c r="T1366" s="51">
        <f t="shared" si="52"/>
        <v>3</v>
      </c>
      <c r="U1366" s="52" t="str">
        <f t="shared" si="51"/>
        <v>Não Detectável</v>
      </c>
    </row>
    <row r="1367" spans="1:21" ht="25.5" customHeight="1" x14ac:dyDescent="0.2">
      <c r="A1367" s="51">
        <v>1366</v>
      </c>
      <c r="B1367" s="59" t="s">
        <v>2407</v>
      </c>
      <c r="C1367" s="57">
        <v>47</v>
      </c>
      <c r="D1367" s="57" t="s">
        <v>25</v>
      </c>
      <c r="E1367" s="58" t="s">
        <v>2399</v>
      </c>
      <c r="F1367" s="56" t="s">
        <v>60</v>
      </c>
      <c r="G1367" s="57">
        <v>496</v>
      </c>
      <c r="H1367" s="58">
        <v>44273</v>
      </c>
      <c r="I1367" s="42" t="s">
        <v>2381</v>
      </c>
      <c r="J1367" s="43">
        <v>44273</v>
      </c>
      <c r="K1367" s="42">
        <v>15.8</v>
      </c>
      <c r="L1367" s="42">
        <v>25.4</v>
      </c>
      <c r="M1367" s="48" t="s">
        <v>29</v>
      </c>
      <c r="N1367" s="42" t="s">
        <v>2405</v>
      </c>
      <c r="O1367" s="43">
        <v>44274</v>
      </c>
      <c r="P1367" s="42">
        <v>13.9</v>
      </c>
      <c r="Q1367" s="42">
        <v>26.8</v>
      </c>
      <c r="R1367" s="46" t="s">
        <v>29</v>
      </c>
      <c r="S1367" s="43">
        <v>44274</v>
      </c>
      <c r="T1367" s="51">
        <f t="shared" si="52"/>
        <v>3</v>
      </c>
      <c r="U1367" s="52" t="str">
        <f t="shared" si="51"/>
        <v>Detectável</v>
      </c>
    </row>
    <row r="1368" spans="1:21" ht="25.5" customHeight="1" x14ac:dyDescent="0.2">
      <c r="A1368" s="51">
        <v>1367</v>
      </c>
      <c r="B1368" s="59" t="s">
        <v>2408</v>
      </c>
      <c r="C1368" s="57">
        <v>49</v>
      </c>
      <c r="D1368" s="57" t="s">
        <v>34</v>
      </c>
      <c r="E1368" s="58" t="s">
        <v>2399</v>
      </c>
      <c r="F1368" s="56" t="s">
        <v>60</v>
      </c>
      <c r="G1368" s="57">
        <v>497</v>
      </c>
      <c r="H1368" s="58">
        <v>44273</v>
      </c>
      <c r="I1368" s="42" t="s">
        <v>2405</v>
      </c>
      <c r="J1368" s="43">
        <v>44274</v>
      </c>
      <c r="K1368" s="42">
        <v>19.3</v>
      </c>
      <c r="L1368" s="42">
        <v>27.2</v>
      </c>
      <c r="M1368" s="48" t="s">
        <v>29</v>
      </c>
      <c r="N1368" s="42" t="s">
        <v>2409</v>
      </c>
      <c r="O1368" s="43">
        <v>44274</v>
      </c>
      <c r="P1368" s="42">
        <v>36.799999999999997</v>
      </c>
      <c r="Q1368" s="42">
        <v>27.6</v>
      </c>
      <c r="R1368" s="46" t="s">
        <v>201</v>
      </c>
      <c r="S1368" s="43">
        <v>44274</v>
      </c>
      <c r="T1368" s="51">
        <f t="shared" si="52"/>
        <v>3</v>
      </c>
      <c r="U1368" s="52" t="str">
        <f t="shared" si="51"/>
        <v>Inconclusivo</v>
      </c>
    </row>
    <row r="1369" spans="1:21" ht="25.5" customHeight="1" x14ac:dyDescent="0.2">
      <c r="A1369" s="51">
        <v>1368</v>
      </c>
      <c r="B1369" s="59" t="s">
        <v>2410</v>
      </c>
      <c r="C1369" s="57">
        <v>74</v>
      </c>
      <c r="D1369" s="57" t="s">
        <v>34</v>
      </c>
      <c r="E1369" s="58" t="s">
        <v>2411</v>
      </c>
      <c r="F1369" s="56" t="s">
        <v>60</v>
      </c>
      <c r="G1369" s="57">
        <v>497</v>
      </c>
      <c r="H1369" s="58">
        <v>44274</v>
      </c>
      <c r="I1369" s="42" t="s">
        <v>2405</v>
      </c>
      <c r="J1369" s="43">
        <v>44274</v>
      </c>
      <c r="K1369" s="42">
        <v>19.3</v>
      </c>
      <c r="L1369" s="42">
        <v>27.2</v>
      </c>
      <c r="M1369" s="48" t="s">
        <v>29</v>
      </c>
      <c r="N1369" s="42" t="s">
        <v>2409</v>
      </c>
      <c r="O1369" s="43">
        <v>44274</v>
      </c>
      <c r="P1369" s="42">
        <v>18.600000000000001</v>
      </c>
      <c r="Q1369" s="42">
        <v>26.6</v>
      </c>
      <c r="R1369" s="46" t="s">
        <v>29</v>
      </c>
      <c r="S1369" s="43">
        <v>44274</v>
      </c>
      <c r="T1369" s="51">
        <f t="shared" si="52"/>
        <v>3</v>
      </c>
      <c r="U1369" s="52" t="str">
        <f t="shared" si="51"/>
        <v>Detectável</v>
      </c>
    </row>
    <row r="1370" spans="1:21" ht="25.5" customHeight="1" x14ac:dyDescent="0.2">
      <c r="A1370" s="51">
        <v>1369</v>
      </c>
      <c r="B1370" s="59" t="s">
        <v>2412</v>
      </c>
      <c r="C1370" s="57">
        <v>15</v>
      </c>
      <c r="D1370" s="57" t="s">
        <v>34</v>
      </c>
      <c r="E1370" s="58" t="s">
        <v>2411</v>
      </c>
      <c r="F1370" s="56" t="s">
        <v>60</v>
      </c>
      <c r="G1370" s="57">
        <v>497</v>
      </c>
      <c r="H1370" s="58">
        <v>44274</v>
      </c>
      <c r="I1370" s="42" t="s">
        <v>2405</v>
      </c>
      <c r="J1370" s="43">
        <v>44274</v>
      </c>
      <c r="K1370" s="42">
        <v>19.3</v>
      </c>
      <c r="L1370" s="42">
        <v>27.2</v>
      </c>
      <c r="M1370" s="48" t="s">
        <v>29</v>
      </c>
      <c r="N1370" s="42" t="s">
        <v>2409</v>
      </c>
      <c r="O1370" s="43">
        <v>44274</v>
      </c>
      <c r="P1370" s="42">
        <v>17.2</v>
      </c>
      <c r="Q1370" s="42">
        <v>27.2</v>
      </c>
      <c r="R1370" s="46" t="s">
        <v>29</v>
      </c>
      <c r="S1370" s="43">
        <v>44274</v>
      </c>
      <c r="T1370" s="51">
        <f t="shared" si="52"/>
        <v>3</v>
      </c>
      <c r="U1370" s="52" t="str">
        <f t="shared" si="51"/>
        <v>Detectável</v>
      </c>
    </row>
    <row r="1371" spans="1:21" ht="25.5" customHeight="1" x14ac:dyDescent="0.2">
      <c r="A1371" s="51">
        <v>1370</v>
      </c>
      <c r="B1371" s="59" t="s">
        <v>2413</v>
      </c>
      <c r="C1371" s="57">
        <v>35</v>
      </c>
      <c r="D1371" s="57" t="s">
        <v>25</v>
      </c>
      <c r="E1371" s="58" t="s">
        <v>2411</v>
      </c>
      <c r="F1371" s="56" t="s">
        <v>60</v>
      </c>
      <c r="G1371" s="57">
        <v>498</v>
      </c>
      <c r="H1371" s="58">
        <v>44274</v>
      </c>
      <c r="I1371" s="42" t="s">
        <v>2405</v>
      </c>
      <c r="J1371" s="43">
        <v>44274</v>
      </c>
      <c r="K1371" s="42" t="s">
        <v>36</v>
      </c>
      <c r="L1371" s="42">
        <v>28.4</v>
      </c>
      <c r="M1371" s="45" t="s">
        <v>31</v>
      </c>
      <c r="N1371" s="42" t="s">
        <v>60</v>
      </c>
      <c r="O1371" s="43" t="s">
        <v>60</v>
      </c>
      <c r="P1371" s="42" t="s">
        <v>60</v>
      </c>
      <c r="Q1371" s="42" t="s">
        <v>60</v>
      </c>
      <c r="R1371" s="46" t="s">
        <v>60</v>
      </c>
      <c r="S1371" s="43">
        <v>44274</v>
      </c>
      <c r="T1371" s="51">
        <f t="shared" si="52"/>
        <v>3</v>
      </c>
      <c r="U1371" s="52" t="str">
        <f t="shared" si="51"/>
        <v>Não Detectável</v>
      </c>
    </row>
    <row r="1372" spans="1:21" ht="25.5" customHeight="1" x14ac:dyDescent="0.2">
      <c r="A1372" s="51">
        <v>1371</v>
      </c>
      <c r="B1372" s="59" t="s">
        <v>2414</v>
      </c>
      <c r="C1372" s="57">
        <v>49</v>
      </c>
      <c r="D1372" s="57" t="s">
        <v>25</v>
      </c>
      <c r="E1372" s="58" t="s">
        <v>2411</v>
      </c>
      <c r="F1372" s="56" t="s">
        <v>60</v>
      </c>
      <c r="G1372" s="57">
        <v>498</v>
      </c>
      <c r="H1372" s="58">
        <v>44274</v>
      </c>
      <c r="I1372" s="42" t="s">
        <v>2405</v>
      </c>
      <c r="J1372" s="43">
        <v>44274</v>
      </c>
      <c r="K1372" s="42" t="s">
        <v>36</v>
      </c>
      <c r="L1372" s="42">
        <v>28.4</v>
      </c>
      <c r="M1372" s="45" t="s">
        <v>31</v>
      </c>
      <c r="N1372" s="42" t="s">
        <v>60</v>
      </c>
      <c r="O1372" s="43" t="s">
        <v>60</v>
      </c>
      <c r="P1372" s="42" t="s">
        <v>60</v>
      </c>
      <c r="Q1372" s="42" t="s">
        <v>60</v>
      </c>
      <c r="R1372" s="46" t="s">
        <v>60</v>
      </c>
      <c r="S1372" s="43">
        <v>44274</v>
      </c>
      <c r="T1372" s="51">
        <f t="shared" si="52"/>
        <v>3</v>
      </c>
      <c r="U1372" s="52" t="str">
        <f t="shared" si="51"/>
        <v>Não Detectável</v>
      </c>
    </row>
    <row r="1373" spans="1:21" ht="25.5" customHeight="1" x14ac:dyDescent="0.2">
      <c r="A1373" s="51">
        <v>1372</v>
      </c>
      <c r="B1373" s="59" t="s">
        <v>2415</v>
      </c>
      <c r="C1373" s="57">
        <v>25</v>
      </c>
      <c r="D1373" s="57" t="s">
        <v>25</v>
      </c>
      <c r="E1373" s="58" t="s">
        <v>2411</v>
      </c>
      <c r="F1373" s="56" t="s">
        <v>60</v>
      </c>
      <c r="G1373" s="57">
        <v>498</v>
      </c>
      <c r="H1373" s="58">
        <v>44274</v>
      </c>
      <c r="I1373" s="42" t="s">
        <v>2405</v>
      </c>
      <c r="J1373" s="43">
        <v>44274</v>
      </c>
      <c r="K1373" s="42" t="s">
        <v>36</v>
      </c>
      <c r="L1373" s="42">
        <v>28.4</v>
      </c>
      <c r="M1373" s="45" t="s">
        <v>31</v>
      </c>
      <c r="N1373" s="42" t="s">
        <v>60</v>
      </c>
      <c r="O1373" s="43" t="s">
        <v>60</v>
      </c>
      <c r="P1373" s="42" t="s">
        <v>60</v>
      </c>
      <c r="Q1373" s="42" t="s">
        <v>60</v>
      </c>
      <c r="R1373" s="46" t="s">
        <v>60</v>
      </c>
      <c r="S1373" s="43">
        <v>44274</v>
      </c>
      <c r="T1373" s="51">
        <f t="shared" si="52"/>
        <v>3</v>
      </c>
      <c r="U1373" s="52" t="str">
        <f t="shared" si="51"/>
        <v>Não Detectável</v>
      </c>
    </row>
    <row r="1374" spans="1:21" ht="25.5" customHeight="1" x14ac:dyDescent="0.2">
      <c r="A1374" s="51">
        <v>1373</v>
      </c>
      <c r="B1374" s="59" t="s">
        <v>2416</v>
      </c>
      <c r="C1374" s="57">
        <v>32</v>
      </c>
      <c r="D1374" s="57" t="s">
        <v>25</v>
      </c>
      <c r="E1374" s="58" t="s">
        <v>2411</v>
      </c>
      <c r="F1374" s="56" t="s">
        <v>60</v>
      </c>
      <c r="G1374" s="57">
        <v>499</v>
      </c>
      <c r="H1374" s="58">
        <v>44274</v>
      </c>
      <c r="I1374" s="42" t="s">
        <v>2405</v>
      </c>
      <c r="J1374" s="43">
        <v>44274</v>
      </c>
      <c r="K1374" s="42" t="s">
        <v>36</v>
      </c>
      <c r="L1374" s="42">
        <v>27.2</v>
      </c>
      <c r="M1374" s="45" t="s">
        <v>31</v>
      </c>
      <c r="N1374" s="42" t="s">
        <v>60</v>
      </c>
      <c r="O1374" s="43" t="s">
        <v>60</v>
      </c>
      <c r="P1374" s="42" t="s">
        <v>60</v>
      </c>
      <c r="Q1374" s="42" t="s">
        <v>60</v>
      </c>
      <c r="R1374" s="46" t="s">
        <v>60</v>
      </c>
      <c r="S1374" s="43">
        <v>44274</v>
      </c>
      <c r="T1374" s="51">
        <f t="shared" si="52"/>
        <v>3</v>
      </c>
      <c r="U1374" s="52" t="str">
        <f t="shared" si="51"/>
        <v>Não Detectável</v>
      </c>
    </row>
    <row r="1375" spans="1:21" ht="25.5" customHeight="1" x14ac:dyDescent="0.2">
      <c r="A1375" s="51">
        <v>1374</v>
      </c>
      <c r="B1375" s="59" t="s">
        <v>2417</v>
      </c>
      <c r="C1375" s="57">
        <v>24</v>
      </c>
      <c r="D1375" s="57" t="s">
        <v>34</v>
      </c>
      <c r="E1375" s="58" t="s">
        <v>2411</v>
      </c>
      <c r="F1375" s="56" t="s">
        <v>60</v>
      </c>
      <c r="G1375" s="57">
        <v>499</v>
      </c>
      <c r="H1375" s="58">
        <v>44274</v>
      </c>
      <c r="I1375" s="42" t="s">
        <v>2405</v>
      </c>
      <c r="J1375" s="43">
        <v>44274</v>
      </c>
      <c r="K1375" s="42" t="s">
        <v>36</v>
      </c>
      <c r="L1375" s="42">
        <v>27.2</v>
      </c>
      <c r="M1375" s="45" t="s">
        <v>31</v>
      </c>
      <c r="N1375" s="42" t="s">
        <v>60</v>
      </c>
      <c r="O1375" s="43" t="s">
        <v>60</v>
      </c>
      <c r="P1375" s="42" t="s">
        <v>60</v>
      </c>
      <c r="Q1375" s="42" t="s">
        <v>60</v>
      </c>
      <c r="R1375" s="46" t="s">
        <v>60</v>
      </c>
      <c r="S1375" s="43">
        <v>44274</v>
      </c>
      <c r="T1375" s="51">
        <f t="shared" si="52"/>
        <v>3</v>
      </c>
      <c r="U1375" s="52" t="str">
        <f t="shared" si="51"/>
        <v>Não Detectável</v>
      </c>
    </row>
    <row r="1376" spans="1:21" ht="25.5" customHeight="1" x14ac:dyDescent="0.2">
      <c r="A1376" s="51">
        <v>1375</v>
      </c>
      <c r="B1376" s="59" t="s">
        <v>2418</v>
      </c>
      <c r="C1376" s="57">
        <v>39</v>
      </c>
      <c r="D1376" s="57" t="s">
        <v>25</v>
      </c>
      <c r="E1376" s="58" t="s">
        <v>2411</v>
      </c>
      <c r="F1376" s="56" t="s">
        <v>60</v>
      </c>
      <c r="G1376" s="57">
        <v>499</v>
      </c>
      <c r="H1376" s="58">
        <v>44274</v>
      </c>
      <c r="I1376" s="42" t="s">
        <v>2405</v>
      </c>
      <c r="J1376" s="43">
        <v>44274</v>
      </c>
      <c r="K1376" s="42" t="s">
        <v>36</v>
      </c>
      <c r="L1376" s="42">
        <v>27.2</v>
      </c>
      <c r="M1376" s="45" t="s">
        <v>31</v>
      </c>
      <c r="N1376" s="42" t="s">
        <v>60</v>
      </c>
      <c r="O1376" s="43" t="s">
        <v>60</v>
      </c>
      <c r="P1376" s="42" t="s">
        <v>60</v>
      </c>
      <c r="Q1376" s="42" t="s">
        <v>60</v>
      </c>
      <c r="R1376" s="46" t="s">
        <v>60</v>
      </c>
      <c r="S1376" s="43">
        <v>44274</v>
      </c>
      <c r="T1376" s="51">
        <f t="shared" si="52"/>
        <v>3</v>
      </c>
      <c r="U1376" s="52" t="str">
        <f t="shared" si="51"/>
        <v>Não Detectável</v>
      </c>
    </row>
    <row r="1377" spans="1:21" ht="25.5" customHeight="1" x14ac:dyDescent="0.2">
      <c r="A1377" s="51">
        <v>1376</v>
      </c>
      <c r="B1377" s="59" t="s">
        <v>2419</v>
      </c>
      <c r="C1377" s="57">
        <v>27</v>
      </c>
      <c r="D1377" s="57" t="s">
        <v>25</v>
      </c>
      <c r="E1377" s="58" t="s">
        <v>2411</v>
      </c>
      <c r="F1377" s="56" t="s">
        <v>60</v>
      </c>
      <c r="G1377" s="57">
        <v>500</v>
      </c>
      <c r="H1377" s="58">
        <v>44274</v>
      </c>
      <c r="I1377" s="42" t="s">
        <v>2405</v>
      </c>
      <c r="J1377" s="43">
        <v>44274</v>
      </c>
      <c r="K1377" s="42">
        <v>19.100000000000001</v>
      </c>
      <c r="L1377" s="42">
        <v>28.7</v>
      </c>
      <c r="M1377" s="48" t="s">
        <v>29</v>
      </c>
      <c r="N1377" s="42" t="s">
        <v>2409</v>
      </c>
      <c r="O1377" s="43">
        <v>44274</v>
      </c>
      <c r="P1377" s="42">
        <v>16.3</v>
      </c>
      <c r="Q1377" s="42">
        <v>27.6</v>
      </c>
      <c r="R1377" s="46" t="s">
        <v>29</v>
      </c>
      <c r="S1377" s="43">
        <v>44274</v>
      </c>
      <c r="T1377" s="51">
        <f t="shared" si="52"/>
        <v>3</v>
      </c>
      <c r="U1377" s="52" t="str">
        <f t="shared" si="51"/>
        <v>Detectável</v>
      </c>
    </row>
    <row r="1378" spans="1:21" ht="25.5" customHeight="1" x14ac:dyDescent="0.2">
      <c r="A1378" s="51">
        <v>1377</v>
      </c>
      <c r="B1378" s="59" t="s">
        <v>2420</v>
      </c>
      <c r="C1378" s="57">
        <v>41</v>
      </c>
      <c r="D1378" s="57" t="s">
        <v>25</v>
      </c>
      <c r="E1378" s="58" t="s">
        <v>2411</v>
      </c>
      <c r="F1378" s="56" t="s">
        <v>60</v>
      </c>
      <c r="G1378" s="57">
        <v>500</v>
      </c>
      <c r="H1378" s="58">
        <v>44274</v>
      </c>
      <c r="I1378" s="42" t="s">
        <v>2405</v>
      </c>
      <c r="J1378" s="43">
        <v>44274</v>
      </c>
      <c r="K1378" s="42">
        <v>19.100000000000001</v>
      </c>
      <c r="L1378" s="42">
        <v>28.7</v>
      </c>
      <c r="M1378" s="48" t="s">
        <v>29</v>
      </c>
      <c r="N1378" s="42" t="s">
        <v>2409</v>
      </c>
      <c r="O1378" s="43">
        <v>44274</v>
      </c>
      <c r="P1378" s="42" t="s">
        <v>36</v>
      </c>
      <c r="Q1378" s="42">
        <v>28</v>
      </c>
      <c r="R1378" s="46" t="s">
        <v>31</v>
      </c>
      <c r="S1378" s="43">
        <v>44274</v>
      </c>
      <c r="T1378" s="51">
        <f t="shared" si="52"/>
        <v>3</v>
      </c>
      <c r="U1378" s="52" t="str">
        <f t="shared" si="51"/>
        <v>Não Detectável</v>
      </c>
    </row>
    <row r="1379" spans="1:21" ht="25.5" customHeight="1" x14ac:dyDescent="0.2">
      <c r="A1379" s="51">
        <v>1378</v>
      </c>
      <c r="B1379" s="59" t="s">
        <v>2421</v>
      </c>
      <c r="C1379" s="57">
        <v>49</v>
      </c>
      <c r="D1379" s="57" t="s">
        <v>25</v>
      </c>
      <c r="E1379" s="58" t="s">
        <v>2411</v>
      </c>
      <c r="F1379" s="56" t="s">
        <v>60</v>
      </c>
      <c r="G1379" s="57">
        <v>500</v>
      </c>
      <c r="H1379" s="58">
        <v>44274</v>
      </c>
      <c r="I1379" s="42" t="s">
        <v>2405</v>
      </c>
      <c r="J1379" s="43">
        <v>44274</v>
      </c>
      <c r="K1379" s="42">
        <v>19.100000000000001</v>
      </c>
      <c r="L1379" s="42">
        <v>28.7</v>
      </c>
      <c r="M1379" s="48" t="s">
        <v>29</v>
      </c>
      <c r="N1379" s="42" t="s">
        <v>2409</v>
      </c>
      <c r="O1379" s="43">
        <v>44274</v>
      </c>
      <c r="P1379" s="42">
        <v>29.8</v>
      </c>
      <c r="Q1379" s="42">
        <v>27.7</v>
      </c>
      <c r="R1379" s="46" t="s">
        <v>29</v>
      </c>
      <c r="S1379" s="43">
        <v>44274</v>
      </c>
      <c r="T1379" s="51">
        <f t="shared" si="52"/>
        <v>3</v>
      </c>
      <c r="U1379" s="52" t="str">
        <f t="shared" si="51"/>
        <v>Detectável</v>
      </c>
    </row>
    <row r="1380" spans="1:21" ht="25.5" customHeight="1" x14ac:dyDescent="0.2">
      <c r="A1380" s="51">
        <v>1379</v>
      </c>
      <c r="B1380" s="59" t="s">
        <v>2422</v>
      </c>
      <c r="C1380" s="57">
        <v>16</v>
      </c>
      <c r="D1380" s="57" t="s">
        <v>25</v>
      </c>
      <c r="E1380" s="58" t="s">
        <v>2423</v>
      </c>
      <c r="F1380" s="56" t="s">
        <v>60</v>
      </c>
      <c r="G1380" s="57">
        <v>501</v>
      </c>
      <c r="H1380" s="58">
        <v>44277</v>
      </c>
      <c r="I1380" s="42" t="s">
        <v>2424</v>
      </c>
      <c r="J1380" s="43">
        <v>44277</v>
      </c>
      <c r="K1380" s="42" t="s">
        <v>36</v>
      </c>
      <c r="L1380" s="42">
        <v>26.7</v>
      </c>
      <c r="M1380" s="45" t="s">
        <v>31</v>
      </c>
      <c r="N1380" s="42" t="s">
        <v>60</v>
      </c>
      <c r="O1380" s="43" t="s">
        <v>60</v>
      </c>
      <c r="P1380" s="42" t="s">
        <v>60</v>
      </c>
      <c r="Q1380" s="42" t="s">
        <v>60</v>
      </c>
      <c r="R1380" s="46" t="s">
        <v>60</v>
      </c>
      <c r="S1380" s="43">
        <v>44277</v>
      </c>
      <c r="T1380" s="51">
        <f t="shared" si="52"/>
        <v>3</v>
      </c>
      <c r="U1380" s="52" t="str">
        <f t="shared" si="51"/>
        <v>Não Detectável</v>
      </c>
    </row>
    <row r="1381" spans="1:21" ht="25.5" customHeight="1" x14ac:dyDescent="0.2">
      <c r="A1381" s="51">
        <v>1380</v>
      </c>
      <c r="B1381" s="59" t="s">
        <v>2425</v>
      </c>
      <c r="C1381" s="57">
        <v>21</v>
      </c>
      <c r="D1381" s="57" t="s">
        <v>34</v>
      </c>
      <c r="E1381" s="58" t="s">
        <v>2423</v>
      </c>
      <c r="F1381" s="56" t="s">
        <v>60</v>
      </c>
      <c r="G1381" s="57">
        <v>501</v>
      </c>
      <c r="H1381" s="58">
        <v>44277</v>
      </c>
      <c r="I1381" s="42" t="s">
        <v>2424</v>
      </c>
      <c r="J1381" s="43">
        <v>44277</v>
      </c>
      <c r="K1381" s="42" t="s">
        <v>36</v>
      </c>
      <c r="L1381" s="42">
        <v>26.7</v>
      </c>
      <c r="M1381" s="45" t="s">
        <v>31</v>
      </c>
      <c r="N1381" s="42" t="s">
        <v>60</v>
      </c>
      <c r="O1381" s="43" t="s">
        <v>60</v>
      </c>
      <c r="P1381" s="42" t="s">
        <v>60</v>
      </c>
      <c r="Q1381" s="42" t="s">
        <v>60</v>
      </c>
      <c r="R1381" s="46" t="s">
        <v>60</v>
      </c>
      <c r="S1381" s="43">
        <v>44277</v>
      </c>
      <c r="T1381" s="51">
        <f t="shared" si="52"/>
        <v>3</v>
      </c>
      <c r="U1381" s="52" t="str">
        <f t="shared" si="51"/>
        <v>Não Detectável</v>
      </c>
    </row>
    <row r="1382" spans="1:21" ht="25.5" customHeight="1" x14ac:dyDescent="0.2">
      <c r="A1382" s="51">
        <v>1381</v>
      </c>
      <c r="B1382" s="59" t="s">
        <v>2426</v>
      </c>
      <c r="C1382" s="57">
        <v>22</v>
      </c>
      <c r="D1382" s="57" t="s">
        <v>25</v>
      </c>
      <c r="E1382" s="58" t="s">
        <v>2423</v>
      </c>
      <c r="F1382" s="56" t="s">
        <v>60</v>
      </c>
      <c r="G1382" s="57">
        <v>501</v>
      </c>
      <c r="H1382" s="58">
        <v>44277</v>
      </c>
      <c r="I1382" s="42" t="s">
        <v>2424</v>
      </c>
      <c r="J1382" s="43">
        <v>44277</v>
      </c>
      <c r="K1382" s="42" t="s">
        <v>36</v>
      </c>
      <c r="L1382" s="42">
        <v>26.7</v>
      </c>
      <c r="M1382" s="45" t="s">
        <v>31</v>
      </c>
      <c r="N1382" s="42" t="s">
        <v>60</v>
      </c>
      <c r="O1382" s="43" t="s">
        <v>60</v>
      </c>
      <c r="P1382" s="42" t="s">
        <v>60</v>
      </c>
      <c r="Q1382" s="42" t="s">
        <v>60</v>
      </c>
      <c r="R1382" s="46" t="s">
        <v>60</v>
      </c>
      <c r="S1382" s="43">
        <v>44277</v>
      </c>
      <c r="T1382" s="51">
        <f t="shared" si="52"/>
        <v>3</v>
      </c>
      <c r="U1382" s="52" t="str">
        <f t="shared" si="51"/>
        <v>Não Detectável</v>
      </c>
    </row>
    <row r="1383" spans="1:21" ht="25.5" customHeight="1" x14ac:dyDescent="0.2">
      <c r="A1383" s="51">
        <v>1382</v>
      </c>
      <c r="B1383" s="59" t="s">
        <v>2427</v>
      </c>
      <c r="C1383" s="57">
        <v>67</v>
      </c>
      <c r="D1383" s="57" t="s">
        <v>25</v>
      </c>
      <c r="E1383" s="58" t="s">
        <v>2423</v>
      </c>
      <c r="F1383" s="56" t="s">
        <v>60</v>
      </c>
      <c r="G1383" s="57">
        <v>502</v>
      </c>
      <c r="H1383" s="58">
        <v>44277</v>
      </c>
      <c r="I1383" s="42" t="s">
        <v>2424</v>
      </c>
      <c r="J1383" s="43">
        <v>44277</v>
      </c>
      <c r="K1383" s="42">
        <v>15.8</v>
      </c>
      <c r="L1383" s="42">
        <v>26.4</v>
      </c>
      <c r="M1383" s="48" t="s">
        <v>29</v>
      </c>
      <c r="N1383" s="42" t="s">
        <v>2428</v>
      </c>
      <c r="O1383" s="43">
        <v>44277</v>
      </c>
      <c r="P1383" s="42">
        <v>28.3</v>
      </c>
      <c r="Q1383" s="42">
        <v>26.3</v>
      </c>
      <c r="R1383" s="46" t="s">
        <v>29</v>
      </c>
      <c r="S1383" s="43">
        <v>44277</v>
      </c>
      <c r="T1383" s="51">
        <f t="shared" si="52"/>
        <v>3</v>
      </c>
      <c r="U1383" s="52" t="str">
        <f t="shared" si="51"/>
        <v>Detectável</v>
      </c>
    </row>
    <row r="1384" spans="1:21" ht="25.5" customHeight="1" x14ac:dyDescent="0.2">
      <c r="A1384" s="51">
        <v>1383</v>
      </c>
      <c r="B1384" s="59" t="s">
        <v>2429</v>
      </c>
      <c r="C1384" s="57">
        <v>28</v>
      </c>
      <c r="D1384" s="57" t="s">
        <v>25</v>
      </c>
      <c r="E1384" s="58" t="s">
        <v>2423</v>
      </c>
      <c r="F1384" s="56" t="s">
        <v>60</v>
      </c>
      <c r="G1384" s="57">
        <v>502</v>
      </c>
      <c r="H1384" s="58">
        <v>44277</v>
      </c>
      <c r="I1384" s="42" t="s">
        <v>2424</v>
      </c>
      <c r="J1384" s="43">
        <v>44277</v>
      </c>
      <c r="K1384" s="42">
        <v>15.8</v>
      </c>
      <c r="L1384" s="42">
        <v>26.4</v>
      </c>
      <c r="M1384" s="48" t="s">
        <v>29</v>
      </c>
      <c r="N1384" s="42" t="s">
        <v>2428</v>
      </c>
      <c r="O1384" s="43">
        <v>44277</v>
      </c>
      <c r="P1384" s="42">
        <v>12.7</v>
      </c>
      <c r="Q1384" s="42">
        <v>28.3</v>
      </c>
      <c r="R1384" s="46" t="s">
        <v>29</v>
      </c>
      <c r="S1384" s="43">
        <v>44277</v>
      </c>
      <c r="T1384" s="51">
        <f t="shared" si="52"/>
        <v>3</v>
      </c>
      <c r="U1384" s="52" t="str">
        <f t="shared" si="51"/>
        <v>Detectável</v>
      </c>
    </row>
    <row r="1385" spans="1:21" ht="25.5" customHeight="1" x14ac:dyDescent="0.2">
      <c r="A1385" s="51">
        <v>1384</v>
      </c>
      <c r="B1385" s="59" t="s">
        <v>2430</v>
      </c>
      <c r="C1385" s="57">
        <v>19</v>
      </c>
      <c r="D1385" s="57" t="s">
        <v>34</v>
      </c>
      <c r="E1385" s="58" t="s">
        <v>2423</v>
      </c>
      <c r="F1385" s="56" t="s">
        <v>60</v>
      </c>
      <c r="G1385" s="57">
        <v>502</v>
      </c>
      <c r="H1385" s="58">
        <v>44277</v>
      </c>
      <c r="I1385" s="42" t="s">
        <v>2424</v>
      </c>
      <c r="J1385" s="43">
        <v>44277</v>
      </c>
      <c r="K1385" s="42">
        <v>15.8</v>
      </c>
      <c r="L1385" s="42">
        <v>26.4</v>
      </c>
      <c r="M1385" s="48" t="s">
        <v>29</v>
      </c>
      <c r="N1385" s="42" t="s">
        <v>2428</v>
      </c>
      <c r="O1385" s="43">
        <v>44277</v>
      </c>
      <c r="P1385" s="42">
        <v>27.2</v>
      </c>
      <c r="Q1385" s="42">
        <v>26.7</v>
      </c>
      <c r="R1385" s="46" t="s">
        <v>29</v>
      </c>
      <c r="S1385" s="43">
        <v>44277</v>
      </c>
      <c r="T1385" s="51">
        <f t="shared" si="52"/>
        <v>3</v>
      </c>
      <c r="U1385" s="52" t="str">
        <f t="shared" si="51"/>
        <v>Detectável</v>
      </c>
    </row>
    <row r="1386" spans="1:21" ht="25.5" customHeight="1" x14ac:dyDescent="0.2">
      <c r="A1386" s="51">
        <v>1385</v>
      </c>
      <c r="B1386" s="59" t="s">
        <v>2431</v>
      </c>
      <c r="C1386" s="57">
        <v>40</v>
      </c>
      <c r="D1386" s="57" t="s">
        <v>2067</v>
      </c>
      <c r="E1386" s="58" t="s">
        <v>2423</v>
      </c>
      <c r="F1386" s="56" t="s">
        <v>60</v>
      </c>
      <c r="G1386" s="57">
        <v>503</v>
      </c>
      <c r="H1386" s="58">
        <v>44277</v>
      </c>
      <c r="I1386" s="42" t="s">
        <v>2424</v>
      </c>
      <c r="J1386" s="43">
        <v>44277</v>
      </c>
      <c r="K1386" s="42">
        <v>16.600000000000001</v>
      </c>
      <c r="L1386" s="42">
        <v>27.8</v>
      </c>
      <c r="M1386" s="48" t="s">
        <v>29</v>
      </c>
      <c r="N1386" s="42" t="s">
        <v>2428</v>
      </c>
      <c r="O1386" s="43">
        <v>44277</v>
      </c>
      <c r="P1386" s="42" t="s">
        <v>36</v>
      </c>
      <c r="Q1386" s="42">
        <v>31</v>
      </c>
      <c r="R1386" s="46" t="s">
        <v>31</v>
      </c>
      <c r="S1386" s="43">
        <v>44277</v>
      </c>
      <c r="T1386" s="51">
        <f t="shared" si="52"/>
        <v>3</v>
      </c>
      <c r="U1386" s="52" t="str">
        <f t="shared" si="51"/>
        <v>Não Detectável</v>
      </c>
    </row>
    <row r="1387" spans="1:21" ht="25.5" customHeight="1" x14ac:dyDescent="0.2">
      <c r="A1387" s="51">
        <v>1386</v>
      </c>
      <c r="B1387" s="59" t="s">
        <v>2432</v>
      </c>
      <c r="C1387" s="57">
        <v>53</v>
      </c>
      <c r="D1387" s="57" t="s">
        <v>25</v>
      </c>
      <c r="E1387" s="58" t="s">
        <v>2423</v>
      </c>
      <c r="F1387" s="56" t="s">
        <v>60</v>
      </c>
      <c r="G1387" s="57">
        <v>503</v>
      </c>
      <c r="H1387" s="58">
        <v>44277</v>
      </c>
      <c r="I1387" s="42" t="s">
        <v>2424</v>
      </c>
      <c r="J1387" s="43">
        <v>44277</v>
      </c>
      <c r="K1387" s="42">
        <v>16.600000000000001</v>
      </c>
      <c r="L1387" s="42">
        <v>27.8</v>
      </c>
      <c r="M1387" s="48" t="s">
        <v>29</v>
      </c>
      <c r="N1387" s="42" t="s">
        <v>2428</v>
      </c>
      <c r="O1387" s="43">
        <v>44277</v>
      </c>
      <c r="P1387" s="42">
        <v>14.4</v>
      </c>
      <c r="Q1387" s="42">
        <v>27.4</v>
      </c>
      <c r="R1387" s="46" t="s">
        <v>29</v>
      </c>
      <c r="S1387" s="43">
        <v>44277</v>
      </c>
      <c r="T1387" s="51">
        <f t="shared" si="52"/>
        <v>3</v>
      </c>
      <c r="U1387" s="52" t="str">
        <f t="shared" si="51"/>
        <v>Detectável</v>
      </c>
    </row>
    <row r="1388" spans="1:21" ht="25.5" customHeight="1" x14ac:dyDescent="0.2">
      <c r="A1388" s="51">
        <v>1387</v>
      </c>
      <c r="B1388" s="59" t="s">
        <v>2433</v>
      </c>
      <c r="C1388" s="57">
        <v>52</v>
      </c>
      <c r="D1388" s="57" t="s">
        <v>25</v>
      </c>
      <c r="E1388" s="58" t="s">
        <v>2423</v>
      </c>
      <c r="F1388" s="56" t="s">
        <v>60</v>
      </c>
      <c r="G1388" s="57">
        <v>503</v>
      </c>
      <c r="H1388" s="58">
        <v>44277</v>
      </c>
      <c r="I1388" s="42" t="s">
        <v>2424</v>
      </c>
      <c r="J1388" s="43">
        <v>44277</v>
      </c>
      <c r="K1388" s="42">
        <v>16.600000000000001</v>
      </c>
      <c r="L1388" s="42">
        <v>27.8</v>
      </c>
      <c r="M1388" s="48" t="s">
        <v>29</v>
      </c>
      <c r="N1388" s="42" t="s">
        <v>2428</v>
      </c>
      <c r="O1388" s="43">
        <v>44277</v>
      </c>
      <c r="P1388" s="42" t="s">
        <v>36</v>
      </c>
      <c r="Q1388" s="42">
        <v>29.1</v>
      </c>
      <c r="R1388" s="46" t="s">
        <v>31</v>
      </c>
      <c r="S1388" s="43">
        <v>44277</v>
      </c>
      <c r="T1388" s="51">
        <f t="shared" si="52"/>
        <v>3</v>
      </c>
      <c r="U1388" s="52" t="str">
        <f t="shared" si="51"/>
        <v>Não Detectável</v>
      </c>
    </row>
    <row r="1389" spans="1:21" ht="25.5" customHeight="1" x14ac:dyDescent="0.2">
      <c r="A1389" s="51">
        <v>1388</v>
      </c>
      <c r="B1389" s="59" t="s">
        <v>2434</v>
      </c>
      <c r="C1389" s="57">
        <v>40</v>
      </c>
      <c r="D1389" s="57" t="s">
        <v>25</v>
      </c>
      <c r="E1389" s="58" t="s">
        <v>2423</v>
      </c>
      <c r="F1389" s="56" t="s">
        <v>60</v>
      </c>
      <c r="G1389" s="57">
        <v>504</v>
      </c>
      <c r="H1389" s="58">
        <v>44277</v>
      </c>
      <c r="I1389" s="42" t="s">
        <v>2424</v>
      </c>
      <c r="J1389" s="43">
        <v>44277</v>
      </c>
      <c r="K1389" s="42">
        <v>18.5</v>
      </c>
      <c r="L1389" s="42">
        <v>28</v>
      </c>
      <c r="M1389" s="48" t="s">
        <v>29</v>
      </c>
      <c r="N1389" s="42" t="s">
        <v>2428</v>
      </c>
      <c r="O1389" s="43">
        <v>44277</v>
      </c>
      <c r="P1389" s="42">
        <v>16.100000000000001</v>
      </c>
      <c r="Q1389" s="42">
        <v>30.5</v>
      </c>
      <c r="R1389" s="46" t="s">
        <v>29</v>
      </c>
      <c r="S1389" s="43">
        <v>44277</v>
      </c>
      <c r="T1389" s="51">
        <f t="shared" si="52"/>
        <v>3</v>
      </c>
      <c r="U1389" s="52" t="str">
        <f t="shared" si="51"/>
        <v>Detectável</v>
      </c>
    </row>
    <row r="1390" spans="1:21" ht="25.5" customHeight="1" x14ac:dyDescent="0.2">
      <c r="A1390" s="51">
        <v>1389</v>
      </c>
      <c r="B1390" s="59" t="s">
        <v>2435</v>
      </c>
      <c r="C1390" s="57">
        <v>26</v>
      </c>
      <c r="D1390" s="57" t="s">
        <v>34</v>
      </c>
      <c r="E1390" s="58" t="s">
        <v>2423</v>
      </c>
      <c r="F1390" s="56" t="s">
        <v>60</v>
      </c>
      <c r="G1390" s="57">
        <v>504</v>
      </c>
      <c r="H1390" s="58">
        <v>44277</v>
      </c>
      <c r="I1390" s="42" t="s">
        <v>2424</v>
      </c>
      <c r="J1390" s="43">
        <v>44277</v>
      </c>
      <c r="K1390" s="42">
        <v>18.5</v>
      </c>
      <c r="L1390" s="42">
        <v>28</v>
      </c>
      <c r="M1390" s="48" t="s">
        <v>29</v>
      </c>
      <c r="N1390" s="42" t="s">
        <v>2428</v>
      </c>
      <c r="O1390" s="43">
        <v>44277</v>
      </c>
      <c r="P1390" s="42" t="s">
        <v>36</v>
      </c>
      <c r="Q1390" s="42">
        <v>26.6</v>
      </c>
      <c r="R1390" s="46" t="s">
        <v>31</v>
      </c>
      <c r="S1390" s="43">
        <v>44277</v>
      </c>
      <c r="T1390" s="51">
        <f t="shared" si="52"/>
        <v>3</v>
      </c>
      <c r="U1390" s="52" t="str">
        <f t="shared" si="51"/>
        <v>Não Detectável</v>
      </c>
    </row>
    <row r="1391" spans="1:21" ht="25.5" customHeight="1" x14ac:dyDescent="0.2">
      <c r="A1391" s="51">
        <v>1390</v>
      </c>
      <c r="B1391" s="59" t="s">
        <v>2436</v>
      </c>
      <c r="C1391" s="57">
        <v>22</v>
      </c>
      <c r="D1391" s="57" t="s">
        <v>25</v>
      </c>
      <c r="E1391" s="58" t="s">
        <v>2423</v>
      </c>
      <c r="F1391" s="56" t="s">
        <v>60</v>
      </c>
      <c r="G1391" s="57">
        <v>504</v>
      </c>
      <c r="H1391" s="58">
        <v>44277</v>
      </c>
      <c r="I1391" s="42" t="s">
        <v>2424</v>
      </c>
      <c r="J1391" s="43">
        <v>44277</v>
      </c>
      <c r="K1391" s="42">
        <v>18.5</v>
      </c>
      <c r="L1391" s="42">
        <v>28</v>
      </c>
      <c r="M1391" s="48" t="s">
        <v>29</v>
      </c>
      <c r="N1391" s="42" t="s">
        <v>2428</v>
      </c>
      <c r="O1391" s="43">
        <v>44277</v>
      </c>
      <c r="P1391" s="42" t="s">
        <v>36</v>
      </c>
      <c r="Q1391" s="42">
        <v>29.1</v>
      </c>
      <c r="R1391" s="46" t="s">
        <v>31</v>
      </c>
      <c r="S1391" s="43">
        <v>44277</v>
      </c>
      <c r="T1391" s="51">
        <f t="shared" si="52"/>
        <v>3</v>
      </c>
      <c r="U1391" s="52" t="str">
        <f t="shared" si="51"/>
        <v>Não Detectável</v>
      </c>
    </row>
    <row r="1392" spans="1:21" ht="25.5" customHeight="1" x14ac:dyDescent="0.2">
      <c r="A1392" s="51">
        <v>1391</v>
      </c>
      <c r="B1392" s="59" t="s">
        <v>2437</v>
      </c>
      <c r="C1392" s="57">
        <v>26</v>
      </c>
      <c r="D1392" s="57" t="s">
        <v>25</v>
      </c>
      <c r="E1392" s="58" t="s">
        <v>2423</v>
      </c>
      <c r="F1392" s="56" t="s">
        <v>60</v>
      </c>
      <c r="G1392" s="57">
        <v>505</v>
      </c>
      <c r="H1392" s="58">
        <v>44277</v>
      </c>
      <c r="I1392" s="42" t="s">
        <v>2424</v>
      </c>
      <c r="J1392" s="43">
        <v>44277</v>
      </c>
      <c r="K1392" s="42">
        <v>37</v>
      </c>
      <c r="L1392" s="42">
        <v>28.1</v>
      </c>
      <c r="M1392" s="48" t="s">
        <v>29</v>
      </c>
      <c r="N1392" s="42" t="s">
        <v>2428</v>
      </c>
      <c r="O1392" s="43">
        <v>44277</v>
      </c>
      <c r="P1392" s="42" t="s">
        <v>36</v>
      </c>
      <c r="Q1392" s="42">
        <v>29.3</v>
      </c>
      <c r="R1392" s="46" t="s">
        <v>31</v>
      </c>
      <c r="S1392" s="43">
        <v>44277</v>
      </c>
      <c r="T1392" s="51">
        <f t="shared" si="52"/>
        <v>3</v>
      </c>
      <c r="U1392" s="52" t="str">
        <f t="shared" si="51"/>
        <v>Não Detectável</v>
      </c>
    </row>
    <row r="1393" spans="1:21" ht="25.5" customHeight="1" x14ac:dyDescent="0.2">
      <c r="A1393" s="51">
        <v>1392</v>
      </c>
      <c r="B1393" s="59" t="s">
        <v>2438</v>
      </c>
      <c r="C1393" s="57">
        <v>55</v>
      </c>
      <c r="D1393" s="57" t="s">
        <v>25</v>
      </c>
      <c r="E1393" s="58" t="s">
        <v>2423</v>
      </c>
      <c r="F1393" s="56" t="s">
        <v>60</v>
      </c>
      <c r="G1393" s="57">
        <v>505</v>
      </c>
      <c r="H1393" s="58">
        <v>44277</v>
      </c>
      <c r="I1393" s="42" t="s">
        <v>2424</v>
      </c>
      <c r="J1393" s="43">
        <v>44277</v>
      </c>
      <c r="K1393" s="42">
        <v>37</v>
      </c>
      <c r="L1393" s="42">
        <v>28.1</v>
      </c>
      <c r="M1393" s="48" t="s">
        <v>29</v>
      </c>
      <c r="N1393" s="42" t="s">
        <v>2428</v>
      </c>
      <c r="O1393" s="43">
        <v>44277</v>
      </c>
      <c r="P1393" s="42" t="s">
        <v>36</v>
      </c>
      <c r="Q1393" s="42">
        <v>26.7</v>
      </c>
      <c r="R1393" s="46" t="s">
        <v>31</v>
      </c>
      <c r="S1393" s="43">
        <v>44277</v>
      </c>
      <c r="T1393" s="51">
        <f t="shared" si="52"/>
        <v>3</v>
      </c>
      <c r="U1393" s="52" t="str">
        <f t="shared" si="51"/>
        <v>Não Detectável</v>
      </c>
    </row>
    <row r="1394" spans="1:21" ht="25.5" customHeight="1" x14ac:dyDescent="0.2">
      <c r="A1394" s="51">
        <v>1393</v>
      </c>
      <c r="B1394" s="59" t="s">
        <v>2439</v>
      </c>
      <c r="C1394" s="57">
        <v>42</v>
      </c>
      <c r="D1394" s="57" t="s">
        <v>25</v>
      </c>
      <c r="E1394" s="58" t="s">
        <v>2423</v>
      </c>
      <c r="F1394" s="56" t="s">
        <v>60</v>
      </c>
      <c r="G1394" s="57">
        <v>505</v>
      </c>
      <c r="H1394" s="58">
        <v>44277</v>
      </c>
      <c r="I1394" s="42" t="s">
        <v>2424</v>
      </c>
      <c r="J1394" s="43">
        <v>44277</v>
      </c>
      <c r="K1394" s="42">
        <v>37</v>
      </c>
      <c r="L1394" s="42">
        <v>28.1</v>
      </c>
      <c r="M1394" s="48" t="s">
        <v>29</v>
      </c>
      <c r="N1394" s="42" t="s">
        <v>2428</v>
      </c>
      <c r="O1394" s="43">
        <v>44277</v>
      </c>
      <c r="P1394" s="42">
        <v>37.700000000000003</v>
      </c>
      <c r="Q1394" s="42">
        <v>28.7</v>
      </c>
      <c r="R1394" s="46" t="s">
        <v>201</v>
      </c>
      <c r="S1394" s="43">
        <v>44277</v>
      </c>
      <c r="T1394" s="51">
        <f t="shared" si="52"/>
        <v>3</v>
      </c>
      <c r="U1394" s="52" t="str">
        <f t="shared" si="51"/>
        <v>Inconclusivo</v>
      </c>
    </row>
    <row r="1395" spans="1:21" ht="25.5" customHeight="1" x14ac:dyDescent="0.2"/>
    <row r="1396" spans="1:21" ht="25.5" customHeight="1" x14ac:dyDescent="0.2"/>
    <row r="1397" spans="1:21" ht="25.5" customHeight="1" x14ac:dyDescent="0.2"/>
    <row r="1398" spans="1:21" ht="25.5" customHeight="1" x14ac:dyDescent="0.2"/>
    <row r="1399" spans="1:21" ht="25.5" customHeight="1" x14ac:dyDescent="0.2"/>
    <row r="1400" spans="1:21" ht="25.5" customHeight="1" x14ac:dyDescent="0.2"/>
    <row r="1401" spans="1:21" ht="25.5" customHeight="1" x14ac:dyDescent="0.2"/>
    <row r="1402" spans="1:21" ht="25.5" customHeight="1" x14ac:dyDescent="0.2"/>
    <row r="1403" spans="1:21" ht="25.5" customHeight="1" x14ac:dyDescent="0.2"/>
    <row r="1404" spans="1:21" ht="25.5" customHeight="1" x14ac:dyDescent="0.2"/>
    <row r="1405" spans="1:21" ht="25.5" customHeight="1" x14ac:dyDescent="0.2"/>
    <row r="1406" spans="1:21" ht="25.5" customHeight="1" x14ac:dyDescent="0.2"/>
    <row r="1407" spans="1:21" ht="25.5" customHeight="1" x14ac:dyDescent="0.2"/>
    <row r="1408" spans="1:21" ht="25.5" customHeight="1" x14ac:dyDescent="0.2"/>
    <row r="1409" ht="25.5" customHeight="1" x14ac:dyDescent="0.2"/>
    <row r="1410" ht="25.5" customHeight="1" x14ac:dyDescent="0.2"/>
    <row r="1411" ht="25.5" customHeight="1" x14ac:dyDescent="0.2"/>
    <row r="1412" ht="25.5" customHeight="1" x14ac:dyDescent="0.2"/>
    <row r="1413" ht="25.5" customHeight="1" x14ac:dyDescent="0.2"/>
    <row r="1414" ht="25.5" customHeight="1" x14ac:dyDescent="0.2"/>
    <row r="1415" ht="25.5" customHeight="1" x14ac:dyDescent="0.2"/>
    <row r="1416" ht="25.5" customHeight="1" x14ac:dyDescent="0.2"/>
    <row r="1417" ht="25.5" customHeight="1" x14ac:dyDescent="0.2"/>
    <row r="1418" ht="25.5" customHeight="1" x14ac:dyDescent="0.2"/>
    <row r="1419" ht="25.5" customHeight="1" x14ac:dyDescent="0.2"/>
    <row r="1420" ht="25.5" customHeight="1" x14ac:dyDescent="0.2"/>
    <row r="1421" ht="25.5" customHeight="1" x14ac:dyDescent="0.2"/>
    <row r="1422" ht="25.5" customHeight="1" x14ac:dyDescent="0.2"/>
    <row r="1423" ht="25.5" customHeight="1" x14ac:dyDescent="0.2"/>
    <row r="1424" ht="25.5" customHeight="1" x14ac:dyDescent="0.2"/>
    <row r="1425" ht="25.5" customHeight="1" x14ac:dyDescent="0.2"/>
    <row r="1426" ht="25.5" customHeight="1" x14ac:dyDescent="0.2"/>
    <row r="1427" ht="25.5" customHeight="1" x14ac:dyDescent="0.2"/>
    <row r="1428" ht="25.5" customHeight="1" x14ac:dyDescent="0.2"/>
    <row r="1429" ht="25.5" customHeight="1" x14ac:dyDescent="0.2"/>
    <row r="1430" ht="25.5" customHeight="1" x14ac:dyDescent="0.2"/>
    <row r="1431" ht="25.5" customHeight="1" x14ac:dyDescent="0.2"/>
    <row r="1432" ht="25.5" customHeight="1" x14ac:dyDescent="0.2"/>
    <row r="1433" ht="25.5" customHeight="1" x14ac:dyDescent="0.2"/>
    <row r="1434" ht="25.5" customHeight="1" x14ac:dyDescent="0.2"/>
    <row r="1435" ht="25.5" customHeight="1" x14ac:dyDescent="0.2"/>
    <row r="1436" ht="25.5" customHeight="1" x14ac:dyDescent="0.2"/>
    <row r="1437" ht="25.5" customHeight="1" x14ac:dyDescent="0.2"/>
    <row r="1438" ht="25.5" customHeight="1" x14ac:dyDescent="0.2"/>
    <row r="1439" ht="25.5" customHeight="1" x14ac:dyDescent="0.2"/>
    <row r="1440" ht="25.5" customHeight="1" x14ac:dyDescent="0.2"/>
    <row r="1441" ht="25.5" customHeight="1" x14ac:dyDescent="0.2"/>
    <row r="1442" ht="25.5" customHeight="1" x14ac:dyDescent="0.2"/>
    <row r="1443" ht="25.5" customHeight="1" x14ac:dyDescent="0.2"/>
    <row r="1444" ht="25.5" customHeight="1" x14ac:dyDescent="0.2"/>
    <row r="1445" ht="25.5" customHeight="1" x14ac:dyDescent="0.2"/>
    <row r="1446" ht="25.5" customHeight="1" x14ac:dyDescent="0.2"/>
    <row r="1447" ht="25.5" customHeight="1" x14ac:dyDescent="0.2"/>
    <row r="1448" ht="25.5" customHeight="1" x14ac:dyDescent="0.2"/>
    <row r="1449" ht="25.5" customHeight="1" x14ac:dyDescent="0.2"/>
    <row r="1450" ht="25.5" customHeight="1" x14ac:dyDescent="0.2"/>
    <row r="1451" ht="25.5" customHeight="1" x14ac:dyDescent="0.2"/>
    <row r="1452" ht="25.5" customHeight="1" x14ac:dyDescent="0.2"/>
    <row r="1453" ht="25.5" customHeight="1" x14ac:dyDescent="0.2"/>
    <row r="1454" ht="25.5" customHeight="1" x14ac:dyDescent="0.2"/>
    <row r="1455" ht="25.5" customHeight="1" x14ac:dyDescent="0.2"/>
    <row r="1456" ht="25.5" customHeight="1" x14ac:dyDescent="0.2"/>
    <row r="1457" ht="25.5" customHeight="1" x14ac:dyDescent="0.2"/>
    <row r="1458" ht="25.5" customHeight="1" x14ac:dyDescent="0.2"/>
    <row r="1459" ht="25.5" customHeight="1" x14ac:dyDescent="0.2"/>
    <row r="1460" ht="25.5" customHeight="1" x14ac:dyDescent="0.2"/>
    <row r="1461" ht="25.5" customHeight="1" x14ac:dyDescent="0.2"/>
    <row r="1462" ht="25.5" customHeight="1" x14ac:dyDescent="0.2"/>
    <row r="1463" ht="25.5" customHeight="1" x14ac:dyDescent="0.2"/>
    <row r="1464" ht="25.5" customHeight="1" x14ac:dyDescent="0.2"/>
    <row r="1465" ht="25.5" customHeight="1" x14ac:dyDescent="0.2"/>
    <row r="1466" ht="25.5" customHeight="1" x14ac:dyDescent="0.2"/>
    <row r="1467" ht="25.5" customHeight="1" x14ac:dyDescent="0.2"/>
    <row r="1468" ht="25.5" customHeight="1" x14ac:dyDescent="0.2"/>
    <row r="1469" ht="25.5" customHeight="1" x14ac:dyDescent="0.2"/>
    <row r="1470" ht="25.5" customHeight="1" x14ac:dyDescent="0.2"/>
    <row r="1471" ht="25.5" customHeight="1" x14ac:dyDescent="0.2"/>
    <row r="1472" ht="25.5" customHeight="1" x14ac:dyDescent="0.2"/>
    <row r="1473" ht="25.5" customHeight="1" x14ac:dyDescent="0.2"/>
    <row r="1474" ht="25.5" customHeight="1" x14ac:dyDescent="0.2"/>
    <row r="1475" ht="25.5" customHeight="1" x14ac:dyDescent="0.2"/>
    <row r="1476" ht="25.5" customHeight="1" x14ac:dyDescent="0.2"/>
    <row r="1477" ht="25.5" customHeight="1" x14ac:dyDescent="0.2"/>
    <row r="1478" ht="25.5" customHeight="1" x14ac:dyDescent="0.2"/>
    <row r="1479" ht="25.5" customHeight="1" x14ac:dyDescent="0.2"/>
    <row r="1480" ht="25.5" customHeight="1" x14ac:dyDescent="0.2"/>
    <row r="1481" ht="25.5" customHeight="1" x14ac:dyDescent="0.2"/>
    <row r="1482" ht="25.5" customHeight="1" x14ac:dyDescent="0.2"/>
    <row r="1483" ht="25.5" customHeight="1" x14ac:dyDescent="0.2"/>
    <row r="1484" ht="25.5" customHeight="1" x14ac:dyDescent="0.2"/>
    <row r="1485" ht="25.5" customHeight="1" x14ac:dyDescent="0.2"/>
    <row r="1486" ht="25.5" customHeight="1" x14ac:dyDescent="0.2"/>
    <row r="1487" ht="25.5" customHeight="1" x14ac:dyDescent="0.2"/>
    <row r="1488" ht="25.5" customHeight="1" x14ac:dyDescent="0.2"/>
    <row r="1489" ht="25.5" customHeight="1" x14ac:dyDescent="0.2"/>
    <row r="1490" ht="25.5" customHeight="1" x14ac:dyDescent="0.2"/>
    <row r="1491" ht="25.5" customHeight="1" x14ac:dyDescent="0.2"/>
    <row r="1492" ht="25.5" customHeight="1" x14ac:dyDescent="0.2"/>
    <row r="1493" ht="25.5" customHeight="1" x14ac:dyDescent="0.2"/>
    <row r="1494" ht="25.5" customHeight="1" x14ac:dyDescent="0.2"/>
    <row r="1495" ht="25.5" customHeight="1" x14ac:dyDescent="0.2"/>
    <row r="1496" ht="25.5" customHeight="1" x14ac:dyDescent="0.2"/>
    <row r="1497" ht="25.5" customHeight="1" x14ac:dyDescent="0.2"/>
    <row r="1498" ht="25.5" customHeight="1" x14ac:dyDescent="0.2"/>
    <row r="1499" ht="25.5" customHeight="1" x14ac:dyDescent="0.2"/>
    <row r="1500" ht="25.5" customHeight="1" x14ac:dyDescent="0.2"/>
    <row r="1501" ht="25.5" customHeight="1" x14ac:dyDescent="0.2"/>
    <row r="1502" ht="25.5" customHeight="1" x14ac:dyDescent="0.2"/>
    <row r="1503" ht="25.5" customHeight="1" x14ac:dyDescent="0.2"/>
    <row r="1504" ht="25.5" customHeight="1" x14ac:dyDescent="0.2"/>
    <row r="1505" ht="25.5" customHeight="1" x14ac:dyDescent="0.2"/>
    <row r="1506" ht="25.5" customHeight="1" x14ac:dyDescent="0.2"/>
    <row r="1507" ht="25.5" customHeight="1" x14ac:dyDescent="0.2"/>
    <row r="1508" ht="25.5" customHeight="1" x14ac:dyDescent="0.2"/>
    <row r="1509" ht="25.5" customHeight="1" x14ac:dyDescent="0.2"/>
    <row r="1510" ht="25.5" customHeight="1" x14ac:dyDescent="0.2"/>
    <row r="1511" ht="25.5" customHeight="1" x14ac:dyDescent="0.2"/>
    <row r="1512" ht="25.5" customHeight="1" x14ac:dyDescent="0.2"/>
    <row r="1513" ht="25.5" customHeight="1" x14ac:dyDescent="0.2"/>
    <row r="1514" ht="25.5" customHeight="1" x14ac:dyDescent="0.2"/>
    <row r="1515" ht="25.5" customHeight="1" x14ac:dyDescent="0.2"/>
    <row r="1516" ht="25.5" customHeight="1" x14ac:dyDescent="0.2"/>
    <row r="1517" ht="25.5" customHeight="1" x14ac:dyDescent="0.2"/>
    <row r="1518" ht="25.5" customHeight="1" x14ac:dyDescent="0.2"/>
    <row r="1519" ht="25.5" customHeight="1" x14ac:dyDescent="0.2"/>
    <row r="1520" ht="25.5" customHeight="1" x14ac:dyDescent="0.2"/>
    <row r="1521" ht="25.5" customHeight="1" x14ac:dyDescent="0.2"/>
    <row r="1522" ht="25.5" customHeight="1" x14ac:dyDescent="0.2"/>
    <row r="1523" ht="25.5" customHeight="1" x14ac:dyDescent="0.2"/>
    <row r="1524" ht="25.5" customHeight="1" x14ac:dyDescent="0.2"/>
    <row r="1525" ht="25.5" customHeight="1" x14ac:dyDescent="0.2"/>
    <row r="1526" ht="25.5" customHeight="1" x14ac:dyDescent="0.2"/>
    <row r="1527" ht="25.5" customHeight="1" x14ac:dyDescent="0.2"/>
    <row r="1528" ht="25.5" customHeight="1" x14ac:dyDescent="0.2"/>
    <row r="1529" ht="25.5" customHeight="1" x14ac:dyDescent="0.2"/>
    <row r="1530" ht="25.5" customHeight="1" x14ac:dyDescent="0.2"/>
    <row r="1531" ht="25.5" customHeight="1" x14ac:dyDescent="0.2"/>
    <row r="1532" ht="25.5" customHeight="1" x14ac:dyDescent="0.2"/>
    <row r="1533" ht="25.5" customHeight="1" x14ac:dyDescent="0.2"/>
    <row r="1534" ht="25.5" customHeight="1" x14ac:dyDescent="0.2"/>
    <row r="1535" ht="25.5" customHeight="1" x14ac:dyDescent="0.2"/>
    <row r="1536" ht="25.5" customHeight="1" x14ac:dyDescent="0.2"/>
    <row r="1537" ht="25.5" customHeight="1" x14ac:dyDescent="0.2"/>
    <row r="1538" ht="25.5" customHeight="1" x14ac:dyDescent="0.2"/>
    <row r="1539" ht="25.5" customHeight="1" x14ac:dyDescent="0.2"/>
    <row r="1540" ht="25.5" customHeight="1" x14ac:dyDescent="0.2"/>
    <row r="1541" ht="25.5" customHeight="1" x14ac:dyDescent="0.2"/>
    <row r="1542" ht="25.5" customHeight="1" x14ac:dyDescent="0.2"/>
    <row r="1543" ht="25.5" customHeight="1" x14ac:dyDescent="0.2"/>
    <row r="1544" ht="25.5" customHeight="1" x14ac:dyDescent="0.2"/>
    <row r="1545" ht="25.5" customHeight="1" x14ac:dyDescent="0.2"/>
    <row r="1546" ht="25.5" customHeight="1" x14ac:dyDescent="0.2"/>
    <row r="1547" ht="25.5" customHeight="1" x14ac:dyDescent="0.2"/>
    <row r="1548" ht="25.5" customHeight="1" x14ac:dyDescent="0.2"/>
    <row r="1549" ht="25.5" customHeight="1" x14ac:dyDescent="0.2"/>
    <row r="1550" ht="25.5" customHeight="1" x14ac:dyDescent="0.2"/>
    <row r="1551" ht="25.5" customHeight="1" x14ac:dyDescent="0.2"/>
    <row r="1552" ht="25.5" customHeight="1" x14ac:dyDescent="0.2"/>
    <row r="1553" ht="25.5" customHeight="1" x14ac:dyDescent="0.2"/>
    <row r="1554" ht="25.5" customHeight="1" x14ac:dyDescent="0.2"/>
    <row r="1555" ht="25.5" customHeight="1" x14ac:dyDescent="0.2"/>
    <row r="1556" ht="25.5" customHeight="1" x14ac:dyDescent="0.2"/>
    <row r="1557" ht="25.5" customHeight="1" x14ac:dyDescent="0.2"/>
    <row r="1558" ht="25.5" customHeight="1" x14ac:dyDescent="0.2"/>
    <row r="1559" ht="25.5" customHeight="1" x14ac:dyDescent="0.2"/>
    <row r="1560" ht="25.5" customHeight="1" x14ac:dyDescent="0.2"/>
    <row r="1561" ht="25.5" customHeight="1" x14ac:dyDescent="0.2"/>
    <row r="1562" ht="25.5" customHeight="1" x14ac:dyDescent="0.2"/>
    <row r="1563" ht="25.5" customHeight="1" x14ac:dyDescent="0.2"/>
    <row r="1564" ht="25.5" customHeight="1" x14ac:dyDescent="0.2"/>
    <row r="1565" ht="25.5" customHeight="1" x14ac:dyDescent="0.2"/>
    <row r="1566" ht="25.5" customHeight="1" x14ac:dyDescent="0.2"/>
    <row r="1567" ht="25.5" customHeight="1" x14ac:dyDescent="0.2"/>
    <row r="1568" ht="25.5" customHeight="1" x14ac:dyDescent="0.2"/>
    <row r="1569" ht="25.5" customHeight="1" x14ac:dyDescent="0.2"/>
    <row r="1570" ht="25.5" customHeight="1" x14ac:dyDescent="0.2"/>
    <row r="1571" ht="25.5" customHeight="1" x14ac:dyDescent="0.2"/>
    <row r="1572" ht="25.5" customHeight="1" x14ac:dyDescent="0.2"/>
    <row r="1573" ht="25.5" customHeight="1" x14ac:dyDescent="0.2"/>
    <row r="1574" ht="25.5" customHeight="1" x14ac:dyDescent="0.2"/>
    <row r="1575" ht="25.5" customHeight="1" x14ac:dyDescent="0.2"/>
    <row r="1576" ht="25.5" customHeight="1" x14ac:dyDescent="0.2"/>
    <row r="1577" ht="25.5" customHeight="1" x14ac:dyDescent="0.2"/>
    <row r="1578" ht="25.5" customHeight="1" x14ac:dyDescent="0.2"/>
    <row r="1579" ht="25.5" customHeight="1" x14ac:dyDescent="0.2"/>
    <row r="1580" ht="25.5" customHeight="1" x14ac:dyDescent="0.2"/>
    <row r="1581" ht="25.5" customHeight="1" x14ac:dyDescent="0.2"/>
    <row r="1582" ht="25.5" customHeight="1" x14ac:dyDescent="0.2"/>
    <row r="1583" ht="25.5" customHeight="1" x14ac:dyDescent="0.2"/>
    <row r="1584" ht="25.5" customHeight="1" x14ac:dyDescent="0.2"/>
    <row r="1585" ht="25.5" customHeight="1" x14ac:dyDescent="0.2"/>
    <row r="1586" ht="25.5" customHeight="1" x14ac:dyDescent="0.2"/>
    <row r="1587" ht="25.5" customHeight="1" x14ac:dyDescent="0.2"/>
    <row r="1588" ht="25.5" customHeight="1" x14ac:dyDescent="0.2"/>
    <row r="1589" ht="25.5" customHeight="1" x14ac:dyDescent="0.2"/>
    <row r="1590" ht="25.5" customHeight="1" x14ac:dyDescent="0.2"/>
    <row r="1591" ht="25.5" customHeight="1" x14ac:dyDescent="0.2"/>
    <row r="1592" ht="25.5" customHeight="1" x14ac:dyDescent="0.2"/>
    <row r="1593" ht="25.5" customHeight="1" x14ac:dyDescent="0.2"/>
    <row r="1594" ht="25.5" customHeight="1" x14ac:dyDescent="0.2"/>
    <row r="1595" ht="25.5" customHeight="1" x14ac:dyDescent="0.2"/>
    <row r="1596" ht="25.5" customHeight="1" x14ac:dyDescent="0.2"/>
    <row r="1597" ht="25.5" customHeight="1" x14ac:dyDescent="0.2"/>
    <row r="1598" ht="25.5" customHeight="1" x14ac:dyDescent="0.2"/>
    <row r="1599" ht="25.5" customHeight="1" x14ac:dyDescent="0.2"/>
    <row r="1600" ht="25.5" customHeight="1" x14ac:dyDescent="0.2"/>
    <row r="1601" ht="25.5" customHeight="1" x14ac:dyDescent="0.2"/>
    <row r="1602" ht="25.5" customHeight="1" x14ac:dyDescent="0.2"/>
    <row r="1603" ht="25.5" customHeight="1" x14ac:dyDescent="0.2"/>
    <row r="1604" ht="25.5" customHeight="1" x14ac:dyDescent="0.2"/>
    <row r="1605" ht="25.5" customHeight="1" x14ac:dyDescent="0.2"/>
    <row r="1606" ht="25.5" customHeight="1" x14ac:dyDescent="0.2"/>
    <row r="1607" ht="25.5" customHeight="1" x14ac:dyDescent="0.2"/>
    <row r="1608" ht="25.5" customHeight="1" x14ac:dyDescent="0.2"/>
    <row r="1609" ht="25.5" customHeight="1" x14ac:dyDescent="0.2"/>
    <row r="1610" ht="25.5" customHeight="1" x14ac:dyDescent="0.2"/>
    <row r="1611" ht="25.5" customHeight="1" x14ac:dyDescent="0.2"/>
    <row r="1612" ht="25.5" customHeight="1" x14ac:dyDescent="0.2"/>
    <row r="1613" ht="25.5" customHeight="1" x14ac:dyDescent="0.2"/>
    <row r="1614" ht="25.5" customHeight="1" x14ac:dyDescent="0.2"/>
    <row r="1615" ht="25.5" customHeight="1" x14ac:dyDescent="0.2"/>
    <row r="1616" ht="25.5" customHeight="1" x14ac:dyDescent="0.2"/>
    <row r="1617" ht="25.5" customHeight="1" x14ac:dyDescent="0.2"/>
    <row r="1618" ht="25.5" customHeight="1" x14ac:dyDescent="0.2"/>
    <row r="1619" ht="25.5" customHeight="1" x14ac:dyDescent="0.2"/>
    <row r="1620" ht="25.5" customHeight="1" x14ac:dyDescent="0.2"/>
    <row r="1621" ht="25.5" customHeight="1" x14ac:dyDescent="0.2"/>
    <row r="1622" ht="25.5" customHeight="1" x14ac:dyDescent="0.2"/>
    <row r="1623" ht="25.5" customHeight="1" x14ac:dyDescent="0.2"/>
    <row r="1624" ht="25.5" customHeight="1" x14ac:dyDescent="0.2"/>
    <row r="1625" ht="25.5" customHeight="1" x14ac:dyDescent="0.2"/>
    <row r="1626" ht="25.5" customHeight="1" x14ac:dyDescent="0.2"/>
    <row r="1627" ht="25.5" customHeight="1" x14ac:dyDescent="0.2"/>
    <row r="1628" ht="25.5" customHeight="1" x14ac:dyDescent="0.2"/>
    <row r="1629" ht="25.5" customHeight="1" x14ac:dyDescent="0.2"/>
    <row r="1630" ht="25.5" customHeight="1" x14ac:dyDescent="0.2"/>
    <row r="1631" ht="25.5" customHeight="1" x14ac:dyDescent="0.2"/>
    <row r="1632" ht="25.5" customHeight="1" x14ac:dyDescent="0.2"/>
    <row r="1633" ht="25.5" customHeight="1" x14ac:dyDescent="0.2"/>
    <row r="1634" ht="25.5" customHeight="1" x14ac:dyDescent="0.2"/>
    <row r="1635" ht="25.5" customHeight="1" x14ac:dyDescent="0.2"/>
    <row r="1636" ht="25.5" customHeight="1" x14ac:dyDescent="0.2"/>
    <row r="1637" ht="25.5" customHeight="1" x14ac:dyDescent="0.2"/>
    <row r="1638" ht="25.5" customHeight="1" x14ac:dyDescent="0.2"/>
    <row r="1639" ht="25.5" customHeight="1" x14ac:dyDescent="0.2"/>
    <row r="1640" ht="25.5" customHeight="1" x14ac:dyDescent="0.2"/>
    <row r="1641" ht="25.5" customHeight="1" x14ac:dyDescent="0.2"/>
    <row r="1642" ht="25.5" customHeight="1" x14ac:dyDescent="0.2"/>
    <row r="1643" ht="25.5" customHeight="1" x14ac:dyDescent="0.2"/>
    <row r="1644" ht="25.5" customHeight="1" x14ac:dyDescent="0.2"/>
    <row r="1645" ht="25.5" customHeight="1" x14ac:dyDescent="0.2"/>
    <row r="1646" ht="25.5" customHeight="1" x14ac:dyDescent="0.2"/>
    <row r="1647" ht="25.5" customHeight="1" x14ac:dyDescent="0.2"/>
    <row r="1648" ht="25.5" customHeight="1" x14ac:dyDescent="0.2"/>
    <row r="1649" ht="25.5" customHeight="1" x14ac:dyDescent="0.2"/>
    <row r="1650" ht="25.5" customHeight="1" x14ac:dyDescent="0.2"/>
    <row r="1651" ht="25.5" customHeight="1" x14ac:dyDescent="0.2"/>
    <row r="1652" ht="25.5" customHeight="1" x14ac:dyDescent="0.2"/>
    <row r="1653" ht="25.5" customHeight="1" x14ac:dyDescent="0.2"/>
    <row r="1654" ht="25.5" customHeight="1" x14ac:dyDescent="0.2"/>
    <row r="1655" ht="25.5" customHeight="1" x14ac:dyDescent="0.2"/>
    <row r="1656" ht="25.5" customHeight="1" x14ac:dyDescent="0.2"/>
    <row r="1657" ht="25.5" customHeight="1" x14ac:dyDescent="0.2"/>
    <row r="1658" ht="25.5" customHeight="1" x14ac:dyDescent="0.2"/>
    <row r="1659" ht="25.5" customHeight="1" x14ac:dyDescent="0.2"/>
    <row r="1660" ht="25.5" customHeight="1" x14ac:dyDescent="0.2"/>
    <row r="1661" ht="25.5" customHeight="1" x14ac:dyDescent="0.2"/>
    <row r="1662" ht="25.5" customHeight="1" x14ac:dyDescent="0.2"/>
    <row r="1663" ht="25.5" customHeight="1" x14ac:dyDescent="0.2"/>
    <row r="1664" ht="25.5" customHeight="1" x14ac:dyDescent="0.2"/>
    <row r="1665" ht="25.5" customHeight="1" x14ac:dyDescent="0.2"/>
    <row r="1666" ht="25.5" customHeight="1" x14ac:dyDescent="0.2"/>
    <row r="1667" ht="25.5" customHeight="1" x14ac:dyDescent="0.2"/>
    <row r="1668" ht="25.5" customHeight="1" x14ac:dyDescent="0.2"/>
    <row r="1669" ht="25.5" customHeight="1" x14ac:dyDescent="0.2"/>
    <row r="1670" ht="25.5" customHeight="1" x14ac:dyDescent="0.2"/>
    <row r="1671" ht="25.5" customHeight="1" x14ac:dyDescent="0.2"/>
    <row r="1672" ht="25.5" customHeight="1" x14ac:dyDescent="0.2"/>
    <row r="1673" ht="25.5" customHeight="1" x14ac:dyDescent="0.2"/>
    <row r="1674" ht="25.5" customHeight="1" x14ac:dyDescent="0.2"/>
    <row r="1675" ht="25.5" customHeight="1" x14ac:dyDescent="0.2"/>
    <row r="1676" ht="25.5" customHeight="1" x14ac:dyDescent="0.2"/>
    <row r="1677" ht="25.5" customHeight="1" x14ac:dyDescent="0.2"/>
    <row r="1678" ht="25.5" customHeight="1" x14ac:dyDescent="0.2"/>
    <row r="1679" ht="25.5" customHeight="1" x14ac:dyDescent="0.2"/>
    <row r="1680" ht="25.5" customHeight="1" x14ac:dyDescent="0.2"/>
    <row r="1681" ht="25.5" customHeight="1" x14ac:dyDescent="0.2"/>
    <row r="1682" ht="25.5" customHeight="1" x14ac:dyDescent="0.2"/>
    <row r="1683" ht="25.5" customHeight="1" x14ac:dyDescent="0.2"/>
    <row r="1684" ht="25.5" customHeight="1" x14ac:dyDescent="0.2"/>
    <row r="1685" ht="25.5" customHeight="1" x14ac:dyDescent="0.2"/>
    <row r="1686" ht="25.5" customHeight="1" x14ac:dyDescent="0.2"/>
    <row r="1687" ht="25.5" customHeight="1" x14ac:dyDescent="0.2"/>
    <row r="1688" ht="25.5" customHeight="1" x14ac:dyDescent="0.2"/>
    <row r="1689" ht="25.5" customHeight="1" x14ac:dyDescent="0.2"/>
    <row r="1690" ht="25.5" customHeight="1" x14ac:dyDescent="0.2"/>
    <row r="1691" ht="25.5" customHeight="1" x14ac:dyDescent="0.2"/>
    <row r="1692" ht="25.5" customHeight="1" x14ac:dyDescent="0.2"/>
    <row r="1693" ht="25.5" customHeight="1" x14ac:dyDescent="0.2"/>
    <row r="1694" ht="25.5" customHeight="1" x14ac:dyDescent="0.2"/>
    <row r="1695" ht="25.5" customHeight="1" x14ac:dyDescent="0.2"/>
    <row r="1696" ht="25.5" customHeight="1" x14ac:dyDescent="0.2"/>
    <row r="1697" ht="25.5" customHeight="1" x14ac:dyDescent="0.2"/>
    <row r="1698" ht="25.5" customHeight="1" x14ac:dyDescent="0.2"/>
    <row r="1699" ht="25.5" customHeight="1" x14ac:dyDescent="0.2"/>
    <row r="1700" ht="25.5" customHeight="1" x14ac:dyDescent="0.2"/>
    <row r="1701" ht="25.5" customHeight="1" x14ac:dyDescent="0.2"/>
    <row r="1702" ht="25.5" customHeight="1" x14ac:dyDescent="0.2"/>
    <row r="1703" ht="25.5" customHeight="1" x14ac:dyDescent="0.2"/>
    <row r="1704" ht="25.5" customHeight="1" x14ac:dyDescent="0.2"/>
    <row r="1705" ht="25.5" customHeight="1" x14ac:dyDescent="0.2"/>
    <row r="1706" ht="25.5" customHeight="1" x14ac:dyDescent="0.2"/>
    <row r="1707" ht="25.5" customHeight="1" x14ac:dyDescent="0.2"/>
    <row r="1708" ht="25.5" customHeight="1" x14ac:dyDescent="0.2"/>
    <row r="1709" ht="25.5" customHeight="1" x14ac:dyDescent="0.2"/>
    <row r="1710" ht="25.5" customHeight="1" x14ac:dyDescent="0.2"/>
    <row r="1711" ht="25.5" customHeight="1" x14ac:dyDescent="0.2"/>
    <row r="1712" ht="25.5" customHeight="1" x14ac:dyDescent="0.2"/>
    <row r="1713" ht="25.5" customHeight="1" x14ac:dyDescent="0.2"/>
    <row r="1714" ht="25.5" customHeight="1" x14ac:dyDescent="0.2"/>
    <row r="1715" ht="25.5" customHeight="1" x14ac:dyDescent="0.2"/>
    <row r="1716" ht="25.5" customHeight="1" x14ac:dyDescent="0.2"/>
    <row r="1717" ht="25.5" customHeight="1" x14ac:dyDescent="0.2"/>
    <row r="1718" ht="25.5" customHeight="1" x14ac:dyDescent="0.2"/>
    <row r="1719" ht="25.5" customHeight="1" x14ac:dyDescent="0.2"/>
    <row r="1720" ht="25.5" customHeight="1" x14ac:dyDescent="0.2"/>
    <row r="1721" ht="25.5" customHeight="1" x14ac:dyDescent="0.2"/>
    <row r="1722" ht="25.5" customHeight="1" x14ac:dyDescent="0.2"/>
    <row r="1723" ht="25.5" customHeight="1" x14ac:dyDescent="0.2"/>
    <row r="1724" ht="25.5" customHeight="1" x14ac:dyDescent="0.2"/>
    <row r="1725" ht="25.5" customHeight="1" x14ac:dyDescent="0.2"/>
    <row r="1726" ht="25.5" customHeight="1" x14ac:dyDescent="0.2"/>
    <row r="1727" ht="25.5" customHeight="1" x14ac:dyDescent="0.2"/>
    <row r="1728" ht="25.5" customHeight="1" x14ac:dyDescent="0.2"/>
    <row r="1729" ht="25.5" customHeight="1" x14ac:dyDescent="0.2"/>
    <row r="1730" ht="25.5" customHeight="1" x14ac:dyDescent="0.2"/>
    <row r="1731" ht="25.5" customHeight="1" x14ac:dyDescent="0.2"/>
    <row r="1732" ht="25.5" customHeight="1" x14ac:dyDescent="0.2"/>
    <row r="1733" ht="25.5" customHeight="1" x14ac:dyDescent="0.2"/>
    <row r="1734" ht="25.5" customHeight="1" x14ac:dyDescent="0.2"/>
    <row r="1735" ht="25.5" customHeight="1" x14ac:dyDescent="0.2"/>
    <row r="1736" ht="25.5" customHeight="1" x14ac:dyDescent="0.2"/>
    <row r="1737" ht="25.5" customHeight="1" x14ac:dyDescent="0.2"/>
    <row r="1738" ht="25.5" customHeight="1" x14ac:dyDescent="0.2"/>
    <row r="1739" ht="25.5" customHeight="1" x14ac:dyDescent="0.2"/>
    <row r="1740" ht="25.5" customHeight="1" x14ac:dyDescent="0.2"/>
    <row r="1741" ht="25.5" customHeight="1" x14ac:dyDescent="0.2"/>
    <row r="1742" ht="25.5" customHeight="1" x14ac:dyDescent="0.2"/>
    <row r="1743" ht="25.5" customHeight="1" x14ac:dyDescent="0.2"/>
    <row r="1744" ht="25.5" customHeight="1" x14ac:dyDescent="0.2"/>
    <row r="1745" ht="25.5" customHeight="1" x14ac:dyDescent="0.2"/>
    <row r="1746" ht="25.5" customHeight="1" x14ac:dyDescent="0.2"/>
    <row r="1747" ht="25.5" customHeight="1" x14ac:dyDescent="0.2"/>
    <row r="1748" ht="25.5" customHeight="1" x14ac:dyDescent="0.2"/>
    <row r="1749" ht="25.5" customHeight="1" x14ac:dyDescent="0.2"/>
    <row r="1750" ht="25.5" customHeight="1" x14ac:dyDescent="0.2"/>
    <row r="1751" ht="25.5" customHeight="1" x14ac:dyDescent="0.2"/>
    <row r="1752" ht="25.5" customHeight="1" x14ac:dyDescent="0.2"/>
    <row r="1753" ht="25.5" customHeight="1" x14ac:dyDescent="0.2"/>
    <row r="1754" ht="25.5" customHeight="1" x14ac:dyDescent="0.2"/>
    <row r="1755" ht="25.5" customHeight="1" x14ac:dyDescent="0.2"/>
    <row r="1756" ht="25.5" customHeight="1" x14ac:dyDescent="0.2"/>
    <row r="1757" ht="25.5" customHeight="1" x14ac:dyDescent="0.2"/>
    <row r="1758" ht="25.5" customHeight="1" x14ac:dyDescent="0.2"/>
    <row r="1759" ht="25.5" customHeight="1" x14ac:dyDescent="0.2"/>
    <row r="1760" ht="25.5" customHeight="1" x14ac:dyDescent="0.2"/>
    <row r="1761" ht="25.5" customHeight="1" x14ac:dyDescent="0.2"/>
    <row r="1762" ht="25.5" customHeight="1" x14ac:dyDescent="0.2"/>
    <row r="1763" ht="25.5" customHeight="1" x14ac:dyDescent="0.2"/>
    <row r="1764" ht="25.5" customHeight="1" x14ac:dyDescent="0.2"/>
    <row r="1765" ht="25.5" customHeight="1" x14ac:dyDescent="0.2"/>
    <row r="1766" ht="25.5" customHeight="1" x14ac:dyDescent="0.2"/>
    <row r="1767" ht="25.5" customHeight="1" x14ac:dyDescent="0.2"/>
    <row r="1768" ht="25.5" customHeight="1" x14ac:dyDescent="0.2"/>
    <row r="1769" ht="25.5" customHeight="1" x14ac:dyDescent="0.2"/>
    <row r="1770" ht="25.5" customHeight="1" x14ac:dyDescent="0.2"/>
    <row r="1771" ht="25.5" customHeight="1" x14ac:dyDescent="0.2"/>
    <row r="1772" ht="25.5" customHeight="1" x14ac:dyDescent="0.2"/>
    <row r="1773" ht="25.5" customHeight="1" x14ac:dyDescent="0.2"/>
    <row r="1774" ht="25.5" customHeight="1" x14ac:dyDescent="0.2"/>
    <row r="1775" ht="25.5" customHeight="1" x14ac:dyDescent="0.2"/>
    <row r="1776" ht="25.5" customHeight="1" x14ac:dyDescent="0.2"/>
    <row r="1777" ht="25.5" customHeight="1" x14ac:dyDescent="0.2"/>
    <row r="1778" ht="25.5" customHeight="1" x14ac:dyDescent="0.2"/>
    <row r="1779" ht="25.5" customHeight="1" x14ac:dyDescent="0.2"/>
    <row r="1780" ht="25.5" customHeight="1" x14ac:dyDescent="0.2"/>
    <row r="1781" ht="25.5" customHeight="1" x14ac:dyDescent="0.2"/>
    <row r="1782" ht="25.5" customHeight="1" x14ac:dyDescent="0.2"/>
    <row r="1783" ht="25.5" customHeight="1" x14ac:dyDescent="0.2"/>
    <row r="1784" ht="25.5" customHeight="1" x14ac:dyDescent="0.2"/>
    <row r="1785" ht="25.5" customHeight="1" x14ac:dyDescent="0.2"/>
    <row r="1786" ht="25.5" customHeight="1" x14ac:dyDescent="0.2"/>
    <row r="1787" ht="25.5" customHeight="1" x14ac:dyDescent="0.2"/>
    <row r="1788" ht="25.5" customHeight="1" x14ac:dyDescent="0.2"/>
    <row r="1789" ht="25.5" customHeight="1" x14ac:dyDescent="0.2"/>
    <row r="1790" ht="25.5" customHeight="1" x14ac:dyDescent="0.2"/>
    <row r="1791" ht="25.5" customHeight="1" x14ac:dyDescent="0.2"/>
    <row r="1792" ht="25.5" customHeight="1" x14ac:dyDescent="0.2"/>
    <row r="1793" ht="25.5" customHeight="1" x14ac:dyDescent="0.2"/>
    <row r="1794" ht="25.5" customHeight="1" x14ac:dyDescent="0.2"/>
    <row r="1795" ht="25.5" customHeight="1" x14ac:dyDescent="0.2"/>
    <row r="1796" ht="25.5" customHeight="1" x14ac:dyDescent="0.2"/>
    <row r="1797" ht="25.5" customHeight="1" x14ac:dyDescent="0.2"/>
    <row r="1798" ht="25.5" customHeight="1" x14ac:dyDescent="0.2"/>
    <row r="1799" ht="25.5" customHeight="1" x14ac:dyDescent="0.2"/>
    <row r="1800" ht="25.5" customHeight="1" x14ac:dyDescent="0.2"/>
    <row r="1801" ht="25.5" customHeight="1" x14ac:dyDescent="0.2"/>
    <row r="1802" ht="25.5" customHeight="1" x14ac:dyDescent="0.2"/>
    <row r="1803" ht="25.5" customHeight="1" x14ac:dyDescent="0.2"/>
    <row r="1804" ht="25.5" customHeight="1" x14ac:dyDescent="0.2"/>
    <row r="1805" ht="25.5" customHeight="1" x14ac:dyDescent="0.2"/>
    <row r="1806" ht="25.5" customHeight="1" x14ac:dyDescent="0.2"/>
    <row r="1807" ht="25.5" customHeight="1" x14ac:dyDescent="0.2"/>
    <row r="1808" ht="25.5" customHeight="1" x14ac:dyDescent="0.2"/>
    <row r="1809" ht="25.5" customHeight="1" x14ac:dyDescent="0.2"/>
    <row r="1810" ht="25.5" customHeight="1" x14ac:dyDescent="0.2"/>
    <row r="1811" ht="25.5" customHeight="1" x14ac:dyDescent="0.2"/>
    <row r="1812" ht="25.5" customHeight="1" x14ac:dyDescent="0.2"/>
    <row r="1813" ht="25.5" customHeight="1" x14ac:dyDescent="0.2"/>
    <row r="1814" ht="25.5" customHeight="1" x14ac:dyDescent="0.2"/>
    <row r="1815" ht="25.5" customHeight="1" x14ac:dyDescent="0.2"/>
    <row r="1816" ht="25.5" customHeight="1" x14ac:dyDescent="0.2"/>
    <row r="1817" ht="25.5" customHeight="1" x14ac:dyDescent="0.2"/>
    <row r="1818" ht="25.5" customHeight="1" x14ac:dyDescent="0.2"/>
    <row r="1819" ht="25.5" customHeight="1" x14ac:dyDescent="0.2"/>
    <row r="1820" ht="25.5" customHeight="1" x14ac:dyDescent="0.2"/>
    <row r="1821" ht="25.5" customHeight="1" x14ac:dyDescent="0.2"/>
    <row r="1822" ht="25.5" customHeight="1" x14ac:dyDescent="0.2"/>
    <row r="1823" ht="25.5" customHeight="1" x14ac:dyDescent="0.2"/>
    <row r="1824" ht="25.5" customHeight="1" x14ac:dyDescent="0.2"/>
    <row r="1825" ht="25.5" customHeight="1" x14ac:dyDescent="0.2"/>
    <row r="1826" ht="25.5" customHeight="1" x14ac:dyDescent="0.2"/>
    <row r="1827" ht="25.5" customHeight="1" x14ac:dyDescent="0.2"/>
    <row r="1828" ht="25.5" customHeight="1" x14ac:dyDescent="0.2"/>
    <row r="1829" ht="25.5" customHeight="1" x14ac:dyDescent="0.2"/>
    <row r="1830" ht="25.5" customHeight="1" x14ac:dyDescent="0.2"/>
    <row r="1831" ht="25.5" customHeight="1" x14ac:dyDescent="0.2"/>
    <row r="1832" ht="25.5" customHeight="1" x14ac:dyDescent="0.2"/>
    <row r="1833" ht="25.5" customHeight="1" x14ac:dyDescent="0.2"/>
    <row r="1834" ht="25.5" customHeight="1" x14ac:dyDescent="0.2"/>
    <row r="1835" ht="25.5" customHeight="1" x14ac:dyDescent="0.2"/>
    <row r="1836" ht="25.5" customHeight="1" x14ac:dyDescent="0.2"/>
    <row r="1837" ht="25.5" customHeight="1" x14ac:dyDescent="0.2"/>
    <row r="1838" ht="25.5" customHeight="1" x14ac:dyDescent="0.2"/>
    <row r="1839" ht="25.5" customHeight="1" x14ac:dyDescent="0.2"/>
    <row r="1840" ht="25.5" customHeight="1" x14ac:dyDescent="0.2"/>
    <row r="1841" ht="25.5" customHeight="1" x14ac:dyDescent="0.2"/>
    <row r="1842" ht="25.5" customHeight="1" x14ac:dyDescent="0.2"/>
    <row r="1843" ht="25.5" customHeight="1" x14ac:dyDescent="0.2"/>
    <row r="1844" ht="25.5" customHeight="1" x14ac:dyDescent="0.2"/>
    <row r="1845" ht="25.5" customHeight="1" x14ac:dyDescent="0.2"/>
    <row r="1846" ht="25.5" customHeight="1" x14ac:dyDescent="0.2"/>
    <row r="1847" ht="25.5" customHeight="1" x14ac:dyDescent="0.2"/>
    <row r="1848" ht="25.5" customHeight="1" x14ac:dyDescent="0.2"/>
    <row r="1849" ht="25.5" customHeight="1" x14ac:dyDescent="0.2"/>
    <row r="1850" ht="25.5" customHeight="1" x14ac:dyDescent="0.2"/>
    <row r="1851" ht="25.5" customHeight="1" x14ac:dyDescent="0.2"/>
    <row r="1852" ht="25.5" customHeight="1" x14ac:dyDescent="0.2"/>
    <row r="1853" ht="25.5" customHeight="1" x14ac:dyDescent="0.2"/>
    <row r="1854" ht="25.5" customHeight="1" x14ac:dyDescent="0.2"/>
    <row r="1855" ht="25.5" customHeight="1" x14ac:dyDescent="0.2"/>
    <row r="1856" ht="25.5" customHeight="1" x14ac:dyDescent="0.2"/>
    <row r="1857" ht="25.5" customHeight="1" x14ac:dyDescent="0.2"/>
    <row r="1858" ht="25.5" customHeight="1" x14ac:dyDescent="0.2"/>
    <row r="1859" ht="25.5" customHeight="1" x14ac:dyDescent="0.2"/>
    <row r="1860" ht="25.5" customHeight="1" x14ac:dyDescent="0.2"/>
    <row r="1861" ht="25.5" customHeight="1" x14ac:dyDescent="0.2"/>
    <row r="1862" ht="25.5" customHeight="1" x14ac:dyDescent="0.2"/>
    <row r="1863" ht="25.5" customHeight="1" x14ac:dyDescent="0.2"/>
    <row r="1864" ht="25.5" customHeight="1" x14ac:dyDescent="0.2"/>
    <row r="1865" ht="25.5" customHeight="1" x14ac:dyDescent="0.2"/>
    <row r="1866" ht="25.5" customHeight="1" x14ac:dyDescent="0.2"/>
    <row r="1867" ht="25.5" customHeight="1" x14ac:dyDescent="0.2"/>
    <row r="1868" ht="25.5" customHeight="1" x14ac:dyDescent="0.2"/>
    <row r="1869" ht="25.5" customHeight="1" x14ac:dyDescent="0.2"/>
    <row r="1870" ht="25.5" customHeight="1" x14ac:dyDescent="0.2"/>
    <row r="1871" ht="25.5" customHeight="1" x14ac:dyDescent="0.2"/>
    <row r="1872" ht="25.5" customHeight="1" x14ac:dyDescent="0.2"/>
    <row r="1873" ht="25.5" customHeight="1" x14ac:dyDescent="0.2"/>
    <row r="1874" ht="25.5" customHeight="1" x14ac:dyDescent="0.2"/>
    <row r="1875" ht="25.5" customHeight="1" x14ac:dyDescent="0.2"/>
    <row r="1876" ht="25.5" customHeight="1" x14ac:dyDescent="0.2"/>
    <row r="1877" ht="25.5" customHeight="1" x14ac:dyDescent="0.2"/>
    <row r="1878" ht="25.5" customHeight="1" x14ac:dyDescent="0.2"/>
    <row r="1879" ht="25.5" customHeight="1" x14ac:dyDescent="0.2"/>
    <row r="1880" ht="25.5" customHeight="1" x14ac:dyDescent="0.2"/>
    <row r="1881" ht="25.5" customHeight="1" x14ac:dyDescent="0.2"/>
    <row r="1882" ht="25.5" customHeight="1" x14ac:dyDescent="0.2"/>
    <row r="1883" ht="25.5" customHeight="1" x14ac:dyDescent="0.2"/>
    <row r="1884" ht="25.5" customHeight="1" x14ac:dyDescent="0.2"/>
    <row r="1885" ht="25.5" customHeight="1" x14ac:dyDescent="0.2"/>
    <row r="1886" ht="25.5" customHeight="1" x14ac:dyDescent="0.2"/>
    <row r="1887" ht="25.5" customHeight="1" x14ac:dyDescent="0.2"/>
    <row r="1888" ht="25.5" customHeight="1" x14ac:dyDescent="0.2"/>
    <row r="1889" ht="25.5" customHeight="1" x14ac:dyDescent="0.2"/>
    <row r="1890" ht="25.5" customHeight="1" x14ac:dyDescent="0.2"/>
    <row r="1891" ht="25.5" customHeight="1" x14ac:dyDescent="0.2"/>
    <row r="1892" ht="25.5" customHeight="1" x14ac:dyDescent="0.2"/>
    <row r="1893" ht="25.5" customHeight="1" x14ac:dyDescent="0.2"/>
    <row r="1894" ht="25.5" customHeight="1" x14ac:dyDescent="0.2"/>
    <row r="1895" ht="25.5" customHeight="1" x14ac:dyDescent="0.2"/>
    <row r="1896" ht="25.5" customHeight="1" x14ac:dyDescent="0.2"/>
    <row r="1897" ht="25.5" customHeight="1" x14ac:dyDescent="0.2"/>
    <row r="1898" ht="25.5" customHeight="1" x14ac:dyDescent="0.2"/>
    <row r="1899" ht="25.5" customHeight="1" x14ac:dyDescent="0.2"/>
    <row r="1900" ht="25.5" customHeight="1" x14ac:dyDescent="0.2"/>
    <row r="1901" ht="25.5" customHeight="1" x14ac:dyDescent="0.2"/>
    <row r="1902" ht="25.5" customHeight="1" x14ac:dyDescent="0.2"/>
    <row r="1903" ht="25.5" customHeight="1" x14ac:dyDescent="0.2"/>
    <row r="1904" ht="25.5" customHeight="1" x14ac:dyDescent="0.2"/>
    <row r="1905" ht="25.5" customHeight="1" x14ac:dyDescent="0.2"/>
    <row r="1906" ht="25.5" customHeight="1" x14ac:dyDescent="0.2"/>
    <row r="1907" ht="25.5" customHeight="1" x14ac:dyDescent="0.2"/>
    <row r="1908" ht="25.5" customHeight="1" x14ac:dyDescent="0.2"/>
    <row r="1909" ht="25.5" customHeight="1" x14ac:dyDescent="0.2"/>
    <row r="1910" ht="25.5" customHeight="1" x14ac:dyDescent="0.2"/>
    <row r="1911" ht="25.5" customHeight="1" x14ac:dyDescent="0.2"/>
    <row r="1912" ht="25.5" customHeight="1" x14ac:dyDescent="0.2"/>
    <row r="1913" ht="25.5" customHeight="1" x14ac:dyDescent="0.2"/>
    <row r="1914" ht="25.5" customHeight="1" x14ac:dyDescent="0.2"/>
    <row r="1915" ht="25.5" customHeight="1" x14ac:dyDescent="0.2"/>
    <row r="1916" ht="25.5" customHeight="1" x14ac:dyDescent="0.2"/>
    <row r="1917" ht="25.5" customHeight="1" x14ac:dyDescent="0.2"/>
    <row r="1918" ht="25.5" customHeight="1" x14ac:dyDescent="0.2"/>
    <row r="1919" ht="25.5" customHeight="1" x14ac:dyDescent="0.2"/>
    <row r="1920" ht="25.5" customHeight="1" x14ac:dyDescent="0.2"/>
    <row r="1921" ht="25.5" customHeight="1" x14ac:dyDescent="0.2"/>
    <row r="1922" ht="25.5" customHeight="1" x14ac:dyDescent="0.2"/>
    <row r="1923" ht="25.5" customHeight="1" x14ac:dyDescent="0.2"/>
    <row r="1924" ht="25.5" customHeight="1" x14ac:dyDescent="0.2"/>
    <row r="1925" ht="25.5" customHeight="1" x14ac:dyDescent="0.2"/>
    <row r="1926" ht="25.5" customHeight="1" x14ac:dyDescent="0.2"/>
    <row r="1927" ht="25.5" customHeight="1" x14ac:dyDescent="0.2"/>
    <row r="1928" ht="25.5" customHeight="1" x14ac:dyDescent="0.2"/>
    <row r="1929" ht="25.5" customHeight="1" x14ac:dyDescent="0.2"/>
    <row r="1930" ht="25.5" customHeight="1" x14ac:dyDescent="0.2"/>
    <row r="1931" ht="25.5" customHeight="1" x14ac:dyDescent="0.2"/>
    <row r="1932" ht="25.5" customHeight="1" x14ac:dyDescent="0.2"/>
    <row r="1933" ht="25.5" customHeight="1" x14ac:dyDescent="0.2"/>
    <row r="1934" ht="25.5" customHeight="1" x14ac:dyDescent="0.2"/>
    <row r="1935" ht="25.5" customHeight="1" x14ac:dyDescent="0.2"/>
    <row r="1936" ht="25.5" customHeight="1" x14ac:dyDescent="0.2"/>
    <row r="1937" ht="25.5" customHeight="1" x14ac:dyDescent="0.2"/>
    <row r="1938" ht="25.5" customHeight="1" x14ac:dyDescent="0.2"/>
    <row r="1939" ht="25.5" customHeight="1" x14ac:dyDescent="0.2"/>
    <row r="1940" ht="25.5" customHeight="1" x14ac:dyDescent="0.2"/>
    <row r="1941" ht="25.5" customHeight="1" x14ac:dyDescent="0.2"/>
    <row r="1942" ht="25.5" customHeight="1" x14ac:dyDescent="0.2"/>
    <row r="1943" ht="25.5" customHeight="1" x14ac:dyDescent="0.2"/>
    <row r="1944" ht="25.5" customHeight="1" x14ac:dyDescent="0.2"/>
    <row r="1945" ht="25.5" customHeight="1" x14ac:dyDescent="0.2"/>
    <row r="1946" ht="25.5" customHeight="1" x14ac:dyDescent="0.2"/>
    <row r="1947" ht="25.5" customHeight="1" x14ac:dyDescent="0.2"/>
    <row r="1948" ht="25.5" customHeight="1" x14ac:dyDescent="0.2"/>
    <row r="1949" ht="25.5" customHeight="1" x14ac:dyDescent="0.2"/>
    <row r="1950" ht="25.5" customHeight="1" x14ac:dyDescent="0.2"/>
    <row r="1951" ht="25.5" customHeight="1" x14ac:dyDescent="0.2"/>
    <row r="1952" ht="25.5" customHeight="1" x14ac:dyDescent="0.2"/>
    <row r="1953" ht="25.5" customHeight="1" x14ac:dyDescent="0.2"/>
    <row r="1954" ht="25.5" customHeight="1" x14ac:dyDescent="0.2"/>
    <row r="1955" ht="25.5" customHeight="1" x14ac:dyDescent="0.2"/>
    <row r="1956" ht="25.5" customHeight="1" x14ac:dyDescent="0.2"/>
    <row r="1957" ht="25.5" customHeight="1" x14ac:dyDescent="0.2"/>
    <row r="1958" ht="25.5" customHeight="1" x14ac:dyDescent="0.2"/>
    <row r="1959" ht="25.5" customHeight="1" x14ac:dyDescent="0.2"/>
    <row r="1960" ht="25.5" customHeight="1" x14ac:dyDescent="0.2"/>
    <row r="1961" ht="25.5" customHeight="1" x14ac:dyDescent="0.2"/>
    <row r="1962" ht="25.5" customHeight="1" x14ac:dyDescent="0.2"/>
    <row r="1963" ht="25.5" customHeight="1" x14ac:dyDescent="0.2"/>
    <row r="1964" ht="25.5" customHeight="1" x14ac:dyDescent="0.2"/>
    <row r="1965" ht="25.5" customHeight="1" x14ac:dyDescent="0.2"/>
    <row r="1966" ht="25.5" customHeight="1" x14ac:dyDescent="0.2"/>
    <row r="1967" ht="25.5" customHeight="1" x14ac:dyDescent="0.2"/>
    <row r="1968" ht="25.5" customHeight="1" x14ac:dyDescent="0.2"/>
    <row r="1969" ht="25.5" customHeight="1" x14ac:dyDescent="0.2"/>
    <row r="1970" ht="25.5" customHeight="1" x14ac:dyDescent="0.2"/>
    <row r="1971" ht="25.5" customHeight="1" x14ac:dyDescent="0.2"/>
    <row r="1972" ht="25.5" customHeight="1" x14ac:dyDescent="0.2"/>
    <row r="1973" ht="25.5" customHeight="1" x14ac:dyDescent="0.2"/>
    <row r="1974" ht="25.5" customHeight="1" x14ac:dyDescent="0.2"/>
    <row r="1975" ht="25.5" customHeight="1" x14ac:dyDescent="0.2"/>
    <row r="1976" ht="25.5" customHeight="1" x14ac:dyDescent="0.2"/>
    <row r="1977" ht="25.5" customHeight="1" x14ac:dyDescent="0.2"/>
    <row r="1978" ht="25.5" customHeight="1" x14ac:dyDescent="0.2"/>
    <row r="1979" ht="25.5" customHeight="1" x14ac:dyDescent="0.2"/>
    <row r="1980" ht="25.5" customHeight="1" x14ac:dyDescent="0.2"/>
    <row r="1981" ht="25.5" customHeight="1" x14ac:dyDescent="0.2"/>
    <row r="1982" ht="25.5" customHeight="1" x14ac:dyDescent="0.2"/>
    <row r="1983" ht="25.5" customHeight="1" x14ac:dyDescent="0.2"/>
    <row r="1984" ht="25.5" customHeight="1" x14ac:dyDescent="0.2"/>
    <row r="1985" ht="25.5" customHeight="1" x14ac:dyDescent="0.2"/>
    <row r="1986" ht="25.5" customHeight="1" x14ac:dyDescent="0.2"/>
    <row r="1987" ht="25.5" customHeight="1" x14ac:dyDescent="0.2"/>
    <row r="1988" ht="25.5" customHeight="1" x14ac:dyDescent="0.2"/>
    <row r="1989" ht="25.5" customHeight="1" x14ac:dyDescent="0.2"/>
    <row r="1990" ht="25.5" customHeight="1" x14ac:dyDescent="0.2"/>
    <row r="1991" ht="25.5" customHeight="1" x14ac:dyDescent="0.2"/>
    <row r="1992" ht="25.5" customHeight="1" x14ac:dyDescent="0.2"/>
    <row r="1993" ht="25.5" customHeight="1" x14ac:dyDescent="0.2"/>
    <row r="1994" ht="25.5" customHeight="1" x14ac:dyDescent="0.2"/>
    <row r="1995" ht="25.5" customHeight="1" x14ac:dyDescent="0.2"/>
    <row r="1996" ht="25.5" customHeight="1" x14ac:dyDescent="0.2"/>
    <row r="1997" ht="25.5" customHeight="1" x14ac:dyDescent="0.2"/>
    <row r="1998" ht="25.5" customHeight="1" x14ac:dyDescent="0.2"/>
    <row r="1999" ht="25.5" customHeight="1" x14ac:dyDescent="0.2"/>
    <row r="2000" ht="25.5" customHeight="1" x14ac:dyDescent="0.2"/>
    <row r="2001" ht="25.5" customHeight="1" x14ac:dyDescent="0.2"/>
    <row r="2002" ht="25.5" customHeight="1" x14ac:dyDescent="0.2"/>
    <row r="2003" ht="25.5" customHeight="1" x14ac:dyDescent="0.2"/>
    <row r="2004" ht="25.5" customHeight="1" x14ac:dyDescent="0.2"/>
    <row r="2005" ht="25.5" customHeight="1" x14ac:dyDescent="0.2"/>
    <row r="2006" ht="25.5" customHeight="1" x14ac:dyDescent="0.2"/>
    <row r="2007" ht="25.5" customHeight="1" x14ac:dyDescent="0.2"/>
    <row r="2008" ht="25.5" customHeight="1" x14ac:dyDescent="0.2"/>
    <row r="2009" ht="25.5" customHeight="1" x14ac:dyDescent="0.2"/>
    <row r="2010" ht="25.5" customHeight="1" x14ac:dyDescent="0.2"/>
    <row r="2011" ht="25.5" customHeight="1" x14ac:dyDescent="0.2"/>
    <row r="2012" ht="25.5" customHeight="1" x14ac:dyDescent="0.2"/>
    <row r="2013" ht="25.5" customHeight="1" x14ac:dyDescent="0.2"/>
    <row r="2014" ht="25.5" customHeight="1" x14ac:dyDescent="0.2"/>
    <row r="2015" ht="25.5" customHeight="1" x14ac:dyDescent="0.2"/>
    <row r="2016" ht="25.5" customHeight="1" x14ac:dyDescent="0.2"/>
    <row r="2017" ht="25.5" customHeight="1" x14ac:dyDescent="0.2"/>
    <row r="2018" ht="25.5" customHeight="1" x14ac:dyDescent="0.2"/>
    <row r="2019" ht="25.5" customHeight="1" x14ac:dyDescent="0.2"/>
    <row r="2020" ht="25.5" customHeight="1" x14ac:dyDescent="0.2"/>
    <row r="2021" ht="25.5" customHeight="1" x14ac:dyDescent="0.2"/>
    <row r="2022" ht="25.5" customHeight="1" x14ac:dyDescent="0.2"/>
    <row r="2023" ht="25.5" customHeight="1" x14ac:dyDescent="0.2"/>
    <row r="2024" ht="25.5" customHeight="1" x14ac:dyDescent="0.2"/>
    <row r="2025" ht="25.5" customHeight="1" x14ac:dyDescent="0.2"/>
    <row r="2026" ht="25.5" customHeight="1" x14ac:dyDescent="0.2"/>
    <row r="2027" ht="25.5" customHeight="1" x14ac:dyDescent="0.2"/>
    <row r="2028" ht="25.5" customHeight="1" x14ac:dyDescent="0.2"/>
    <row r="2029" ht="25.5" customHeight="1" x14ac:dyDescent="0.2"/>
    <row r="2030" ht="25.5" customHeight="1" x14ac:dyDescent="0.2"/>
    <row r="2031" ht="25.5" customHeight="1" x14ac:dyDescent="0.2"/>
    <row r="2032" ht="25.5" customHeight="1" x14ac:dyDescent="0.2"/>
    <row r="2033" ht="25.5" customHeight="1" x14ac:dyDescent="0.2"/>
    <row r="2034" ht="25.5" customHeight="1" x14ac:dyDescent="0.2"/>
    <row r="2035" ht="25.5" customHeight="1" x14ac:dyDescent="0.2"/>
    <row r="2036" ht="25.5" customHeight="1" x14ac:dyDescent="0.2"/>
    <row r="2037" ht="25.5" customHeight="1" x14ac:dyDescent="0.2"/>
    <row r="2038" ht="25.5" customHeight="1" x14ac:dyDescent="0.2"/>
    <row r="2039" ht="25.5" customHeight="1" x14ac:dyDescent="0.2"/>
    <row r="2040" ht="25.5" customHeight="1" x14ac:dyDescent="0.2"/>
    <row r="2041" ht="25.5" customHeight="1" x14ac:dyDescent="0.2"/>
    <row r="2042" ht="25.5" customHeight="1" x14ac:dyDescent="0.2"/>
    <row r="2043" ht="25.5" customHeight="1" x14ac:dyDescent="0.2"/>
    <row r="2044" ht="25.5" customHeight="1" x14ac:dyDescent="0.2"/>
    <row r="2045" ht="25.5" customHeight="1" x14ac:dyDescent="0.2"/>
    <row r="2046" ht="25.5" customHeight="1" x14ac:dyDescent="0.2"/>
    <row r="2047" ht="25.5" customHeight="1" x14ac:dyDescent="0.2"/>
    <row r="2048" ht="25.5" customHeight="1" x14ac:dyDescent="0.2"/>
    <row r="2049" ht="25.5" customHeight="1" x14ac:dyDescent="0.2"/>
    <row r="2050" ht="25.5" customHeight="1" x14ac:dyDescent="0.2"/>
    <row r="2051" ht="25.5" customHeight="1" x14ac:dyDescent="0.2"/>
    <row r="2052" ht="25.5" customHeight="1" x14ac:dyDescent="0.2"/>
    <row r="2053" ht="25.5" customHeight="1" x14ac:dyDescent="0.2"/>
    <row r="2054" ht="25.5" customHeight="1" x14ac:dyDescent="0.2"/>
    <row r="2055" ht="25.5" customHeight="1" x14ac:dyDescent="0.2"/>
    <row r="2056" ht="25.5" customHeight="1" x14ac:dyDescent="0.2"/>
    <row r="2057" ht="25.5" customHeight="1" x14ac:dyDescent="0.2"/>
    <row r="2058" ht="25.5" customHeight="1" x14ac:dyDescent="0.2"/>
    <row r="2059" ht="25.5" customHeight="1" x14ac:dyDescent="0.2"/>
    <row r="2060" ht="25.5" customHeight="1" x14ac:dyDescent="0.2"/>
    <row r="2061" ht="25.5" customHeight="1" x14ac:dyDescent="0.2"/>
    <row r="2062" ht="25.5" customHeight="1" x14ac:dyDescent="0.2"/>
    <row r="2063" ht="25.5" customHeight="1" x14ac:dyDescent="0.2"/>
    <row r="2064" ht="25.5" customHeight="1" x14ac:dyDescent="0.2"/>
    <row r="2065" ht="25.5" customHeight="1" x14ac:dyDescent="0.2"/>
    <row r="2066" ht="25.5" customHeight="1" x14ac:dyDescent="0.2"/>
    <row r="2067" ht="25.5" customHeight="1" x14ac:dyDescent="0.2"/>
    <row r="2068" ht="25.5" customHeight="1" x14ac:dyDescent="0.2"/>
    <row r="2069" ht="25.5" customHeight="1" x14ac:dyDescent="0.2"/>
    <row r="2070" ht="25.5" customHeight="1" x14ac:dyDescent="0.2"/>
    <row r="2071" ht="25.5" customHeight="1" x14ac:dyDescent="0.2"/>
    <row r="2072" ht="25.5" customHeight="1" x14ac:dyDescent="0.2"/>
    <row r="2073" ht="25.5" customHeight="1" x14ac:dyDescent="0.2"/>
    <row r="2074" ht="25.5" customHeight="1" x14ac:dyDescent="0.2"/>
    <row r="2075" ht="25.5" customHeight="1" x14ac:dyDescent="0.2"/>
    <row r="2076" ht="25.5" customHeight="1" x14ac:dyDescent="0.2"/>
    <row r="2077" ht="25.5" customHeight="1" x14ac:dyDescent="0.2"/>
    <row r="2078" ht="25.5" customHeight="1" x14ac:dyDescent="0.2"/>
    <row r="2079" ht="25.5" customHeight="1" x14ac:dyDescent="0.2"/>
    <row r="2080" ht="25.5" customHeight="1" x14ac:dyDescent="0.2"/>
    <row r="2081" ht="25.5" customHeight="1" x14ac:dyDescent="0.2"/>
    <row r="2082" ht="25.5" customHeight="1" x14ac:dyDescent="0.2"/>
    <row r="2083" ht="25.5" customHeight="1" x14ac:dyDescent="0.2"/>
    <row r="2084" ht="25.5" customHeight="1" x14ac:dyDescent="0.2"/>
    <row r="2085" ht="25.5" customHeight="1" x14ac:dyDescent="0.2"/>
    <row r="2086" ht="25.5" customHeight="1" x14ac:dyDescent="0.2"/>
    <row r="2087" ht="25.5" customHeight="1" x14ac:dyDescent="0.2"/>
    <row r="2088" ht="25.5" customHeight="1" x14ac:dyDescent="0.2"/>
    <row r="2089" ht="25.5" customHeight="1" x14ac:dyDescent="0.2"/>
    <row r="2090" ht="25.5" customHeight="1" x14ac:dyDescent="0.2"/>
    <row r="2091" ht="25.5" customHeight="1" x14ac:dyDescent="0.2"/>
    <row r="2092" ht="25.5" customHeight="1" x14ac:dyDescent="0.2"/>
    <row r="2093" ht="25.5" customHeight="1" x14ac:dyDescent="0.2"/>
    <row r="2094" ht="25.5" customHeight="1" x14ac:dyDescent="0.2"/>
    <row r="2095" ht="25.5" customHeight="1" x14ac:dyDescent="0.2"/>
    <row r="2096" ht="25.5" customHeight="1" x14ac:dyDescent="0.2"/>
    <row r="2097" ht="25.5" customHeight="1" x14ac:dyDescent="0.2"/>
    <row r="2098" ht="25.5" customHeight="1" x14ac:dyDescent="0.2"/>
    <row r="2099" ht="25.5" customHeight="1" x14ac:dyDescent="0.2"/>
    <row r="2100" ht="25.5" customHeight="1" x14ac:dyDescent="0.2"/>
    <row r="2101" ht="25.5" customHeight="1" x14ac:dyDescent="0.2"/>
    <row r="2102" ht="25.5" customHeight="1" x14ac:dyDescent="0.2"/>
    <row r="2103" ht="25.5" customHeight="1" x14ac:dyDescent="0.2"/>
    <row r="2104" ht="25.5" customHeight="1" x14ac:dyDescent="0.2"/>
    <row r="2105" ht="25.5" customHeight="1" x14ac:dyDescent="0.2"/>
    <row r="2106" ht="25.5" customHeight="1" x14ac:dyDescent="0.2"/>
    <row r="2107" ht="25.5" customHeight="1" x14ac:dyDescent="0.2"/>
    <row r="2108" ht="25.5" customHeight="1" x14ac:dyDescent="0.2"/>
    <row r="2109" ht="25.5" customHeight="1" x14ac:dyDescent="0.2"/>
    <row r="2110" ht="25.5" customHeight="1" x14ac:dyDescent="0.2"/>
    <row r="2111" ht="25.5" customHeight="1" x14ac:dyDescent="0.2"/>
    <row r="2112" ht="25.5" customHeight="1" x14ac:dyDescent="0.2"/>
    <row r="2113" ht="25.5" customHeight="1" x14ac:dyDescent="0.2"/>
    <row r="2114" ht="25.5" customHeight="1" x14ac:dyDescent="0.2"/>
    <row r="2115" ht="25.5" customHeight="1" x14ac:dyDescent="0.2"/>
    <row r="2116" ht="25.5" customHeight="1" x14ac:dyDescent="0.2"/>
    <row r="2117" ht="25.5" customHeight="1" x14ac:dyDescent="0.2"/>
    <row r="2118" ht="25.5" customHeight="1" x14ac:dyDescent="0.2"/>
    <row r="2119" ht="25.5" customHeight="1" x14ac:dyDescent="0.2"/>
    <row r="2120" ht="25.5" customHeight="1" x14ac:dyDescent="0.2"/>
    <row r="2121" ht="25.5" customHeight="1" x14ac:dyDescent="0.2"/>
    <row r="2122" ht="25.5" customHeight="1" x14ac:dyDescent="0.2"/>
    <row r="2123" ht="25.5" customHeight="1" x14ac:dyDescent="0.2"/>
    <row r="2124" ht="25.5" customHeight="1" x14ac:dyDescent="0.2"/>
    <row r="2125" ht="25.5" customHeight="1" x14ac:dyDescent="0.2"/>
    <row r="2126" ht="25.5" customHeight="1" x14ac:dyDescent="0.2"/>
    <row r="2127" ht="25.5" customHeight="1" x14ac:dyDescent="0.2"/>
    <row r="2128" ht="25.5" customHeight="1" x14ac:dyDescent="0.2"/>
    <row r="2129" ht="25.5" customHeight="1" x14ac:dyDescent="0.2"/>
    <row r="2130" ht="25.5" customHeight="1" x14ac:dyDescent="0.2"/>
    <row r="2131" ht="25.5" customHeight="1" x14ac:dyDescent="0.2"/>
    <row r="2132" ht="25.5" customHeight="1" x14ac:dyDescent="0.2"/>
    <row r="2133" ht="25.5" customHeight="1" x14ac:dyDescent="0.2"/>
    <row r="2134" ht="25.5" customHeight="1" x14ac:dyDescent="0.2"/>
    <row r="2135" ht="25.5" customHeight="1" x14ac:dyDescent="0.2"/>
    <row r="2136" ht="25.5" customHeight="1" x14ac:dyDescent="0.2"/>
    <row r="2137" ht="25.5" customHeight="1" x14ac:dyDescent="0.2"/>
    <row r="2138" ht="25.5" customHeight="1" x14ac:dyDescent="0.2"/>
    <row r="2139" ht="25.5" customHeight="1" x14ac:dyDescent="0.2"/>
    <row r="2140" ht="25.5" customHeight="1" x14ac:dyDescent="0.2"/>
    <row r="2141" ht="25.5" customHeight="1" x14ac:dyDescent="0.2"/>
    <row r="2142" ht="25.5" customHeight="1" x14ac:dyDescent="0.2"/>
    <row r="2143" ht="25.5" customHeight="1" x14ac:dyDescent="0.2"/>
    <row r="2144" ht="25.5" customHeight="1" x14ac:dyDescent="0.2"/>
    <row r="2145" ht="25.5" customHeight="1" x14ac:dyDescent="0.2"/>
    <row r="2146" ht="25.5" customHeight="1" x14ac:dyDescent="0.2"/>
    <row r="2147" ht="25.5" customHeight="1" x14ac:dyDescent="0.2"/>
    <row r="2148" ht="25.5" customHeight="1" x14ac:dyDescent="0.2"/>
    <row r="2149" ht="25.5" customHeight="1" x14ac:dyDescent="0.2"/>
    <row r="2150" ht="25.5" customHeight="1" x14ac:dyDescent="0.2"/>
    <row r="2151" ht="25.5" customHeight="1" x14ac:dyDescent="0.2"/>
    <row r="2152" ht="25.5" customHeight="1" x14ac:dyDescent="0.2"/>
    <row r="2153" ht="25.5" customHeight="1" x14ac:dyDescent="0.2"/>
    <row r="2154" ht="25.5" customHeight="1" x14ac:dyDescent="0.2"/>
    <row r="2155" ht="25.5" customHeight="1" x14ac:dyDescent="0.2"/>
    <row r="2156" ht="25.5" customHeight="1" x14ac:dyDescent="0.2"/>
    <row r="2157" ht="25.5" customHeight="1" x14ac:dyDescent="0.2"/>
    <row r="2158" ht="25.5" customHeight="1" x14ac:dyDescent="0.2"/>
    <row r="2159" ht="25.5" customHeight="1" x14ac:dyDescent="0.2"/>
    <row r="2160" ht="25.5" customHeight="1" x14ac:dyDescent="0.2"/>
    <row r="2161" ht="25.5" customHeight="1" x14ac:dyDescent="0.2"/>
    <row r="2162" ht="25.5" customHeight="1" x14ac:dyDescent="0.2"/>
    <row r="2163" ht="25.5" customHeight="1" x14ac:dyDescent="0.2"/>
    <row r="2164" ht="25.5" customHeight="1" x14ac:dyDescent="0.2"/>
    <row r="2165" ht="25.5" customHeight="1" x14ac:dyDescent="0.2"/>
    <row r="2166" ht="25.5" customHeight="1" x14ac:dyDescent="0.2"/>
    <row r="2167" ht="25.5" customHeight="1" x14ac:dyDescent="0.2"/>
    <row r="2168" ht="25.5" customHeight="1" x14ac:dyDescent="0.2"/>
    <row r="2169" ht="25.5" customHeight="1" x14ac:dyDescent="0.2"/>
    <row r="2170" ht="25.5" customHeight="1" x14ac:dyDescent="0.2"/>
    <row r="2171" ht="25.5" customHeight="1" x14ac:dyDescent="0.2"/>
    <row r="2172" ht="25.5" customHeight="1" x14ac:dyDescent="0.2"/>
    <row r="2173" ht="25.5" customHeight="1" x14ac:dyDescent="0.2"/>
    <row r="2174" ht="25.5" customHeight="1" x14ac:dyDescent="0.2"/>
    <row r="2175" ht="25.5" customHeight="1" x14ac:dyDescent="0.2"/>
    <row r="2176" ht="25.5" customHeight="1" x14ac:dyDescent="0.2"/>
    <row r="2177" ht="25.5" customHeight="1" x14ac:dyDescent="0.2"/>
    <row r="2178" ht="25.5" customHeight="1" x14ac:dyDescent="0.2"/>
    <row r="2179" ht="25.5" customHeight="1" x14ac:dyDescent="0.2"/>
    <row r="2180" ht="25.5" customHeight="1" x14ac:dyDescent="0.2"/>
    <row r="2181" ht="25.5" customHeight="1" x14ac:dyDescent="0.2"/>
    <row r="2182" ht="25.5" customHeight="1" x14ac:dyDescent="0.2"/>
    <row r="2183" ht="25.5" customHeight="1" x14ac:dyDescent="0.2"/>
    <row r="2184" ht="25.5" customHeight="1" x14ac:dyDescent="0.2"/>
    <row r="2185" ht="25.5" customHeight="1" x14ac:dyDescent="0.2"/>
    <row r="2186" ht="25.5" customHeight="1" x14ac:dyDescent="0.2"/>
    <row r="2187" ht="25.5" customHeight="1" x14ac:dyDescent="0.2"/>
    <row r="2188" ht="25.5" customHeight="1" x14ac:dyDescent="0.2"/>
    <row r="2189" ht="25.5" customHeight="1" x14ac:dyDescent="0.2"/>
    <row r="2190" ht="25.5" customHeight="1" x14ac:dyDescent="0.2"/>
    <row r="2191" ht="25.5" customHeight="1" x14ac:dyDescent="0.2"/>
    <row r="2192" ht="25.5" customHeight="1" x14ac:dyDescent="0.2"/>
    <row r="2193" ht="25.5" customHeight="1" x14ac:dyDescent="0.2"/>
    <row r="2194" ht="25.5" customHeight="1" x14ac:dyDescent="0.2"/>
    <row r="2195" ht="25.5" customHeight="1" x14ac:dyDescent="0.2"/>
    <row r="2196" ht="25.5" customHeight="1" x14ac:dyDescent="0.2"/>
    <row r="2197" ht="25.5" customHeight="1" x14ac:dyDescent="0.2"/>
    <row r="2198" ht="25.5" customHeight="1" x14ac:dyDescent="0.2"/>
    <row r="2199" ht="25.5" customHeight="1" x14ac:dyDescent="0.2"/>
    <row r="2200" ht="25.5" customHeight="1" x14ac:dyDescent="0.2"/>
    <row r="2201" ht="25.5" customHeight="1" x14ac:dyDescent="0.2"/>
    <row r="2202" ht="25.5" customHeight="1" x14ac:dyDescent="0.2"/>
    <row r="2203" ht="25.5" customHeight="1" x14ac:dyDescent="0.2"/>
    <row r="2204" ht="25.5" customHeight="1" x14ac:dyDescent="0.2"/>
    <row r="2205" ht="25.5" customHeight="1" x14ac:dyDescent="0.2"/>
    <row r="2206" ht="25.5" customHeight="1" x14ac:dyDescent="0.2"/>
    <row r="2207" ht="25.5" customHeight="1" x14ac:dyDescent="0.2"/>
    <row r="2208" ht="25.5" customHeight="1" x14ac:dyDescent="0.2"/>
    <row r="2209" ht="25.5" customHeight="1" x14ac:dyDescent="0.2"/>
    <row r="2210" ht="25.5" customHeight="1" x14ac:dyDescent="0.2"/>
    <row r="2211" ht="25.5" customHeight="1" x14ac:dyDescent="0.2"/>
    <row r="2212" ht="25.5" customHeight="1" x14ac:dyDescent="0.2"/>
    <row r="2213" ht="25.5" customHeight="1" x14ac:dyDescent="0.2"/>
    <row r="2214" ht="25.5" customHeight="1" x14ac:dyDescent="0.2"/>
    <row r="2215" ht="25.5" customHeight="1" x14ac:dyDescent="0.2"/>
    <row r="2216" ht="25.5" customHeight="1" x14ac:dyDescent="0.2"/>
    <row r="2217" ht="25.5" customHeight="1" x14ac:dyDescent="0.2"/>
    <row r="2218" ht="25.5" customHeight="1" x14ac:dyDescent="0.2"/>
    <row r="2219" ht="25.5" customHeight="1" x14ac:dyDescent="0.2"/>
    <row r="2220" ht="25.5" customHeight="1" x14ac:dyDescent="0.2"/>
    <row r="2221" ht="25.5" customHeight="1" x14ac:dyDescent="0.2"/>
    <row r="2222" ht="25.5" customHeight="1" x14ac:dyDescent="0.2"/>
    <row r="2223" ht="25.5" customHeight="1" x14ac:dyDescent="0.2"/>
    <row r="2224" ht="25.5" customHeight="1" x14ac:dyDescent="0.2"/>
    <row r="2225" ht="25.5" customHeight="1" x14ac:dyDescent="0.2"/>
    <row r="2226" ht="25.5" customHeight="1" x14ac:dyDescent="0.2"/>
    <row r="2227" ht="25.5" customHeight="1" x14ac:dyDescent="0.2"/>
    <row r="2228" ht="25.5" customHeight="1" x14ac:dyDescent="0.2"/>
    <row r="2229" ht="25.5" customHeight="1" x14ac:dyDescent="0.2"/>
    <row r="2230" ht="25.5" customHeight="1" x14ac:dyDescent="0.2"/>
    <row r="2231" ht="25.5" customHeight="1" x14ac:dyDescent="0.2"/>
    <row r="2232" ht="25.5" customHeight="1" x14ac:dyDescent="0.2"/>
    <row r="2233" ht="25.5" customHeight="1" x14ac:dyDescent="0.2"/>
    <row r="2234" ht="25.5" customHeight="1" x14ac:dyDescent="0.2"/>
    <row r="2235" ht="25.5" customHeight="1" x14ac:dyDescent="0.2"/>
    <row r="2236" ht="25.5" customHeight="1" x14ac:dyDescent="0.2"/>
    <row r="2237" ht="25.5" customHeight="1" x14ac:dyDescent="0.2"/>
    <row r="2238" ht="25.5" customHeight="1" x14ac:dyDescent="0.2"/>
    <row r="2239" ht="25.5" customHeight="1" x14ac:dyDescent="0.2"/>
    <row r="2240" ht="25.5" customHeight="1" x14ac:dyDescent="0.2"/>
    <row r="2241" ht="25.5" customHeight="1" x14ac:dyDescent="0.2"/>
    <row r="2242" ht="25.5" customHeight="1" x14ac:dyDescent="0.2"/>
    <row r="2243" ht="25.5" customHeight="1" x14ac:dyDescent="0.2"/>
    <row r="2244" ht="25.5" customHeight="1" x14ac:dyDescent="0.2"/>
    <row r="2245" ht="25.5" customHeight="1" x14ac:dyDescent="0.2"/>
    <row r="2246" ht="25.5" customHeight="1" x14ac:dyDescent="0.2"/>
    <row r="2247" ht="25.5" customHeight="1" x14ac:dyDescent="0.2"/>
    <row r="2248" ht="25.5" customHeight="1" x14ac:dyDescent="0.2"/>
    <row r="2249" ht="25.5" customHeight="1" x14ac:dyDescent="0.2"/>
    <row r="2250" ht="25.5" customHeight="1" x14ac:dyDescent="0.2"/>
    <row r="2251" ht="25.5" customHeight="1" x14ac:dyDescent="0.2"/>
    <row r="2252" ht="25.5" customHeight="1" x14ac:dyDescent="0.2"/>
    <row r="2253" ht="25.5" customHeight="1" x14ac:dyDescent="0.2"/>
    <row r="2254" ht="25.5" customHeight="1" x14ac:dyDescent="0.2"/>
    <row r="2255" ht="25.5" customHeight="1" x14ac:dyDescent="0.2"/>
    <row r="2256" ht="25.5" customHeight="1" x14ac:dyDescent="0.2"/>
    <row r="2257" ht="25.5" customHeight="1" x14ac:dyDescent="0.2"/>
    <row r="2258" ht="25.5" customHeight="1" x14ac:dyDescent="0.2"/>
    <row r="2259" ht="25.5" customHeight="1" x14ac:dyDescent="0.2"/>
    <row r="2260" ht="25.5" customHeight="1" x14ac:dyDescent="0.2"/>
    <row r="2261" ht="25.5" customHeight="1" x14ac:dyDescent="0.2"/>
    <row r="2262" ht="25.5" customHeight="1" x14ac:dyDescent="0.2"/>
    <row r="2263" ht="25.5" customHeight="1" x14ac:dyDescent="0.2"/>
    <row r="2264" ht="25.5" customHeight="1" x14ac:dyDescent="0.2"/>
    <row r="2265" ht="25.5" customHeight="1" x14ac:dyDescent="0.2"/>
    <row r="2266" ht="25.5" customHeight="1" x14ac:dyDescent="0.2"/>
    <row r="2267" ht="25.5" customHeight="1" x14ac:dyDescent="0.2"/>
    <row r="2268" ht="25.5" customHeight="1" x14ac:dyDescent="0.2"/>
    <row r="2269" ht="25.5" customHeight="1" x14ac:dyDescent="0.2"/>
    <row r="2270" ht="25.5" customHeight="1" x14ac:dyDescent="0.2"/>
    <row r="2271" ht="25.5" customHeight="1" x14ac:dyDescent="0.2"/>
    <row r="2272" ht="25.5" customHeight="1" x14ac:dyDescent="0.2"/>
    <row r="2273" ht="25.5" customHeight="1" x14ac:dyDescent="0.2"/>
    <row r="2274" ht="25.5" customHeight="1" x14ac:dyDescent="0.2"/>
    <row r="2275" ht="25.5" customHeight="1" x14ac:dyDescent="0.2"/>
    <row r="2276" ht="25.5" customHeight="1" x14ac:dyDescent="0.2"/>
    <row r="2277" ht="25.5" customHeight="1" x14ac:dyDescent="0.2"/>
    <row r="2278" ht="25.5" customHeight="1" x14ac:dyDescent="0.2"/>
    <row r="2279" ht="25.5" customHeight="1" x14ac:dyDescent="0.2"/>
    <row r="2280" ht="25.5" customHeight="1" x14ac:dyDescent="0.2"/>
    <row r="2281" ht="25.5" customHeight="1" x14ac:dyDescent="0.2"/>
    <row r="2282" ht="25.5" customHeight="1" x14ac:dyDescent="0.2"/>
    <row r="2283" ht="25.5" customHeight="1" x14ac:dyDescent="0.2"/>
    <row r="2284" ht="25.5" customHeight="1" x14ac:dyDescent="0.2"/>
    <row r="2285" ht="25.5" customHeight="1" x14ac:dyDescent="0.2"/>
    <row r="2286" ht="25.5" customHeight="1" x14ac:dyDescent="0.2"/>
    <row r="2287" ht="25.5" customHeight="1" x14ac:dyDescent="0.2"/>
    <row r="2288" ht="25.5" customHeight="1" x14ac:dyDescent="0.2"/>
    <row r="2289" ht="25.5" customHeight="1" x14ac:dyDescent="0.2"/>
    <row r="2290" ht="25.5" customHeight="1" x14ac:dyDescent="0.2"/>
    <row r="2291" ht="25.5" customHeight="1" x14ac:dyDescent="0.2"/>
    <row r="2292" ht="25.5" customHeight="1" x14ac:dyDescent="0.2"/>
    <row r="2293" ht="25.5" customHeight="1" x14ac:dyDescent="0.2"/>
    <row r="2294" ht="25.5" customHeight="1" x14ac:dyDescent="0.2"/>
    <row r="2295" ht="25.5" customHeight="1" x14ac:dyDescent="0.2"/>
    <row r="2296" ht="25.5" customHeight="1" x14ac:dyDescent="0.2"/>
    <row r="2297" ht="25.5" customHeight="1" x14ac:dyDescent="0.2"/>
    <row r="2298" ht="25.5" customHeight="1" x14ac:dyDescent="0.2"/>
    <row r="2299" ht="25.5" customHeight="1" x14ac:dyDescent="0.2"/>
    <row r="2300" ht="25.5" customHeight="1" x14ac:dyDescent="0.2"/>
    <row r="2301" ht="25.5" customHeight="1" x14ac:dyDescent="0.2"/>
    <row r="2302" ht="25.5" customHeight="1" x14ac:dyDescent="0.2"/>
    <row r="2303" ht="25.5" customHeight="1" x14ac:dyDescent="0.2"/>
    <row r="2304" ht="25.5" customHeight="1" x14ac:dyDescent="0.2"/>
    <row r="2305" ht="25.5" customHeight="1" x14ac:dyDescent="0.2"/>
    <row r="2306" ht="25.5" customHeight="1" x14ac:dyDescent="0.2"/>
    <row r="2307" ht="25.5" customHeight="1" x14ac:dyDescent="0.2"/>
    <row r="2308" ht="25.5" customHeight="1" x14ac:dyDescent="0.2"/>
    <row r="2309" ht="25.5" customHeight="1" x14ac:dyDescent="0.2"/>
    <row r="2310" ht="25.5" customHeight="1" x14ac:dyDescent="0.2"/>
    <row r="2311" ht="25.5" customHeight="1" x14ac:dyDescent="0.2"/>
    <row r="2312" ht="25.5" customHeight="1" x14ac:dyDescent="0.2"/>
    <row r="2313" ht="25.5" customHeight="1" x14ac:dyDescent="0.2"/>
    <row r="2314" ht="25.5" customHeight="1" x14ac:dyDescent="0.2"/>
    <row r="2315" ht="25.5" customHeight="1" x14ac:dyDescent="0.2"/>
    <row r="2316" ht="25.5" customHeight="1" x14ac:dyDescent="0.2"/>
    <row r="2317" ht="25.5" customHeight="1" x14ac:dyDescent="0.2"/>
    <row r="2318" ht="25.5" customHeight="1" x14ac:dyDescent="0.2"/>
    <row r="2319" ht="25.5" customHeight="1" x14ac:dyDescent="0.2"/>
    <row r="2320" ht="25.5" customHeight="1" x14ac:dyDescent="0.2"/>
    <row r="2321" ht="25.5" customHeight="1" x14ac:dyDescent="0.2"/>
    <row r="2322" ht="25.5" customHeight="1" x14ac:dyDescent="0.2"/>
    <row r="2323" ht="25.5" customHeight="1" x14ac:dyDescent="0.2"/>
    <row r="2324" ht="25.5" customHeight="1" x14ac:dyDescent="0.2"/>
    <row r="2325" ht="25.5" customHeight="1" x14ac:dyDescent="0.2"/>
    <row r="2326" ht="25.5" customHeight="1" x14ac:dyDescent="0.2"/>
    <row r="2327" ht="25.5" customHeight="1" x14ac:dyDescent="0.2"/>
    <row r="2328" ht="25.5" customHeight="1" x14ac:dyDescent="0.2"/>
    <row r="2329" ht="25.5" customHeight="1" x14ac:dyDescent="0.2"/>
    <row r="2330" ht="25.5" customHeight="1" x14ac:dyDescent="0.2"/>
    <row r="2331" ht="25.5" customHeight="1" x14ac:dyDescent="0.2"/>
    <row r="2332" ht="25.5" customHeight="1" x14ac:dyDescent="0.2"/>
    <row r="2333" ht="25.5" customHeight="1" x14ac:dyDescent="0.2"/>
    <row r="2334" ht="25.5" customHeight="1" x14ac:dyDescent="0.2"/>
    <row r="2335" ht="25.5" customHeight="1" x14ac:dyDescent="0.2"/>
    <row r="2336" ht="25.5" customHeight="1" x14ac:dyDescent="0.2"/>
    <row r="2337" ht="25.5" customHeight="1" x14ac:dyDescent="0.2"/>
    <row r="2338" ht="25.5" customHeight="1" x14ac:dyDescent="0.2"/>
    <row r="2339" ht="25.5" customHeight="1" x14ac:dyDescent="0.2"/>
    <row r="2340" ht="25.5" customHeight="1" x14ac:dyDescent="0.2"/>
    <row r="2341" ht="25.5" customHeight="1" x14ac:dyDescent="0.2"/>
    <row r="2342" ht="25.5" customHeight="1" x14ac:dyDescent="0.2"/>
    <row r="2343" ht="25.5" customHeight="1" x14ac:dyDescent="0.2"/>
    <row r="2344" ht="25.5" customHeight="1" x14ac:dyDescent="0.2"/>
    <row r="2345" ht="25.5" customHeight="1" x14ac:dyDescent="0.2"/>
    <row r="2346" ht="25.5" customHeight="1" x14ac:dyDescent="0.2"/>
    <row r="2347" ht="25.5" customHeight="1" x14ac:dyDescent="0.2"/>
    <row r="2348" ht="25.5" customHeight="1" x14ac:dyDescent="0.2"/>
    <row r="2349" ht="25.5" customHeight="1" x14ac:dyDescent="0.2"/>
    <row r="2350" ht="25.5" customHeight="1" x14ac:dyDescent="0.2"/>
    <row r="2351" ht="25.5" customHeight="1" x14ac:dyDescent="0.2"/>
    <row r="2352" ht="25.5" customHeight="1" x14ac:dyDescent="0.2"/>
    <row r="2353" ht="25.5" customHeight="1" x14ac:dyDescent="0.2"/>
    <row r="2354" ht="25.5" customHeight="1" x14ac:dyDescent="0.2"/>
    <row r="2355" ht="25.5" customHeight="1" x14ac:dyDescent="0.2"/>
    <row r="2356" ht="25.5" customHeight="1" x14ac:dyDescent="0.2"/>
    <row r="2357" ht="25.5" customHeight="1" x14ac:dyDescent="0.2"/>
    <row r="2358" ht="25.5" customHeight="1" x14ac:dyDescent="0.2"/>
    <row r="2359" ht="25.5" customHeight="1" x14ac:dyDescent="0.2"/>
    <row r="2360" ht="25.5" customHeight="1" x14ac:dyDescent="0.2"/>
    <row r="2361" ht="25.5" customHeight="1" x14ac:dyDescent="0.2"/>
    <row r="2362" ht="25.5" customHeight="1" x14ac:dyDescent="0.2"/>
    <row r="2363" ht="25.5" customHeight="1" x14ac:dyDescent="0.2"/>
    <row r="2364" ht="25.5" customHeight="1" x14ac:dyDescent="0.2"/>
    <row r="2365" ht="25.5" customHeight="1" x14ac:dyDescent="0.2"/>
    <row r="2366" ht="25.5" customHeight="1" x14ac:dyDescent="0.2"/>
    <row r="2367" ht="25.5" customHeight="1" x14ac:dyDescent="0.2"/>
    <row r="2368" ht="25.5" customHeight="1" x14ac:dyDescent="0.2"/>
    <row r="2369" ht="25.5" customHeight="1" x14ac:dyDescent="0.2"/>
    <row r="2370" ht="25.5" customHeight="1" x14ac:dyDescent="0.2"/>
    <row r="2371" ht="25.5" customHeight="1" x14ac:dyDescent="0.2"/>
    <row r="2372" ht="25.5" customHeight="1" x14ac:dyDescent="0.2"/>
    <row r="2373" ht="25.5" customHeight="1" x14ac:dyDescent="0.2"/>
    <row r="2374" ht="25.5" customHeight="1" x14ac:dyDescent="0.2"/>
    <row r="2375" ht="25.5" customHeight="1" x14ac:dyDescent="0.2"/>
    <row r="2376" ht="25.5" customHeight="1" x14ac:dyDescent="0.2"/>
    <row r="2377" ht="25.5" customHeight="1" x14ac:dyDescent="0.2"/>
    <row r="2378" ht="25.5" customHeight="1" x14ac:dyDescent="0.2"/>
    <row r="2379" ht="25.5" customHeight="1" x14ac:dyDescent="0.2"/>
    <row r="2380" ht="25.5" customHeight="1" x14ac:dyDescent="0.2"/>
    <row r="2381" ht="25.5" customHeight="1" x14ac:dyDescent="0.2"/>
    <row r="2382" ht="25.5" customHeight="1" x14ac:dyDescent="0.2"/>
    <row r="2383" ht="25.5" customHeight="1" x14ac:dyDescent="0.2"/>
    <row r="2384" ht="25.5" customHeight="1" x14ac:dyDescent="0.2"/>
    <row r="2385" ht="25.5" customHeight="1" x14ac:dyDescent="0.2"/>
    <row r="2386" ht="25.5" customHeight="1" x14ac:dyDescent="0.2"/>
    <row r="2387" ht="25.5" customHeight="1" x14ac:dyDescent="0.2"/>
    <row r="2388" ht="25.5" customHeight="1" x14ac:dyDescent="0.2"/>
    <row r="2389" ht="25.5" customHeight="1" x14ac:dyDescent="0.2"/>
    <row r="2390" ht="25.5" customHeight="1" x14ac:dyDescent="0.2"/>
    <row r="2391" ht="25.5" customHeight="1" x14ac:dyDescent="0.2"/>
    <row r="2392" ht="25.5" customHeight="1" x14ac:dyDescent="0.2"/>
    <row r="2393" ht="25.5" customHeight="1" x14ac:dyDescent="0.2"/>
    <row r="2394" ht="25.5" customHeight="1" x14ac:dyDescent="0.2"/>
    <row r="2395" ht="25.5" customHeight="1" x14ac:dyDescent="0.2"/>
    <row r="2396" ht="25.5" customHeight="1" x14ac:dyDescent="0.2"/>
    <row r="2397" ht="25.5" customHeight="1" x14ac:dyDescent="0.2"/>
    <row r="2398" ht="25.5" customHeight="1" x14ac:dyDescent="0.2"/>
    <row r="2399" ht="25.5" customHeight="1" x14ac:dyDescent="0.2"/>
    <row r="2400" ht="25.5" customHeight="1" x14ac:dyDescent="0.2"/>
    <row r="2401" ht="25.5" customHeight="1" x14ac:dyDescent="0.2"/>
    <row r="2402" ht="25.5" customHeight="1" x14ac:dyDescent="0.2"/>
    <row r="2403" ht="25.5" customHeight="1" x14ac:dyDescent="0.2"/>
    <row r="2404" ht="25.5" customHeight="1" x14ac:dyDescent="0.2"/>
    <row r="2405" ht="25.5" customHeight="1" x14ac:dyDescent="0.2"/>
    <row r="2406" ht="25.5" customHeight="1" x14ac:dyDescent="0.2"/>
    <row r="2407" ht="25.5" customHeight="1" x14ac:dyDescent="0.2"/>
    <row r="2408" ht="25.5" customHeight="1" x14ac:dyDescent="0.2"/>
    <row r="2409" ht="25.5" customHeight="1" x14ac:dyDescent="0.2"/>
    <row r="2410" ht="25.5" customHeight="1" x14ac:dyDescent="0.2"/>
    <row r="2411" ht="25.5" customHeight="1" x14ac:dyDescent="0.2"/>
    <row r="2412" ht="25.5" customHeight="1" x14ac:dyDescent="0.2"/>
    <row r="2413" ht="25.5" customHeight="1" x14ac:dyDescent="0.2"/>
    <row r="2414" ht="25.5" customHeight="1" x14ac:dyDescent="0.2"/>
    <row r="2415" ht="25.5" customHeight="1" x14ac:dyDescent="0.2"/>
    <row r="2416" ht="25.5" customHeight="1" x14ac:dyDescent="0.2"/>
    <row r="2417" ht="25.5" customHeight="1" x14ac:dyDescent="0.2"/>
    <row r="2418" ht="25.5" customHeight="1" x14ac:dyDescent="0.2"/>
    <row r="2419" ht="25.5" customHeight="1" x14ac:dyDescent="0.2"/>
    <row r="2420" ht="25.5" customHeight="1" x14ac:dyDescent="0.2"/>
    <row r="2421" ht="25.5" customHeight="1" x14ac:dyDescent="0.2"/>
    <row r="2422" ht="25.5" customHeight="1" x14ac:dyDescent="0.2"/>
    <row r="2423" ht="25.5" customHeight="1" x14ac:dyDescent="0.2"/>
    <row r="2424" ht="25.5" customHeight="1" x14ac:dyDescent="0.2"/>
    <row r="2425" ht="25.5" customHeight="1" x14ac:dyDescent="0.2"/>
    <row r="2426" ht="25.5" customHeight="1" x14ac:dyDescent="0.2"/>
    <row r="2427" ht="25.5" customHeight="1" x14ac:dyDescent="0.2"/>
    <row r="2428" ht="25.5" customHeight="1" x14ac:dyDescent="0.2"/>
    <row r="2429" ht="25.5" customHeight="1" x14ac:dyDescent="0.2"/>
    <row r="2430" ht="25.5" customHeight="1" x14ac:dyDescent="0.2"/>
    <row r="2431" ht="25.5" customHeight="1" x14ac:dyDescent="0.2"/>
    <row r="2432" ht="25.5" customHeight="1" x14ac:dyDescent="0.2"/>
    <row r="2433" ht="25.5" customHeight="1" x14ac:dyDescent="0.2"/>
    <row r="2434" ht="25.5" customHeight="1" x14ac:dyDescent="0.2"/>
    <row r="2435" ht="25.5" customHeight="1" x14ac:dyDescent="0.2"/>
    <row r="2436" ht="25.5" customHeight="1" x14ac:dyDescent="0.2"/>
    <row r="2437" ht="25.5" customHeight="1" x14ac:dyDescent="0.2"/>
    <row r="2438" ht="25.5" customHeight="1" x14ac:dyDescent="0.2"/>
    <row r="2439" ht="25.5" customHeight="1" x14ac:dyDescent="0.2"/>
    <row r="2440" ht="25.5" customHeight="1" x14ac:dyDescent="0.2"/>
    <row r="2441" ht="25.5" customHeight="1" x14ac:dyDescent="0.2"/>
    <row r="2442" ht="25.5" customHeight="1" x14ac:dyDescent="0.2"/>
    <row r="2443" ht="25.5" customHeight="1" x14ac:dyDescent="0.2"/>
    <row r="2444" ht="25.5" customHeight="1" x14ac:dyDescent="0.2"/>
    <row r="2445" ht="25.5" customHeight="1" x14ac:dyDescent="0.2"/>
    <row r="2446" ht="25.5" customHeight="1" x14ac:dyDescent="0.2"/>
    <row r="2447" ht="25.5" customHeight="1" x14ac:dyDescent="0.2"/>
    <row r="2448" ht="25.5" customHeight="1" x14ac:dyDescent="0.2"/>
    <row r="2449" ht="25.5" customHeight="1" x14ac:dyDescent="0.2"/>
    <row r="2450" ht="25.5" customHeight="1" x14ac:dyDescent="0.2"/>
    <row r="2451" ht="25.5" customHeight="1" x14ac:dyDescent="0.2"/>
    <row r="2452" ht="25.5" customHeight="1" x14ac:dyDescent="0.2"/>
    <row r="2453" ht="25.5" customHeight="1" x14ac:dyDescent="0.2"/>
    <row r="2454" ht="25.5" customHeight="1" x14ac:dyDescent="0.2"/>
    <row r="2455" ht="25.5" customHeight="1" x14ac:dyDescent="0.2"/>
    <row r="2456" ht="25.5" customHeight="1" x14ac:dyDescent="0.2"/>
    <row r="2457" ht="25.5" customHeight="1" x14ac:dyDescent="0.2"/>
    <row r="2458" ht="25.5" customHeight="1" x14ac:dyDescent="0.2"/>
    <row r="2459" ht="25.5" customHeight="1" x14ac:dyDescent="0.2"/>
    <row r="2460" ht="25.5" customHeight="1" x14ac:dyDescent="0.2"/>
    <row r="2461" ht="25.5" customHeight="1" x14ac:dyDescent="0.2"/>
    <row r="2462" ht="25.5" customHeight="1" x14ac:dyDescent="0.2"/>
    <row r="2463" ht="25.5" customHeight="1" x14ac:dyDescent="0.2"/>
    <row r="2464" ht="25.5" customHeight="1" x14ac:dyDescent="0.2"/>
    <row r="2465" ht="25.5" customHeight="1" x14ac:dyDescent="0.2"/>
    <row r="2466" ht="25.5" customHeight="1" x14ac:dyDescent="0.2"/>
    <row r="2467" ht="25.5" customHeight="1" x14ac:dyDescent="0.2"/>
    <row r="2468" ht="25.5" customHeight="1" x14ac:dyDescent="0.2"/>
    <row r="2469" ht="25.5" customHeight="1" x14ac:dyDescent="0.2"/>
    <row r="2470" ht="25.5" customHeight="1" x14ac:dyDescent="0.2"/>
    <row r="2471" ht="25.5" customHeight="1" x14ac:dyDescent="0.2"/>
    <row r="2472" ht="25.5" customHeight="1" x14ac:dyDescent="0.2"/>
    <row r="2473" ht="25.5" customHeight="1" x14ac:dyDescent="0.2"/>
    <row r="2474" ht="25.5" customHeight="1" x14ac:dyDescent="0.2"/>
    <row r="2475" ht="25.5" customHeight="1" x14ac:dyDescent="0.2"/>
    <row r="2476" ht="25.5" customHeight="1" x14ac:dyDescent="0.2"/>
    <row r="2477" ht="25.5" customHeight="1" x14ac:dyDescent="0.2"/>
    <row r="2478" ht="25.5" customHeight="1" x14ac:dyDescent="0.2"/>
    <row r="2479" ht="25.5" customHeight="1" x14ac:dyDescent="0.2"/>
    <row r="2480" ht="25.5" customHeight="1" x14ac:dyDescent="0.2"/>
    <row r="2481" ht="25.5" customHeight="1" x14ac:dyDescent="0.2"/>
    <row r="2482" ht="25.5" customHeight="1" x14ac:dyDescent="0.2"/>
    <row r="2483" ht="25.5" customHeight="1" x14ac:dyDescent="0.2"/>
    <row r="2484" ht="25.5" customHeight="1" x14ac:dyDescent="0.2"/>
    <row r="2485" ht="25.5" customHeight="1" x14ac:dyDescent="0.2"/>
    <row r="2486" ht="25.5" customHeight="1" x14ac:dyDescent="0.2"/>
    <row r="2487" ht="25.5" customHeight="1" x14ac:dyDescent="0.2"/>
    <row r="2488" ht="25.5" customHeight="1" x14ac:dyDescent="0.2"/>
    <row r="2489" ht="25.5" customHeight="1" x14ac:dyDescent="0.2"/>
    <row r="2490" ht="25.5" customHeight="1" x14ac:dyDescent="0.2"/>
    <row r="2491" ht="25.5" customHeight="1" x14ac:dyDescent="0.2"/>
    <row r="2492" ht="25.5" customHeight="1" x14ac:dyDescent="0.2"/>
    <row r="2493" ht="25.5" customHeight="1" x14ac:dyDescent="0.2"/>
    <row r="2494" ht="25.5" customHeight="1" x14ac:dyDescent="0.2"/>
    <row r="2495" ht="25.5" customHeight="1" x14ac:dyDescent="0.2"/>
    <row r="2496" ht="25.5" customHeight="1" x14ac:dyDescent="0.2"/>
    <row r="2497" ht="25.5" customHeight="1" x14ac:dyDescent="0.2"/>
    <row r="2498" ht="25.5" customHeight="1" x14ac:dyDescent="0.2"/>
    <row r="2499" ht="25.5" customHeight="1" x14ac:dyDescent="0.2"/>
    <row r="2500" ht="25.5" customHeight="1" x14ac:dyDescent="0.2"/>
    <row r="2501" ht="25.5" customHeight="1" x14ac:dyDescent="0.2"/>
    <row r="2502" ht="25.5" customHeight="1" x14ac:dyDescent="0.2"/>
    <row r="2503" ht="25.5" customHeight="1" x14ac:dyDescent="0.2"/>
    <row r="2504" ht="25.5" customHeight="1" x14ac:dyDescent="0.2"/>
    <row r="2505" ht="25.5" customHeight="1" x14ac:dyDescent="0.2"/>
    <row r="2506" ht="25.5" customHeight="1" x14ac:dyDescent="0.2"/>
    <row r="2507" ht="25.5" customHeight="1" x14ac:dyDescent="0.2"/>
    <row r="2508" ht="25.5" customHeight="1" x14ac:dyDescent="0.2"/>
    <row r="2509" ht="25.5" customHeight="1" x14ac:dyDescent="0.2"/>
    <row r="2510" ht="25.5" customHeight="1" x14ac:dyDescent="0.2"/>
    <row r="2511" ht="25.5" customHeight="1" x14ac:dyDescent="0.2"/>
    <row r="2512" ht="25.5" customHeight="1" x14ac:dyDescent="0.2"/>
    <row r="2513" ht="25.5" customHeight="1" x14ac:dyDescent="0.2"/>
    <row r="2514" ht="25.5" customHeight="1" x14ac:dyDescent="0.2"/>
    <row r="2515" ht="25.5" customHeight="1" x14ac:dyDescent="0.2"/>
    <row r="2516" ht="25.5" customHeight="1" x14ac:dyDescent="0.2"/>
    <row r="2517" ht="25.5" customHeight="1" x14ac:dyDescent="0.2"/>
    <row r="2518" ht="25.5" customHeight="1" x14ac:dyDescent="0.2"/>
    <row r="2519" ht="25.5" customHeight="1" x14ac:dyDescent="0.2"/>
    <row r="2520" ht="25.5" customHeight="1" x14ac:dyDescent="0.2"/>
    <row r="2521" ht="25.5" customHeight="1" x14ac:dyDescent="0.2"/>
    <row r="2522" ht="25.5" customHeight="1" x14ac:dyDescent="0.2"/>
    <row r="2523" ht="25.5" customHeight="1" x14ac:dyDescent="0.2"/>
    <row r="2524" ht="25.5" customHeight="1" x14ac:dyDescent="0.2"/>
    <row r="2525" ht="25.5" customHeight="1" x14ac:dyDescent="0.2"/>
    <row r="2526" ht="25.5" customHeight="1" x14ac:dyDescent="0.2"/>
    <row r="2527" ht="25.5" customHeight="1" x14ac:dyDescent="0.2"/>
    <row r="2528" ht="25.5" customHeight="1" x14ac:dyDescent="0.2"/>
    <row r="2529" ht="25.5" customHeight="1" x14ac:dyDescent="0.2"/>
    <row r="2530" ht="25.5" customHeight="1" x14ac:dyDescent="0.2"/>
    <row r="2531" ht="25.5" customHeight="1" x14ac:dyDescent="0.2"/>
    <row r="2532" ht="25.5" customHeight="1" x14ac:dyDescent="0.2"/>
    <row r="2533" ht="25.5" customHeight="1" x14ac:dyDescent="0.2"/>
    <row r="2534" ht="25.5" customHeight="1" x14ac:dyDescent="0.2"/>
    <row r="2535" ht="25.5" customHeight="1" x14ac:dyDescent="0.2"/>
    <row r="2536" ht="25.5" customHeight="1" x14ac:dyDescent="0.2"/>
    <row r="2537" ht="25.5" customHeight="1" x14ac:dyDescent="0.2"/>
    <row r="2538" ht="25.5" customHeight="1" x14ac:dyDescent="0.2"/>
    <row r="2539" ht="25.5" customHeight="1" x14ac:dyDescent="0.2"/>
    <row r="2540" ht="25.5" customHeight="1" x14ac:dyDescent="0.2"/>
    <row r="2541" ht="25.5" customHeight="1" x14ac:dyDescent="0.2"/>
    <row r="2542" ht="25.5" customHeight="1" x14ac:dyDescent="0.2"/>
    <row r="2543" ht="25.5" customHeight="1" x14ac:dyDescent="0.2"/>
    <row r="2544" ht="25.5" customHeight="1" x14ac:dyDescent="0.2"/>
    <row r="2545" ht="25.5" customHeight="1" x14ac:dyDescent="0.2"/>
    <row r="2546" ht="25.5" customHeight="1" x14ac:dyDescent="0.2"/>
    <row r="2547" ht="25.5" customHeight="1" x14ac:dyDescent="0.2"/>
    <row r="2548" ht="25.5" customHeight="1" x14ac:dyDescent="0.2"/>
    <row r="2549" ht="25.5" customHeight="1" x14ac:dyDescent="0.2"/>
    <row r="2550" ht="25.5" customHeight="1" x14ac:dyDescent="0.2"/>
    <row r="2551" ht="25.5" customHeight="1" x14ac:dyDescent="0.2"/>
    <row r="2552" ht="25.5" customHeight="1" x14ac:dyDescent="0.2"/>
    <row r="2553" ht="25.5" customHeight="1" x14ac:dyDescent="0.2"/>
    <row r="2554" ht="25.5" customHeight="1" x14ac:dyDescent="0.2"/>
    <row r="2555" ht="25.5" customHeight="1" x14ac:dyDescent="0.2"/>
    <row r="2556" ht="25.5" customHeight="1" x14ac:dyDescent="0.2"/>
    <row r="2557" ht="25.5" customHeight="1" x14ac:dyDescent="0.2"/>
    <row r="2558" ht="25.5" customHeight="1" x14ac:dyDescent="0.2"/>
    <row r="2559" ht="25.5" customHeight="1" x14ac:dyDescent="0.2"/>
    <row r="2560" ht="25.5" customHeight="1" x14ac:dyDescent="0.2"/>
    <row r="2561" ht="25.5" customHeight="1" x14ac:dyDescent="0.2"/>
    <row r="2562" ht="25.5" customHeight="1" x14ac:dyDescent="0.2"/>
    <row r="2563" ht="25.5" customHeight="1" x14ac:dyDescent="0.2"/>
    <row r="2564" ht="25.5" customHeight="1" x14ac:dyDescent="0.2"/>
    <row r="2565" ht="25.5" customHeight="1" x14ac:dyDescent="0.2"/>
    <row r="2566" ht="25.5" customHeight="1" x14ac:dyDescent="0.2"/>
    <row r="2567" ht="25.5" customHeight="1" x14ac:dyDescent="0.2"/>
    <row r="2568" ht="25.5" customHeight="1" x14ac:dyDescent="0.2"/>
    <row r="2569" ht="25.5" customHeight="1" x14ac:dyDescent="0.2"/>
    <row r="2570" ht="25.5" customHeight="1" x14ac:dyDescent="0.2"/>
    <row r="2571" ht="25.5" customHeight="1" x14ac:dyDescent="0.2"/>
    <row r="2572" ht="25.5" customHeight="1" x14ac:dyDescent="0.2"/>
    <row r="2573" ht="25.5" customHeight="1" x14ac:dyDescent="0.2"/>
    <row r="2574" ht="25.5" customHeight="1" x14ac:dyDescent="0.2"/>
    <row r="2575" ht="25.5" customHeight="1" x14ac:dyDescent="0.2"/>
    <row r="2576" ht="25.5" customHeight="1" x14ac:dyDescent="0.2"/>
    <row r="2577" ht="25.5" customHeight="1" x14ac:dyDescent="0.2"/>
    <row r="2578" ht="25.5" customHeight="1" x14ac:dyDescent="0.2"/>
    <row r="2579" ht="25.5" customHeight="1" x14ac:dyDescent="0.2"/>
    <row r="2580" ht="25.5" customHeight="1" x14ac:dyDescent="0.2"/>
    <row r="2581" ht="25.5" customHeight="1" x14ac:dyDescent="0.2"/>
    <row r="2582" ht="25.5" customHeight="1" x14ac:dyDescent="0.2"/>
    <row r="2583" ht="25.5" customHeight="1" x14ac:dyDescent="0.2"/>
    <row r="2584" ht="25.5" customHeight="1" x14ac:dyDescent="0.2"/>
    <row r="2585" ht="25.5" customHeight="1" x14ac:dyDescent="0.2"/>
    <row r="2586" ht="25.5" customHeight="1" x14ac:dyDescent="0.2"/>
    <row r="2587" ht="25.5" customHeight="1" x14ac:dyDescent="0.2"/>
    <row r="2588" ht="25.5" customHeight="1" x14ac:dyDescent="0.2"/>
    <row r="2589" ht="25.5" customHeight="1" x14ac:dyDescent="0.2"/>
    <row r="2590" ht="25.5" customHeight="1" x14ac:dyDescent="0.2"/>
    <row r="2591" ht="25.5" customHeight="1" x14ac:dyDescent="0.2"/>
    <row r="2592" ht="25.5" customHeight="1" x14ac:dyDescent="0.2"/>
    <row r="2593" ht="25.5" customHeight="1" x14ac:dyDescent="0.2"/>
    <row r="2594" ht="25.5" customHeight="1" x14ac:dyDescent="0.2"/>
    <row r="2595" ht="25.5" customHeight="1" x14ac:dyDescent="0.2"/>
    <row r="2596" ht="25.5" customHeight="1" x14ac:dyDescent="0.2"/>
    <row r="2597" ht="25.5" customHeight="1" x14ac:dyDescent="0.2"/>
    <row r="2598" ht="25.5" customHeight="1" x14ac:dyDescent="0.2"/>
    <row r="2599" ht="25.5" customHeight="1" x14ac:dyDescent="0.2"/>
    <row r="2600" ht="25.5" customHeight="1" x14ac:dyDescent="0.2"/>
    <row r="2601" ht="25.5" customHeight="1" x14ac:dyDescent="0.2"/>
    <row r="2602" ht="25.5" customHeight="1" x14ac:dyDescent="0.2"/>
    <row r="2603" ht="25.5" customHeight="1" x14ac:dyDescent="0.2"/>
    <row r="2604" ht="25.5" customHeight="1" x14ac:dyDescent="0.2"/>
    <row r="2605" ht="25.5" customHeight="1" x14ac:dyDescent="0.2"/>
    <row r="2606" ht="25.5" customHeight="1" x14ac:dyDescent="0.2"/>
    <row r="2607" ht="25.5" customHeight="1" x14ac:dyDescent="0.2"/>
    <row r="2608" ht="25.5" customHeight="1" x14ac:dyDescent="0.2"/>
    <row r="2609" ht="25.5" customHeight="1" x14ac:dyDescent="0.2"/>
    <row r="2610" ht="25.5" customHeight="1" x14ac:dyDescent="0.2"/>
    <row r="2611" ht="25.5" customHeight="1" x14ac:dyDescent="0.2"/>
    <row r="2612" ht="25.5" customHeight="1" x14ac:dyDescent="0.2"/>
    <row r="2613" ht="25.5" customHeight="1" x14ac:dyDescent="0.2"/>
    <row r="2614" ht="25.5" customHeight="1" x14ac:dyDescent="0.2"/>
    <row r="2615" ht="25.5" customHeight="1" x14ac:dyDescent="0.2"/>
    <row r="2616" ht="25.5" customHeight="1" x14ac:dyDescent="0.2"/>
    <row r="2617" ht="25.5" customHeight="1" x14ac:dyDescent="0.2"/>
    <row r="2618" ht="25.5" customHeight="1" x14ac:dyDescent="0.2"/>
    <row r="2619" ht="25.5" customHeight="1" x14ac:dyDescent="0.2"/>
    <row r="2620" ht="25.5" customHeight="1" x14ac:dyDescent="0.2"/>
    <row r="2621" ht="25.5" customHeight="1" x14ac:dyDescent="0.2"/>
    <row r="2622" ht="25.5" customHeight="1" x14ac:dyDescent="0.2"/>
    <row r="2623" ht="25.5" customHeight="1" x14ac:dyDescent="0.2"/>
    <row r="2624" ht="25.5" customHeight="1" x14ac:dyDescent="0.2"/>
    <row r="2625" ht="25.5" customHeight="1" x14ac:dyDescent="0.2"/>
    <row r="2626" ht="25.5" customHeight="1" x14ac:dyDescent="0.2"/>
    <row r="2627" ht="25.5" customHeight="1" x14ac:dyDescent="0.2"/>
    <row r="2628" ht="25.5" customHeight="1" x14ac:dyDescent="0.2"/>
    <row r="2629" ht="25.5" customHeight="1" x14ac:dyDescent="0.2"/>
    <row r="2630" ht="25.5" customHeight="1" x14ac:dyDescent="0.2"/>
    <row r="2631" ht="25.5" customHeight="1" x14ac:dyDescent="0.2"/>
    <row r="2632" ht="25.5" customHeight="1" x14ac:dyDescent="0.2"/>
    <row r="2633" ht="25.5" customHeight="1" x14ac:dyDescent="0.2"/>
    <row r="2634" ht="25.5" customHeight="1" x14ac:dyDescent="0.2"/>
    <row r="2635" ht="25.5" customHeight="1" x14ac:dyDescent="0.2"/>
    <row r="2636" ht="25.5" customHeight="1" x14ac:dyDescent="0.2"/>
    <row r="2637" ht="25.5" customHeight="1" x14ac:dyDescent="0.2"/>
    <row r="2638" ht="25.5" customHeight="1" x14ac:dyDescent="0.2"/>
    <row r="2639" ht="25.5" customHeight="1" x14ac:dyDescent="0.2"/>
    <row r="2640" ht="25.5" customHeight="1" x14ac:dyDescent="0.2"/>
    <row r="2641" ht="25.5" customHeight="1" x14ac:dyDescent="0.2"/>
    <row r="2642" ht="25.5" customHeight="1" x14ac:dyDescent="0.2"/>
    <row r="2643" ht="25.5" customHeight="1" x14ac:dyDescent="0.2"/>
    <row r="2644" ht="25.5" customHeight="1" x14ac:dyDescent="0.2"/>
    <row r="2645" ht="25.5" customHeight="1" x14ac:dyDescent="0.2"/>
    <row r="2646" ht="25.5" customHeight="1" x14ac:dyDescent="0.2"/>
    <row r="2647" ht="25.5" customHeight="1" x14ac:dyDescent="0.2"/>
    <row r="2648" ht="25.5" customHeight="1" x14ac:dyDescent="0.2"/>
    <row r="2649" ht="25.5" customHeight="1" x14ac:dyDescent="0.2"/>
    <row r="2650" ht="25.5" customHeight="1" x14ac:dyDescent="0.2"/>
    <row r="2651" ht="25.5" customHeight="1" x14ac:dyDescent="0.2"/>
    <row r="2652" ht="25.5" customHeight="1" x14ac:dyDescent="0.2"/>
    <row r="2653" ht="25.5" customHeight="1" x14ac:dyDescent="0.2"/>
    <row r="2654" ht="25.5" customHeight="1" x14ac:dyDescent="0.2"/>
    <row r="2655" ht="25.5" customHeight="1" x14ac:dyDescent="0.2"/>
    <row r="2656" ht="25.5" customHeight="1" x14ac:dyDescent="0.2"/>
    <row r="2657" ht="25.5" customHeight="1" x14ac:dyDescent="0.2"/>
    <row r="2658" ht="25.5" customHeight="1" x14ac:dyDescent="0.2"/>
    <row r="2659" ht="25.5" customHeight="1" x14ac:dyDescent="0.2"/>
    <row r="2660" ht="25.5" customHeight="1" x14ac:dyDescent="0.2"/>
    <row r="2661" ht="25.5" customHeight="1" x14ac:dyDescent="0.2"/>
    <row r="2662" ht="25.5" customHeight="1" x14ac:dyDescent="0.2"/>
    <row r="2663" ht="25.5" customHeight="1" x14ac:dyDescent="0.2"/>
    <row r="2664" ht="25.5" customHeight="1" x14ac:dyDescent="0.2"/>
    <row r="2665" ht="25.5" customHeight="1" x14ac:dyDescent="0.2"/>
    <row r="2666" ht="25.5" customHeight="1" x14ac:dyDescent="0.2"/>
    <row r="2667" ht="25.5" customHeight="1" x14ac:dyDescent="0.2"/>
    <row r="2668" ht="25.5" customHeight="1" x14ac:dyDescent="0.2"/>
    <row r="2669" ht="25.5" customHeight="1" x14ac:dyDescent="0.2"/>
    <row r="2670" ht="25.5" customHeight="1" x14ac:dyDescent="0.2"/>
    <row r="2671" ht="25.5" customHeight="1" x14ac:dyDescent="0.2"/>
    <row r="2672" ht="25.5" customHeight="1" x14ac:dyDescent="0.2"/>
    <row r="2673" ht="25.5" customHeight="1" x14ac:dyDescent="0.2"/>
    <row r="2674" ht="25.5" customHeight="1" x14ac:dyDescent="0.2"/>
    <row r="2675" ht="25.5" customHeight="1" x14ac:dyDescent="0.2"/>
    <row r="2676" ht="25.5" customHeight="1" x14ac:dyDescent="0.2"/>
    <row r="2677" ht="25.5" customHeight="1" x14ac:dyDescent="0.2"/>
    <row r="2678" ht="25.5" customHeight="1" x14ac:dyDescent="0.2"/>
    <row r="2679" ht="25.5" customHeight="1" x14ac:dyDescent="0.2"/>
    <row r="2680" ht="25.5" customHeight="1" x14ac:dyDescent="0.2"/>
    <row r="2681" ht="25.5" customHeight="1" x14ac:dyDescent="0.2"/>
    <row r="2682" ht="25.5" customHeight="1" x14ac:dyDescent="0.2"/>
    <row r="2683" ht="25.5" customHeight="1" x14ac:dyDescent="0.2"/>
    <row r="2684" ht="25.5" customHeight="1" x14ac:dyDescent="0.2"/>
    <row r="2685" ht="25.5" customHeight="1" x14ac:dyDescent="0.2"/>
    <row r="2686" ht="25.5" customHeight="1" x14ac:dyDescent="0.2"/>
    <row r="2687" ht="25.5" customHeight="1" x14ac:dyDescent="0.2"/>
    <row r="2688" ht="25.5" customHeight="1" x14ac:dyDescent="0.2"/>
    <row r="2689" ht="25.5" customHeight="1" x14ac:dyDescent="0.2"/>
    <row r="2690" ht="25.5" customHeight="1" x14ac:dyDescent="0.2"/>
    <row r="2691" ht="25.5" customHeight="1" x14ac:dyDescent="0.2"/>
    <row r="2692" ht="25.5" customHeight="1" x14ac:dyDescent="0.2"/>
    <row r="2693" ht="25.5" customHeight="1" x14ac:dyDescent="0.2"/>
    <row r="2694" ht="25.5" customHeight="1" x14ac:dyDescent="0.2"/>
    <row r="2695" ht="25.5" customHeight="1" x14ac:dyDescent="0.2"/>
    <row r="2696" ht="25.5" customHeight="1" x14ac:dyDescent="0.2"/>
    <row r="2697" ht="25.5" customHeight="1" x14ac:dyDescent="0.2"/>
    <row r="2698" ht="25.5" customHeight="1" x14ac:dyDescent="0.2"/>
    <row r="2699" ht="25.5" customHeight="1" x14ac:dyDescent="0.2"/>
    <row r="2700" ht="25.5" customHeight="1" x14ac:dyDescent="0.2"/>
    <row r="2701" ht="25.5" customHeight="1" x14ac:dyDescent="0.2"/>
    <row r="2702" ht="25.5" customHeight="1" x14ac:dyDescent="0.2"/>
    <row r="2703" ht="25.5" customHeight="1" x14ac:dyDescent="0.2"/>
    <row r="2704" ht="25.5" customHeight="1" x14ac:dyDescent="0.2"/>
    <row r="2705" ht="25.5" customHeight="1" x14ac:dyDescent="0.2"/>
    <row r="2706" ht="25.5" customHeight="1" x14ac:dyDescent="0.2"/>
    <row r="2707" ht="25.5" customHeight="1" x14ac:dyDescent="0.2"/>
    <row r="2708" ht="25.5" customHeight="1" x14ac:dyDescent="0.2"/>
    <row r="2709" ht="25.5" customHeight="1" x14ac:dyDescent="0.2"/>
    <row r="2710" ht="25.5" customHeight="1" x14ac:dyDescent="0.2"/>
    <row r="2711" ht="25.5" customHeight="1" x14ac:dyDescent="0.2"/>
    <row r="2712" ht="25.5" customHeight="1" x14ac:dyDescent="0.2"/>
    <row r="2713" ht="25.5" customHeight="1" x14ac:dyDescent="0.2"/>
    <row r="2714" ht="25.5" customHeight="1" x14ac:dyDescent="0.2"/>
    <row r="2715" ht="25.5" customHeight="1" x14ac:dyDescent="0.2"/>
    <row r="2716" ht="25.5" customHeight="1" x14ac:dyDescent="0.2"/>
    <row r="2717" ht="25.5" customHeight="1" x14ac:dyDescent="0.2"/>
    <row r="2718" ht="25.5" customHeight="1" x14ac:dyDescent="0.2"/>
    <row r="2719" ht="25.5" customHeight="1" x14ac:dyDescent="0.2"/>
    <row r="2720" ht="25.5" customHeight="1" x14ac:dyDescent="0.2"/>
    <row r="2721" ht="25.5" customHeight="1" x14ac:dyDescent="0.2"/>
    <row r="2722" ht="25.5" customHeight="1" x14ac:dyDescent="0.2"/>
    <row r="2723" ht="25.5" customHeight="1" x14ac:dyDescent="0.2"/>
    <row r="2724" ht="25.5" customHeight="1" x14ac:dyDescent="0.2"/>
    <row r="2725" ht="25.5" customHeight="1" x14ac:dyDescent="0.2"/>
    <row r="2726" ht="25.5" customHeight="1" x14ac:dyDescent="0.2"/>
    <row r="2727" ht="25.5" customHeight="1" x14ac:dyDescent="0.2"/>
    <row r="2728" ht="25.5" customHeight="1" x14ac:dyDescent="0.2"/>
    <row r="2729" ht="25.5" customHeight="1" x14ac:dyDescent="0.2"/>
    <row r="2730" ht="25.5" customHeight="1" x14ac:dyDescent="0.2"/>
    <row r="2731" ht="25.5" customHeight="1" x14ac:dyDescent="0.2"/>
    <row r="2732" ht="25.5" customHeight="1" x14ac:dyDescent="0.2"/>
    <row r="2733" ht="25.5" customHeight="1" x14ac:dyDescent="0.2"/>
    <row r="2734" ht="25.5" customHeight="1" x14ac:dyDescent="0.2"/>
    <row r="2735" ht="25.5" customHeight="1" x14ac:dyDescent="0.2"/>
    <row r="2736" ht="25.5" customHeight="1" x14ac:dyDescent="0.2"/>
    <row r="2737" ht="25.5" customHeight="1" x14ac:dyDescent="0.2"/>
    <row r="2738" ht="25.5" customHeight="1" x14ac:dyDescent="0.2"/>
    <row r="2739" ht="25.5" customHeight="1" x14ac:dyDescent="0.2"/>
    <row r="2740" ht="25.5" customHeight="1" x14ac:dyDescent="0.2"/>
    <row r="2741" ht="25.5" customHeight="1" x14ac:dyDescent="0.2"/>
    <row r="2742" ht="25.5" customHeight="1" x14ac:dyDescent="0.2"/>
    <row r="2743" ht="25.5" customHeight="1" x14ac:dyDescent="0.2"/>
    <row r="2744" ht="25.5" customHeight="1" x14ac:dyDescent="0.2"/>
    <row r="2745" ht="25.5" customHeight="1" x14ac:dyDescent="0.2"/>
    <row r="2746" ht="25.5" customHeight="1" x14ac:dyDescent="0.2"/>
    <row r="2747" ht="25.5" customHeight="1" x14ac:dyDescent="0.2"/>
    <row r="2748" ht="25.5" customHeight="1" x14ac:dyDescent="0.2"/>
    <row r="2749" ht="25.5" customHeight="1" x14ac:dyDescent="0.2"/>
    <row r="2750" ht="25.5" customHeight="1" x14ac:dyDescent="0.2"/>
    <row r="2751" ht="25.5" customHeight="1" x14ac:dyDescent="0.2"/>
    <row r="2752" ht="25.5" customHeight="1" x14ac:dyDescent="0.2"/>
    <row r="2753" ht="25.5" customHeight="1" x14ac:dyDescent="0.2"/>
    <row r="2754" ht="25.5" customHeight="1" x14ac:dyDescent="0.2"/>
    <row r="2755" ht="25.5" customHeight="1" x14ac:dyDescent="0.2"/>
    <row r="2756" ht="25.5" customHeight="1" x14ac:dyDescent="0.2"/>
    <row r="2757" ht="25.5" customHeight="1" x14ac:dyDescent="0.2"/>
    <row r="2758" ht="25.5" customHeight="1" x14ac:dyDescent="0.2"/>
    <row r="2759" ht="25.5" customHeight="1" x14ac:dyDescent="0.2"/>
    <row r="2760" ht="25.5" customHeight="1" x14ac:dyDescent="0.2"/>
    <row r="2761" ht="25.5" customHeight="1" x14ac:dyDescent="0.2"/>
    <row r="2762" ht="25.5" customHeight="1" x14ac:dyDescent="0.2"/>
    <row r="2763" ht="25.5" customHeight="1" x14ac:dyDescent="0.2"/>
    <row r="2764" ht="25.5" customHeight="1" x14ac:dyDescent="0.2"/>
    <row r="2765" ht="25.5" customHeight="1" x14ac:dyDescent="0.2"/>
    <row r="2766" ht="25.5" customHeight="1" x14ac:dyDescent="0.2"/>
    <row r="2767" ht="25.5" customHeight="1" x14ac:dyDescent="0.2"/>
    <row r="2768" ht="25.5" customHeight="1" x14ac:dyDescent="0.2"/>
    <row r="2769" ht="25.5" customHeight="1" x14ac:dyDescent="0.2"/>
    <row r="2770" ht="25.5" customHeight="1" x14ac:dyDescent="0.2"/>
    <row r="2771" ht="25.5" customHeight="1" x14ac:dyDescent="0.2"/>
    <row r="2772" ht="25.5" customHeight="1" x14ac:dyDescent="0.2"/>
    <row r="2773" ht="25.5" customHeight="1" x14ac:dyDescent="0.2"/>
    <row r="2774" ht="25.5" customHeight="1" x14ac:dyDescent="0.2"/>
    <row r="2775" ht="25.5" customHeight="1" x14ac:dyDescent="0.2"/>
    <row r="2776" ht="25.5" customHeight="1" x14ac:dyDescent="0.2"/>
    <row r="2777" ht="25.5" customHeight="1" x14ac:dyDescent="0.2"/>
    <row r="2778" ht="25.5" customHeight="1" x14ac:dyDescent="0.2"/>
    <row r="2779" ht="25.5" customHeight="1" x14ac:dyDescent="0.2"/>
    <row r="2780" ht="25.5" customHeight="1" x14ac:dyDescent="0.2"/>
    <row r="2781" ht="25.5" customHeight="1" x14ac:dyDescent="0.2"/>
    <row r="2782" ht="25.5" customHeight="1" x14ac:dyDescent="0.2"/>
    <row r="2783" ht="25.5" customHeight="1" x14ac:dyDescent="0.2"/>
    <row r="2784" ht="25.5" customHeight="1" x14ac:dyDescent="0.2"/>
    <row r="2785" ht="25.5" customHeight="1" x14ac:dyDescent="0.2"/>
    <row r="2786" ht="25.5" customHeight="1" x14ac:dyDescent="0.2"/>
    <row r="2787" ht="25.5" customHeight="1" x14ac:dyDescent="0.2"/>
    <row r="2788" ht="25.5" customHeight="1" x14ac:dyDescent="0.2"/>
    <row r="2789" ht="25.5" customHeight="1" x14ac:dyDescent="0.2"/>
    <row r="2790" ht="25.5" customHeight="1" x14ac:dyDescent="0.2"/>
    <row r="2791" ht="25.5" customHeight="1" x14ac:dyDescent="0.2"/>
    <row r="2792" ht="25.5" customHeight="1" x14ac:dyDescent="0.2"/>
    <row r="2793" ht="25.5" customHeight="1" x14ac:dyDescent="0.2"/>
    <row r="2794" ht="25.5" customHeight="1" x14ac:dyDescent="0.2"/>
    <row r="2795" ht="25.5" customHeight="1" x14ac:dyDescent="0.2"/>
    <row r="2796" ht="25.5" customHeight="1" x14ac:dyDescent="0.2"/>
    <row r="2797" ht="25.5" customHeight="1" x14ac:dyDescent="0.2"/>
    <row r="2798" ht="25.5" customHeight="1" x14ac:dyDescent="0.2"/>
    <row r="2799" ht="25.5" customHeight="1" x14ac:dyDescent="0.2"/>
    <row r="2800" ht="25.5" customHeight="1" x14ac:dyDescent="0.2"/>
    <row r="2801" ht="25.5" customHeight="1" x14ac:dyDescent="0.2"/>
    <row r="2802" ht="25.5" customHeight="1" x14ac:dyDescent="0.2"/>
    <row r="2803" ht="25.5" customHeight="1" x14ac:dyDescent="0.2"/>
    <row r="2804" ht="25.5" customHeight="1" x14ac:dyDescent="0.2"/>
    <row r="2805" ht="25.5" customHeight="1" x14ac:dyDescent="0.2"/>
    <row r="2806" ht="25.5" customHeight="1" x14ac:dyDescent="0.2"/>
    <row r="2807" ht="25.5" customHeight="1" x14ac:dyDescent="0.2"/>
    <row r="2808" ht="25.5" customHeight="1" x14ac:dyDescent="0.2"/>
    <row r="2809" ht="25.5" customHeight="1" x14ac:dyDescent="0.2"/>
    <row r="2810" ht="25.5" customHeight="1" x14ac:dyDescent="0.2"/>
    <row r="2811" ht="25.5" customHeight="1" x14ac:dyDescent="0.2"/>
    <row r="2812" ht="25.5" customHeight="1" x14ac:dyDescent="0.2"/>
    <row r="2813" ht="25.5" customHeight="1" x14ac:dyDescent="0.2"/>
    <row r="2814" ht="25.5" customHeight="1" x14ac:dyDescent="0.2"/>
    <row r="2815" ht="25.5" customHeight="1" x14ac:dyDescent="0.2"/>
    <row r="2816" ht="25.5" customHeight="1" x14ac:dyDescent="0.2"/>
    <row r="2817" ht="25.5" customHeight="1" x14ac:dyDescent="0.2"/>
    <row r="2818" ht="25.5" customHeight="1" x14ac:dyDescent="0.2"/>
    <row r="2819" ht="25.5" customHeight="1" x14ac:dyDescent="0.2"/>
    <row r="2820" ht="25.5" customHeight="1" x14ac:dyDescent="0.2"/>
    <row r="2821" ht="25.5" customHeight="1" x14ac:dyDescent="0.2"/>
    <row r="2822" ht="25.5" customHeight="1" x14ac:dyDescent="0.2"/>
    <row r="2823" ht="25.5" customHeight="1" x14ac:dyDescent="0.2"/>
    <row r="2824" ht="25.5" customHeight="1" x14ac:dyDescent="0.2"/>
    <row r="2825" ht="25.5" customHeight="1" x14ac:dyDescent="0.2"/>
    <row r="2826" ht="25.5" customHeight="1" x14ac:dyDescent="0.2"/>
    <row r="2827" ht="25.5" customHeight="1" x14ac:dyDescent="0.2"/>
    <row r="2828" ht="25.5" customHeight="1" x14ac:dyDescent="0.2"/>
    <row r="2829" ht="25.5" customHeight="1" x14ac:dyDescent="0.2"/>
    <row r="2830" ht="25.5" customHeight="1" x14ac:dyDescent="0.2"/>
    <row r="2831" ht="25.5" customHeight="1" x14ac:dyDescent="0.2"/>
    <row r="2832" ht="25.5" customHeight="1" x14ac:dyDescent="0.2"/>
    <row r="2833" ht="25.5" customHeight="1" x14ac:dyDescent="0.2"/>
    <row r="2834" ht="25.5" customHeight="1" x14ac:dyDescent="0.2"/>
    <row r="2835" ht="25.5" customHeight="1" x14ac:dyDescent="0.2"/>
    <row r="2836" ht="25.5" customHeight="1" x14ac:dyDescent="0.2"/>
    <row r="2837" ht="25.5" customHeight="1" x14ac:dyDescent="0.2"/>
    <row r="2838" ht="25.5" customHeight="1" x14ac:dyDescent="0.2"/>
    <row r="2839" ht="25.5" customHeight="1" x14ac:dyDescent="0.2"/>
    <row r="2840" ht="25.5" customHeight="1" x14ac:dyDescent="0.2"/>
    <row r="2841" ht="25.5" customHeight="1" x14ac:dyDescent="0.2"/>
    <row r="2842" ht="25.5" customHeight="1" x14ac:dyDescent="0.2"/>
    <row r="2843" ht="25.5" customHeight="1" x14ac:dyDescent="0.2"/>
    <row r="2844" ht="25.5" customHeight="1" x14ac:dyDescent="0.2"/>
    <row r="2845" ht="25.5" customHeight="1" x14ac:dyDescent="0.2"/>
    <row r="2846" ht="25.5" customHeight="1" x14ac:dyDescent="0.2"/>
    <row r="2847" ht="25.5" customHeight="1" x14ac:dyDescent="0.2"/>
    <row r="2848" ht="25.5" customHeight="1" x14ac:dyDescent="0.2"/>
    <row r="2849" ht="25.5" customHeight="1" x14ac:dyDescent="0.2"/>
    <row r="2850" ht="25.5" customHeight="1" x14ac:dyDescent="0.2"/>
    <row r="2851" ht="25.5" customHeight="1" x14ac:dyDescent="0.2"/>
    <row r="2852" ht="25.5" customHeight="1" x14ac:dyDescent="0.2"/>
    <row r="2853" ht="25.5" customHeight="1" x14ac:dyDescent="0.2"/>
    <row r="2854" ht="25.5" customHeight="1" x14ac:dyDescent="0.2"/>
    <row r="2855" ht="25.5" customHeight="1" x14ac:dyDescent="0.2"/>
    <row r="2856" ht="25.5" customHeight="1" x14ac:dyDescent="0.2"/>
    <row r="2857" ht="25.5" customHeight="1" x14ac:dyDescent="0.2"/>
    <row r="2858" ht="25.5" customHeight="1" x14ac:dyDescent="0.2"/>
    <row r="2859" ht="25.5" customHeight="1" x14ac:dyDescent="0.2"/>
    <row r="2860" ht="25.5" customHeight="1" x14ac:dyDescent="0.2"/>
    <row r="2861" ht="25.5" customHeight="1" x14ac:dyDescent="0.2"/>
    <row r="2862" ht="25.5" customHeight="1" x14ac:dyDescent="0.2"/>
    <row r="2863" ht="25.5" customHeight="1" x14ac:dyDescent="0.2"/>
    <row r="2864" ht="25.5" customHeight="1" x14ac:dyDescent="0.2"/>
    <row r="2865" ht="25.5" customHeight="1" x14ac:dyDescent="0.2"/>
    <row r="2866" ht="25.5" customHeight="1" x14ac:dyDescent="0.2"/>
    <row r="2867" ht="25.5" customHeight="1" x14ac:dyDescent="0.2"/>
    <row r="2868" ht="25.5" customHeight="1" x14ac:dyDescent="0.2"/>
    <row r="2869" ht="25.5" customHeight="1" x14ac:dyDescent="0.2"/>
    <row r="2870" ht="25.5" customHeight="1" x14ac:dyDescent="0.2"/>
    <row r="2871" ht="25.5" customHeight="1" x14ac:dyDescent="0.2"/>
    <row r="2872" ht="25.5" customHeight="1" x14ac:dyDescent="0.2"/>
    <row r="2873" ht="25.5" customHeight="1" x14ac:dyDescent="0.2"/>
    <row r="2874" ht="25.5" customHeight="1" x14ac:dyDescent="0.2"/>
    <row r="2875" ht="25.5" customHeight="1" x14ac:dyDescent="0.2"/>
    <row r="2876" ht="25.5" customHeight="1" x14ac:dyDescent="0.2"/>
    <row r="2877" ht="25.5" customHeight="1" x14ac:dyDescent="0.2"/>
    <row r="2878" ht="25.5" customHeight="1" x14ac:dyDescent="0.2"/>
    <row r="2879" ht="25.5" customHeight="1" x14ac:dyDescent="0.2"/>
    <row r="2880" ht="25.5" customHeight="1" x14ac:dyDescent="0.2"/>
    <row r="2881" ht="25.5" customHeight="1" x14ac:dyDescent="0.2"/>
    <row r="2882" ht="25.5" customHeight="1" x14ac:dyDescent="0.2"/>
    <row r="2883" ht="25.5" customHeight="1" x14ac:dyDescent="0.2"/>
    <row r="2884" ht="25.5" customHeight="1" x14ac:dyDescent="0.2"/>
    <row r="2885" ht="25.5" customHeight="1" x14ac:dyDescent="0.2"/>
    <row r="2886" ht="25.5" customHeight="1" x14ac:dyDescent="0.2"/>
    <row r="2887" ht="25.5" customHeight="1" x14ac:dyDescent="0.2"/>
    <row r="2888" ht="25.5" customHeight="1" x14ac:dyDescent="0.2"/>
    <row r="2889" ht="25.5" customHeight="1" x14ac:dyDescent="0.2"/>
    <row r="2890" ht="25.5" customHeight="1" x14ac:dyDescent="0.2"/>
    <row r="2891" ht="25.5" customHeight="1" x14ac:dyDescent="0.2"/>
    <row r="2892" ht="25.5" customHeight="1" x14ac:dyDescent="0.2"/>
    <row r="2893" ht="25.5" customHeight="1" x14ac:dyDescent="0.2"/>
    <row r="2894" ht="25.5" customHeight="1" x14ac:dyDescent="0.2"/>
    <row r="2895" ht="25.5" customHeight="1" x14ac:dyDescent="0.2"/>
    <row r="2896" ht="25.5" customHeight="1" x14ac:dyDescent="0.2"/>
    <row r="2897" ht="25.5" customHeight="1" x14ac:dyDescent="0.2"/>
    <row r="2898" ht="25.5" customHeight="1" x14ac:dyDescent="0.2"/>
    <row r="2899" ht="25.5" customHeight="1" x14ac:dyDescent="0.2"/>
    <row r="2900" ht="25.5" customHeight="1" x14ac:dyDescent="0.2"/>
    <row r="2901" ht="25.5" customHeight="1" x14ac:dyDescent="0.2"/>
    <row r="2902" ht="25.5" customHeight="1" x14ac:dyDescent="0.2"/>
    <row r="2903" ht="25.5" customHeight="1" x14ac:dyDescent="0.2"/>
    <row r="2904" ht="25.5" customHeight="1" x14ac:dyDescent="0.2"/>
    <row r="2905" ht="25.5" customHeight="1" x14ac:dyDescent="0.2"/>
    <row r="2906" ht="25.5" customHeight="1" x14ac:dyDescent="0.2"/>
    <row r="2907" ht="25.5" customHeight="1" x14ac:dyDescent="0.2"/>
    <row r="2908" ht="25.5" customHeight="1" x14ac:dyDescent="0.2"/>
    <row r="2909" ht="25.5" customHeight="1" x14ac:dyDescent="0.2"/>
    <row r="2910" ht="25.5" customHeight="1" x14ac:dyDescent="0.2"/>
    <row r="2911" ht="25.5" customHeight="1" x14ac:dyDescent="0.2"/>
    <row r="2912" ht="25.5" customHeight="1" x14ac:dyDescent="0.2"/>
    <row r="2913" ht="25.5" customHeight="1" x14ac:dyDescent="0.2"/>
    <row r="2914" ht="25.5" customHeight="1" x14ac:dyDescent="0.2"/>
    <row r="2915" ht="25.5" customHeight="1" x14ac:dyDescent="0.2"/>
    <row r="2916" ht="25.5" customHeight="1" x14ac:dyDescent="0.2"/>
    <row r="2917" ht="25.5" customHeight="1" x14ac:dyDescent="0.2"/>
    <row r="2918" ht="25.5" customHeight="1" x14ac:dyDescent="0.2"/>
    <row r="2919" ht="25.5" customHeight="1" x14ac:dyDescent="0.2"/>
    <row r="2920" ht="25.5" customHeight="1" x14ac:dyDescent="0.2"/>
    <row r="2921" ht="25.5" customHeight="1" x14ac:dyDescent="0.2"/>
    <row r="2922" ht="25.5" customHeight="1" x14ac:dyDescent="0.2"/>
    <row r="2923" ht="25.5" customHeight="1" x14ac:dyDescent="0.2"/>
    <row r="2924" ht="25.5" customHeight="1" x14ac:dyDescent="0.2"/>
    <row r="2925" ht="25.5" customHeight="1" x14ac:dyDescent="0.2"/>
    <row r="2926" ht="25.5" customHeight="1" x14ac:dyDescent="0.2"/>
    <row r="2927" ht="25.5" customHeight="1" x14ac:dyDescent="0.2"/>
    <row r="2928" ht="25.5" customHeight="1" x14ac:dyDescent="0.2"/>
    <row r="2929" ht="25.5" customHeight="1" x14ac:dyDescent="0.2"/>
    <row r="2930" ht="25.5" customHeight="1" x14ac:dyDescent="0.2"/>
    <row r="2931" ht="25.5" customHeight="1" x14ac:dyDescent="0.2"/>
    <row r="2932" ht="25.5" customHeight="1" x14ac:dyDescent="0.2"/>
    <row r="2933" ht="25.5" customHeight="1" x14ac:dyDescent="0.2"/>
    <row r="2934" ht="25.5" customHeight="1" x14ac:dyDescent="0.2"/>
    <row r="2935" ht="25.5" customHeight="1" x14ac:dyDescent="0.2"/>
    <row r="2936" ht="25.5" customHeight="1" x14ac:dyDescent="0.2"/>
    <row r="2937" ht="25.5" customHeight="1" x14ac:dyDescent="0.2"/>
    <row r="2938" ht="25.5" customHeight="1" x14ac:dyDescent="0.2"/>
    <row r="2939" ht="25.5" customHeight="1" x14ac:dyDescent="0.2"/>
    <row r="2940" ht="25.5" customHeight="1" x14ac:dyDescent="0.2"/>
    <row r="2941" ht="25.5" customHeight="1" x14ac:dyDescent="0.2"/>
    <row r="2942" ht="25.5" customHeight="1" x14ac:dyDescent="0.2"/>
    <row r="2943" ht="25.5" customHeight="1" x14ac:dyDescent="0.2"/>
    <row r="2944" ht="25.5" customHeight="1" x14ac:dyDescent="0.2"/>
    <row r="2945" ht="25.5" customHeight="1" x14ac:dyDescent="0.2"/>
    <row r="2946" ht="25.5" customHeight="1" x14ac:dyDescent="0.2"/>
    <row r="2947" ht="25.5" customHeight="1" x14ac:dyDescent="0.2"/>
    <row r="2948" ht="25.5" customHeight="1" x14ac:dyDescent="0.2"/>
    <row r="2949" ht="25.5" customHeight="1" x14ac:dyDescent="0.2"/>
    <row r="2950" ht="25.5" customHeight="1" x14ac:dyDescent="0.2"/>
    <row r="2951" ht="25.5" customHeight="1" x14ac:dyDescent="0.2"/>
    <row r="2952" ht="25.5" customHeight="1" x14ac:dyDescent="0.2"/>
    <row r="2953" ht="25.5" customHeight="1" x14ac:dyDescent="0.2"/>
    <row r="2954" ht="25.5" customHeight="1" x14ac:dyDescent="0.2"/>
    <row r="2955" ht="25.5" customHeight="1" x14ac:dyDescent="0.2"/>
    <row r="2956" ht="25.5" customHeight="1" x14ac:dyDescent="0.2"/>
    <row r="2957" ht="25.5" customHeight="1" x14ac:dyDescent="0.2"/>
    <row r="2958" ht="25.5" customHeight="1" x14ac:dyDescent="0.2"/>
    <row r="2959" ht="25.5" customHeight="1" x14ac:dyDescent="0.2"/>
    <row r="2960" ht="25.5" customHeight="1" x14ac:dyDescent="0.2"/>
    <row r="2961" ht="25.5" customHeight="1" x14ac:dyDescent="0.2"/>
    <row r="2962" ht="25.5" customHeight="1" x14ac:dyDescent="0.2"/>
    <row r="2963" ht="25.5" customHeight="1" x14ac:dyDescent="0.2"/>
    <row r="2964" ht="25.5" customHeight="1" x14ac:dyDescent="0.2"/>
    <row r="2965" ht="25.5" customHeight="1" x14ac:dyDescent="0.2"/>
    <row r="2966" ht="25.5" customHeight="1" x14ac:dyDescent="0.2"/>
    <row r="2967" ht="25.5" customHeight="1" x14ac:dyDescent="0.2"/>
  </sheetData>
  <autoFilter ref="A1:U1394">
    <sortState ref="A2:W1367">
      <sortCondition ref="A1:A1343"/>
    </sortState>
  </autoFilter>
  <dataValidations count="1">
    <dataValidation type="list" allowBlank="1" showInputMessage="1" showErrorMessage="1" prompt="Sexo - F - Feminino_x000a_M - Masculino" sqref="D2:D166 D173:D260 D273:D355 D375:D697">
      <formula1>"F,M"</formula1>
    </dataValidation>
  </dataValidations>
  <pageMargins left="0.511811024" right="0.511811024" top="0.78740157499999996" bottom="0.78740157499999996" header="0" footer="0"/>
  <pageSetup paperSize="9" scale="3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Piloto</vt:lpstr>
      <vt:lpstr>Pesquisa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Itaru Sato</dc:creator>
  <cp:lastModifiedBy>Murilo</cp:lastModifiedBy>
  <dcterms:created xsi:type="dcterms:W3CDTF">2021-03-26T21:07:36Z</dcterms:created>
  <dcterms:modified xsi:type="dcterms:W3CDTF">2021-11-12T13:04:49Z</dcterms:modified>
</cp:coreProperties>
</file>